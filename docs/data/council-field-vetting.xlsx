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arks" sheetId="2" state="visible" r:id="rId4"/>
    <sheet name="Fields" sheetId="3" state="visible" r:id="rId5"/>
    <sheet name="Summary" sheetId="4" state="visible" r:id="rId6"/>
    <sheet name="Settings" sheetId="5" state="visible" r:id="rId7"/>
    <sheet name="Lists" sheetId="6" state="visible" r:id="rId8"/>
  </sheets>
  <definedNames>
    <definedName function="false" hidden="true" localSheetId="2" name="_xlnm._FilterDatabase" vbProcedure="false">Fields!$A$1:$Z$1001</definedName>
    <definedName function="false" hidden="true" localSheetId="1" name="_xlnm._FilterDatabase" vbProcedure="false">Parks!$A$1:$P$255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Pick from the list (council park name).</t>
        </r>
      </text>
    </comment>
    <comment ref="B1" authorId="0">
      <text>
        <r>
          <rPr>
            <sz val="10"/>
            <rFont val="Arial"/>
            <family val="2"/>
          </rPr>
          <t xml:space="preserve">From the Parks sheet.</t>
        </r>
      </text>
    </comment>
    <comment ref="C1" authorId="0">
      <text>
        <r>
          <rPr>
            <sz val="10"/>
            <rFont val="Arial"/>
            <family val="2"/>
          </rPr>
          <t xml:space="preserve">Exactly as the council form lists it, e.g. 'Devonport Domain Rugby 1'.</t>
        </r>
      </text>
    </comment>
    <comment ref="D1" authorId="0">
      <text>
        <r>
          <rPr>
            <sz val="10"/>
            <rFont val="Arial"/>
            <family val="2"/>
          </rPr>
          <t xml:space="preserve">From the field name: nets/diamonds/courts → no; cricket/junior → reduced; rugby/football/league/touch/general → full.</t>
        </r>
      </text>
    </comment>
    <comment ref="E1" authorId="0">
      <text>
        <r>
          <rPr>
            <sz val="10"/>
            <rFont val="Arial"/>
            <family val="2"/>
          </rPr>
          <t xml:space="preserve">Your judgement: full (fits ~100×37 m), reduced (small-sided / training), no.</t>
        </r>
      </text>
    </comment>
    <comment ref="G1" authorId="0">
      <text>
        <r>
          <rPr>
            <sz val="10"/>
            <rFont val="Arial"/>
            <family val="2"/>
          </rPr>
          <t xml:space="preserve">none · training (partial, key/code) · full (match-standard).</t>
        </r>
      </text>
    </comment>
    <comment ref="H1" authorId="0">
      <text>
        <r>
          <rPr>
            <sz val="10"/>
            <rFont val="Arial"/>
            <family val="2"/>
          </rPr>
          <t xml:space="preserve">How lights are switched on: key holder, code, council-timed.</t>
        </r>
      </text>
    </comment>
    <comment ref="I1" authorId="0">
      <text>
        <r>
          <rPr>
            <sz val="10"/>
            <rFont val="Arial"/>
            <family val="2"/>
          </rPr>
          <t xml:space="preserve">Date someone confirmed the lights.</t>
        </r>
      </text>
    </comment>
    <comment ref="J1" authorId="0">
      <text>
        <r>
          <rPr>
            <sz val="10"/>
            <rFont val="Arial"/>
            <family val="2"/>
          </rPr>
          <t xml:space="preserve">Surface, drainage, flatness, markings. 5 = excellent.</t>
        </r>
      </text>
    </comment>
    <comment ref="K1" authorId="0">
      <text>
        <r>
          <rPr>
            <sz val="10"/>
            <rFont val="Arial"/>
            <family val="2"/>
          </rPr>
          <t xml:space="preserve">When the field is usable for ultimate.</t>
        </r>
      </text>
    </comment>
    <comment ref="L1" authorId="0">
      <text>
        <r>
          <rPr>
            <sz val="10"/>
            <rFont val="Arial"/>
            <family val="2"/>
          </rPr>
          <t xml:space="preserve">e.g. 'cricket block in summer', 'wet until Oct'.</t>
        </r>
      </text>
    </comment>
    <comment ref="M1" authorId="0">
      <text>
        <r>
          <rPr>
            <sz val="10"/>
            <rFont val="Arial"/>
            <family val="2"/>
          </rPr>
          <t xml:space="preserve">Council applications for this field that were confirmed.</t>
        </r>
      </text>
    </comment>
    <comment ref="N1" authorId="0">
      <text>
        <r>
          <rPr>
            <sz val="10"/>
            <rFont val="Arial"/>
            <family val="2"/>
          </rPr>
          <t xml:space="preserve">Council applications for this field that were declined.</t>
        </r>
      </text>
    </comment>
    <comment ref="O1" authorId="0">
      <text>
        <r>
          <rPr>
            <sz val="10"/>
            <rFont val="Arial"/>
            <family val="2"/>
          </rPr>
          <t xml:space="preserve">Confirmed ÷ (confirmed + declined); 'untested' below the Settings minimum.</t>
        </r>
      </text>
    </comment>
    <comment ref="P1" authorId="0">
      <text>
        <r>
          <rPr>
            <sz val="10"/>
            <rFont val="Arial"/>
            <family val="2"/>
          </rPr>
          <t xml:space="preserve">Set only to overrule the computed tier.</t>
        </r>
      </text>
    </comment>
    <comment ref="Q1" authorId="0">
      <text>
        <r>
          <rPr>
            <sz val="10"/>
            <rFont val="Arial"/>
            <family val="2"/>
          </rPr>
          <t xml:space="preserve">Why the override.</t>
        </r>
      </text>
    </comment>
    <comment ref="T1" authorId="0">
      <text>
        <r>
          <rPr>
            <sz val="10"/>
            <rFont val="Arial"/>
            <family val="2"/>
          </rPr>
          <t xml:space="preserve">unreviewed → candidate → shortlisted → vetted, or unsuitable.</t>
        </r>
      </text>
    </comment>
    <comment ref="W1" authorId="0">
      <text>
        <r>
          <rPr>
            <sz val="10"/>
            <rFont val="Arial"/>
            <family val="2"/>
          </rPr>
          <t xml:space="preserve">Yes if lights are training or full. Only matters for evening slots.</t>
        </r>
      </text>
    </comment>
    <comment ref="X1" authorId="0">
      <text>
        <r>
          <rPr>
            <sz val="10"/>
            <rFont val="Arial"/>
            <family val="2"/>
          </rPr>
          <t xml:space="preserve">Your Ultimate fit, else the auto guess.</t>
        </r>
      </text>
    </comment>
    <comment ref="Y1" authorId="0">
      <text>
        <r>
          <rPr>
            <sz val="10"/>
            <rFont val="Arial"/>
            <family val="2"/>
          </rPr>
          <t xml:space="preserve">A/B/C from fit, quality and reliability (Settings).</t>
        </r>
      </text>
    </comment>
    <comment ref="Z1" authorId="0">
      <text>
        <r>
          <rPr>
            <sz val="10"/>
            <rFont val="Arial"/>
            <family val="2"/>
          </rPr>
          <t xml:space="preserve">Override if set, else computed.</t>
        </r>
      </text>
    </comment>
  </commentList>
</comments>
</file>

<file path=xl/sharedStrings.xml><?xml version="1.0" encoding="utf-8"?>
<sst xmlns="http://schemas.openxmlformats.org/spreadsheetml/2006/main" count="955" uniqueCount="386">
  <si>
    <t xml:space="preserve">AMUA — council field vetting</t>
  </si>
  <si>
    <t xml:space="preserve">Purpose</t>
  </si>
  <si>
    <t xml:space="preserve">Rank Auckland Council sports fields for ultimate: which fit, which have lights, and how good and reliable they are. Admins only enter data here.</t>
  </si>
  <si>
    <t xml:space="preserve">Legend</t>
  </si>
  <si>
    <t xml:space="preserve">Yellow cells = enter data (most have dropdowns). Grey cells = calculated; don't edit. Hover a Fields header for guidance.</t>
  </si>
  <si>
    <t xml:space="preserve">Sheets</t>
  </si>
  <si>
    <t xml:space="preserve">Parks — all 254 council parks from the council application form (region, name); set priority and status, amenities, notes. Rollups show fields entered and best tier.
Fields — one row per council field you vet. Pick the park, type the council field name; the auto fit guess, region, reliability, evening-OK and tier fill in.
Summary — counts by region. Settings — tier thresholds. Lists — dropdown values.</t>
  </si>
  <si>
    <t xml:space="preserve">Tiers</t>
  </si>
  <si>
    <t xml:space="preserve">A (go-to): fit = full, quality ≥ 4, reliability ≥ 70% or untested.
B (backup): fit = full or reduced, quality ≥ 3, reliability ≥ 40% or untested.
C (last resort): anything else that is usable. '—' = unsuitable/no fit. 'unrated' = no quality score yet.
Thresholds live on the Settings sheet. Tier override (with a note) always wins.</t>
  </si>
  <si>
    <t xml:space="preserve">Lights</t>
  </si>
  <si>
    <t xml:space="preserve">Lights do NOT affect the tier. They only matter for evening slots: 'Evening OK' = Yes when lights are training or full.</t>
  </si>
  <si>
    <t xml:space="preserve">Reliability</t>
  </si>
  <si>
    <t xml:space="preserve">Enter council application outcomes per field (confirmed / declined). Fewer than the Settings minimum shows 'untested'. Later the app will compute this automatically from the council sync.</t>
  </si>
  <si>
    <t xml:space="preserve">Field names</t>
  </si>
  <si>
    <t xml:space="preserve">Council field lists are only shown per park in the council form, so only Devonport Domain's 8 fields are pre-filled. Add others as you open each park in the form (or once the extension harvests them).</t>
  </si>
  <si>
    <t xml:space="preserve">Who edits</t>
  </si>
  <si>
    <t xml:space="preserve">Admins only (decision 30 Sep 2026). Record your name in 'Vetted by' and the date in 'Vetted on'.</t>
  </si>
  <si>
    <t xml:space="preserve">Import</t>
  </si>
  <si>
    <t xml:space="preserve">This workbook mirrors the planned council_parks / council_fields tables (docs/council-field-vetting.md), so it can be imported into Supabase later.</t>
  </si>
  <si>
    <t xml:space="preserve">Example row (format only — not real data)</t>
  </si>
  <si>
    <t xml:space="preserve">Park</t>
  </si>
  <si>
    <t xml:space="preserve">Council field name</t>
  </si>
  <si>
    <t xml:space="preserve">Ultimate fit</t>
  </si>
  <si>
    <t xml:space="preserve">Surface</t>
  </si>
  <si>
    <t xml:space="preserve">Lights access</t>
  </si>
  <si>
    <t xml:space="preserve">Quality</t>
  </si>
  <si>
    <t xml:space="preserve">Season</t>
  </si>
  <si>
    <t xml:space="preserve">Season notes</t>
  </si>
  <si>
    <t xml:space="preserve">Apps confirmed</t>
  </si>
  <si>
    <t xml:space="preserve">Apps declined</t>
  </si>
  <si>
    <t xml:space="preserve">Status</t>
  </si>
  <si>
    <t xml:space="preserve">Vetted by</t>
  </si>
  <si>
    <t xml:space="preserve">Vetted on</t>
  </si>
  <si>
    <t xml:space="preserve">→ Evening OK</t>
  </si>
  <si>
    <t xml:space="preserve">→ Final tier</t>
  </si>
  <si>
    <t xml:space="preserve">Devonport Domain</t>
  </si>
  <si>
    <t xml:space="preserve">Devonport Domain Rugby 1</t>
  </si>
  <si>
    <t xml:space="preserve">full</t>
  </si>
  <si>
    <t xml:space="preserve">grass</t>
  </si>
  <si>
    <t xml:space="preserve">training</t>
  </si>
  <si>
    <t xml:space="preserve">Key from club</t>
  </si>
  <si>
    <t xml:space="preserve">4</t>
  </si>
  <si>
    <t xml:space="preserve">Winter</t>
  </si>
  <si>
    <t xml:space="preserve">Rugby club trains Tue/Thu</t>
  </si>
  <si>
    <t xml:space="preserve">3</t>
  </si>
  <si>
    <t xml:space="preserve">1</t>
  </si>
  <si>
    <t xml:space="preserve">vetted</t>
  </si>
  <si>
    <t xml:space="preserve">A. Admin</t>
  </si>
  <si>
    <t xml:space="preserve">2026-10-05</t>
  </si>
  <si>
    <t xml:space="preserve">Yes</t>
  </si>
  <si>
    <t xml:space="preserve">A</t>
  </si>
  <si>
    <t xml:space="preserve">Region</t>
  </si>
  <si>
    <t xml:space="preserve">Priority</t>
  </si>
  <si>
    <t xml:space="preserve">Park status</t>
  </si>
  <si>
    <t xml:space="preserve">Suburb</t>
  </si>
  <si>
    <t xml:space="preserve">Toilets</t>
  </si>
  <si>
    <t xml:space="preserve">Changing rooms</t>
  </si>
  <si>
    <t xml:space="preserve">Parking</t>
  </si>
  <si>
    <t xml:space="preserve">Park notes</t>
  </si>
  <si>
    <t xml:space="preserve">Fields entered</t>
  </si>
  <si>
    <t xml:space="preserve">Fields vetted</t>
  </si>
  <si>
    <t xml:space="preserve">Tier A</t>
  </si>
  <si>
    <t xml:space="preserve">Tier B</t>
  </si>
  <si>
    <t xml:space="preserve">Tier C</t>
  </si>
  <si>
    <t xml:space="preserve">Evening-OK A/B</t>
  </si>
  <si>
    <t xml:space="preserve">Best tier</t>
  </si>
  <si>
    <t xml:space="preserve">Central</t>
  </si>
  <si>
    <t xml:space="preserve">Alan Wood Reserve</t>
  </si>
  <si>
    <t xml:space="preserve">unreviewed</t>
  </si>
  <si>
    <t xml:space="preserve">Anderson Park</t>
  </si>
  <si>
    <t xml:space="preserve">Arch Hill Scenic Reserve</t>
  </si>
  <si>
    <t xml:space="preserve">Colin Maiden Park</t>
  </si>
  <si>
    <t xml:space="preserve">Cox's Bay Reserve</t>
  </si>
  <si>
    <t xml:space="preserve">Crossfield Reserve</t>
  </si>
  <si>
    <t xml:space="preserve">Edendale Reserve</t>
  </si>
  <si>
    <t xml:space="preserve">Ellerslie Domain</t>
  </si>
  <si>
    <t xml:space="preserve">Fearon Park</t>
  </si>
  <si>
    <t xml:space="preserve">Fergusson Domain</t>
  </si>
  <si>
    <t xml:space="preserve">Fowlds Park</t>
  </si>
  <si>
    <t xml:space="preserve">Freyberg Field</t>
  </si>
  <si>
    <t xml:space="preserve">Gloucester Park North</t>
  </si>
  <si>
    <t xml:space="preserve">Glover Park</t>
  </si>
  <si>
    <t xml:space="preserve">Grey Lynn Park</t>
  </si>
  <si>
    <t xml:space="preserve">Gribblehirst Park</t>
  </si>
  <si>
    <t xml:space="preserve">Hamlin Park</t>
  </si>
  <si>
    <t xml:space="preserve">Hillsborough Park</t>
  </si>
  <si>
    <t xml:space="preserve">Keith Hay Park</t>
  </si>
  <si>
    <t xml:space="preserve">Kukuwai Park (Hendon Avenue Reserve)</t>
  </si>
  <si>
    <t xml:space="preserve">Liston Park</t>
  </si>
  <si>
    <t xml:space="preserve">Madills Farm Recreation Reserve</t>
  </si>
  <si>
    <t xml:space="preserve">Margaret Griffen Park</t>
  </si>
  <si>
    <t xml:space="preserve">Martyn Wilson Fields &amp;amp; Sonia Reserve</t>
  </si>
  <si>
    <t xml:space="preserve">May Road War Memorial Park</t>
  </si>
  <si>
    <t xml:space="preserve">McManus Park</t>
  </si>
  <si>
    <t xml:space="preserve">Melville Park</t>
  </si>
  <si>
    <t xml:space="preserve">Michaels Avenue Reserve</t>
  </si>
  <si>
    <t xml:space="preserve">Mt Wellington War Memorial Reserve</t>
  </si>
  <si>
    <t xml:space="preserve">Murray Halberg Park</t>
  </si>
  <si>
    <t xml:space="preserve">Ngahue Reserve</t>
  </si>
  <si>
    <t xml:space="preserve">Nicholson Park</t>
  </si>
  <si>
    <t xml:space="preserve">Nixon Park</t>
  </si>
  <si>
    <t xml:space="preserve">Ōmaru (Point England Reserve)</t>
  </si>
  <si>
    <t xml:space="preserve">Onetangi Sports Park - Rangihoua</t>
  </si>
  <si>
    <t xml:space="preserve">Orakei Domain B</t>
  </si>
  <si>
    <t xml:space="preserve">Ostend Domain</t>
  </si>
  <si>
    <t xml:space="preserve">Otahuhu - Mount Richmond</t>
  </si>
  <si>
    <t xml:space="preserve">Otahuhu College</t>
  </si>
  <si>
    <t xml:space="preserve">Owairaka - Te Ahi-ka-a-Rakataura - Mount Albert</t>
  </si>
  <si>
    <t xml:space="preserve">Owairaka Community Park</t>
  </si>
  <si>
    <t xml:space="preserve">Phyllis Reserve</t>
  </si>
  <si>
    <t xml:space="preserve">Pollard Park</t>
  </si>
  <si>
    <t xml:space="preserve">Pukekawa / Auckland Domain</t>
  </si>
  <si>
    <t xml:space="preserve">Seddon Fields</t>
  </si>
  <si>
    <t xml:space="preserve">Seymour Park</t>
  </si>
  <si>
    <t xml:space="preserve">Shore Road Reserve</t>
  </si>
  <si>
    <t xml:space="preserve">Simson Reserve</t>
  </si>
  <si>
    <t xml:space="preserve">Sir Woolf Fisher Park</t>
  </si>
  <si>
    <t xml:space="preserve">Taurangi</t>
  </si>
  <si>
    <t xml:space="preserve">Thomas Bloodworth Park</t>
  </si>
  <si>
    <t xml:space="preserve">Thompson Park</t>
  </si>
  <si>
    <t xml:space="preserve">Three Kings Reserve</t>
  </si>
  <si>
    <t xml:space="preserve">Victoria Park</t>
  </si>
  <si>
    <t xml:space="preserve">Waikaraka Park</t>
  </si>
  <si>
    <t xml:space="preserve">Walker Park</t>
  </si>
  <si>
    <t xml:space="preserve">Warren Freer Park</t>
  </si>
  <si>
    <t xml:space="preserve">Waterview Reserve</t>
  </si>
  <si>
    <t xml:space="preserve">Western Park</t>
  </si>
  <si>
    <t xml:space="preserve">Western Springs Outer Fields</t>
  </si>
  <si>
    <t xml:space="preserve">Western Springs Stadium</t>
  </si>
  <si>
    <t xml:space="preserve">Windmill Park</t>
  </si>
  <si>
    <t xml:space="preserve">North</t>
  </si>
  <si>
    <t xml:space="preserve">Albany Domain</t>
  </si>
  <si>
    <t xml:space="preserve">Ashley Reserve</t>
  </si>
  <si>
    <t xml:space="preserve">Barry's Point Reserve</t>
  </si>
  <si>
    <t xml:space="preserve">Bay City Park</t>
  </si>
  <si>
    <t xml:space="preserve">Bayswater Park</t>
  </si>
  <si>
    <t xml:space="preserve">Beach Haven Primary School</t>
  </si>
  <si>
    <t xml:space="preserve">Becroft Park</t>
  </si>
  <si>
    <t xml:space="preserve">Birkenhead War Memorial Park</t>
  </si>
  <si>
    <t xml:space="preserve">Bourne Dean Recreation Reserve</t>
  </si>
  <si>
    <t xml:space="preserve">Caribbean Reserve</t>
  </si>
  <si>
    <t xml:space="preserve">Collins Park</t>
  </si>
  <si>
    <t xml:space="preserve">Constellation Reserve</t>
  </si>
  <si>
    <t xml:space="preserve">Dacre Park</t>
  </si>
  <si>
    <t xml:space="preserve">Deep Creek Reserve</t>
  </si>
  <si>
    <t xml:space="preserve">Edith Hopper Park</t>
  </si>
  <si>
    <t xml:space="preserve">Fort Takapuna Reserve</t>
  </si>
  <si>
    <t xml:space="preserve">Freyberg Park</t>
  </si>
  <si>
    <t xml:space="preserve">Goodall Reserve</t>
  </si>
  <si>
    <t xml:space="preserve">Greenhithe War Memorial Park</t>
  </si>
  <si>
    <t xml:space="preserve">Greville Reserve</t>
  </si>
  <si>
    <t xml:space="preserve">Gulf Harbour Recreation Reserve</t>
  </si>
  <si>
    <t xml:space="preserve">Hato Petera College</t>
  </si>
  <si>
    <t xml:space="preserve">Hobsonville War Memorial Park</t>
  </si>
  <si>
    <t xml:space="preserve">Huapai Recreation Reserve</t>
  </si>
  <si>
    <t xml:space="preserve">Kaipatiki Park</t>
  </si>
  <si>
    <t xml:space="preserve">Little Shoal Bay</t>
  </si>
  <si>
    <t xml:space="preserve">Mairangi Bay Park</t>
  </si>
  <si>
    <t xml:space="preserve">McFetridge Park</t>
  </si>
  <si>
    <t xml:space="preserve">Metro Park - East</t>
  </si>
  <si>
    <t xml:space="preserve">Muriwai Village Green</t>
  </si>
  <si>
    <t xml:space="preserve">North Harbour Stadium</t>
  </si>
  <si>
    <t xml:space="preserve">Onepoto Domain</t>
  </si>
  <si>
    <t xml:space="preserve">Onewa Domain</t>
  </si>
  <si>
    <t xml:space="preserve">Port Albert Recreation Reserve</t>
  </si>
  <si>
    <t xml:space="preserve">Puhoi Pioneers Memorial Park</t>
  </si>
  <si>
    <t xml:space="preserve">Quarry Lake</t>
  </si>
  <si>
    <t xml:space="preserve">Rautawhiri Park</t>
  </si>
  <si>
    <t xml:space="preserve">Red Beach Park</t>
  </si>
  <si>
    <t xml:space="preserve">Riverhead War Memorial Park</t>
  </si>
  <si>
    <t xml:space="preserve">Rosedale Park</t>
  </si>
  <si>
    <t xml:space="preserve">Shepherds Park</t>
  </si>
  <si>
    <t xml:space="preserve">Shoesmith Domain Recreation Reserve</t>
  </si>
  <si>
    <t xml:space="preserve">Silverdale War Memorial Park</t>
  </si>
  <si>
    <t xml:space="preserve">Sinclair Park</t>
  </si>
  <si>
    <t xml:space="preserve">Sovereign Stadium</t>
  </si>
  <si>
    <t xml:space="preserve">Stafford Park</t>
  </si>
  <si>
    <t xml:space="preserve">Stanley Bay Park</t>
  </si>
  <si>
    <t xml:space="preserve">Stanmore Bay Park</t>
  </si>
  <si>
    <t xml:space="preserve">Sunnynook Park</t>
  </si>
  <si>
    <t xml:space="preserve">Taharoto Park</t>
  </si>
  <si>
    <t xml:space="preserve">Taupaki Reserve</t>
  </si>
  <si>
    <t xml:space="preserve">Te Hana Reserve</t>
  </si>
  <si>
    <t xml:space="preserve">Te Kaitaka / Greenslade Reserve</t>
  </si>
  <si>
    <t xml:space="preserve">Te Kori Scott Point</t>
  </si>
  <si>
    <t xml:space="preserve">Vauxhall Reserve</t>
  </si>
  <si>
    <t xml:space="preserve">Victor Eaves Park</t>
  </si>
  <si>
    <t xml:space="preserve">Wainoni Park North</t>
  </si>
  <si>
    <t xml:space="preserve">Warkworth Showgrounds</t>
  </si>
  <si>
    <t xml:space="preserve">Wellsford Centennial Park</t>
  </si>
  <si>
    <t xml:space="preserve">Whangateau Reserve</t>
  </si>
  <si>
    <t xml:space="preserve">Windsor Park</t>
  </si>
  <si>
    <t xml:space="preserve">South</t>
  </si>
  <si>
    <t xml:space="preserve">Aorere College</t>
  </si>
  <si>
    <t xml:space="preserve">Aorere Park</t>
  </si>
  <si>
    <t xml:space="preserve">Army Fields</t>
  </si>
  <si>
    <t xml:space="preserve">Bader Intermediate</t>
  </si>
  <si>
    <t xml:space="preserve">Barry Curtis Park</t>
  </si>
  <si>
    <t xml:space="preserve">Beachlands Domain</t>
  </si>
  <si>
    <t xml:space="preserve">Bell Field</t>
  </si>
  <si>
    <t xml:space="preserve">Bledisloe Park</t>
  </si>
  <si>
    <t xml:space="preserve">Clendon Park</t>
  </si>
  <si>
    <t xml:space="preserve">Clevedon Showgrounds Reserve</t>
  </si>
  <si>
    <t xml:space="preserve">Clive Howe Rd Recreation Reserve</t>
  </si>
  <si>
    <t xml:space="preserve">Cockle Bay Reserve</t>
  </si>
  <si>
    <t xml:space="preserve">Colin Lawrie Fields</t>
  </si>
  <si>
    <t xml:space="preserve">David Lange Park</t>
  </si>
  <si>
    <t xml:space="preserve">Drury Domain</t>
  </si>
  <si>
    <t xml:space="preserve">Drury Sports Complex</t>
  </si>
  <si>
    <t xml:space="preserve">East Tamaki Reserve</t>
  </si>
  <si>
    <t xml:space="preserve">Elm Park</t>
  </si>
  <si>
    <t xml:space="preserve">Finlayson Ave Reserve</t>
  </si>
  <si>
    <t xml:space="preserve">Franklin A &amp;amp; P Showgrounds</t>
  </si>
  <si>
    <t xml:space="preserve">Gallaher Park</t>
  </si>
  <si>
    <t xml:space="preserve">Glenbrook Road Recreation Reserve</t>
  </si>
  <si>
    <t xml:space="preserve">Greenmount Park</t>
  </si>
  <si>
    <t xml:space="preserve">Hamilton Estate Recreation Reserve</t>
  </si>
  <si>
    <t xml:space="preserve">Hayman Park</t>
  </si>
  <si>
    <t xml:space="preserve">House Park</t>
  </si>
  <si>
    <t xml:space="preserve">Howick Domain</t>
  </si>
  <si>
    <t xml:space="preserve">Huri Toopia / Matakawau Recreation Reserve</t>
  </si>
  <si>
    <t xml:space="preserve">James Watson Park</t>
  </si>
  <si>
    <t xml:space="preserve">Jellicoe Park</t>
  </si>
  <si>
    <t xml:space="preserve">Karaka Sports Park</t>
  </si>
  <si>
    <t xml:space="preserve">Keri Downs Park</t>
  </si>
  <si>
    <t xml:space="preserve">Kohuora Park</t>
  </si>
  <si>
    <t xml:space="preserve">Laurie Gibbons Memorial Park</t>
  </si>
  <si>
    <t xml:space="preserve">Lloyd Elsmore Park</t>
  </si>
  <si>
    <t xml:space="preserve">Mansell Field</t>
  </si>
  <si>
    <t xml:space="preserve">Massey Park - Papakura</t>
  </si>
  <si>
    <t xml:space="preserve">Massey Park - Waiuku</t>
  </si>
  <si>
    <t xml:space="preserve">Mayfield Park</t>
  </si>
  <si>
    <t xml:space="preserve">McLennan Park</t>
  </si>
  <si>
    <t xml:space="preserve">Meadowland Park</t>
  </si>
  <si>
    <t xml:space="preserve">Meadowland Park Football 13</t>
  </si>
  <si>
    <t xml:space="preserve">Millhouse Park</t>
  </si>
  <si>
    <t xml:space="preserve">Mountfort Park</t>
  </si>
  <si>
    <t xml:space="preserve">Murdoch Park</t>
  </si>
  <si>
    <t xml:space="preserve">Murphy Park</t>
  </si>
  <si>
    <t xml:space="preserve">Navigation Homes Stadium</t>
  </si>
  <si>
    <t xml:space="preserve">Nga Hau E Wha Marae</t>
  </si>
  <si>
    <t xml:space="preserve">Ngā Hau Māngere / Māngere Centre Park</t>
  </si>
  <si>
    <t xml:space="preserve">Ngati Otara Park</t>
  </si>
  <si>
    <t xml:space="preserve">Norana Avenue Reserve</t>
  </si>
  <si>
    <t xml:space="preserve">Ohuiarangi - Pigeon Mountain</t>
  </si>
  <si>
    <t xml:space="preserve">Omana Park</t>
  </si>
  <si>
    <t xml:space="preserve">Opaheke Sports Park</t>
  </si>
  <si>
    <t xml:space="preserve">Otaawhati / Ray Small Park</t>
  </si>
  <si>
    <t xml:space="preserve">Papamāhia / Leabank</t>
  </si>
  <si>
    <t xml:space="preserve">Paparoa Park</t>
  </si>
  <si>
    <t xml:space="preserve">Papatoetoe Recreation Grounds</t>
  </si>
  <si>
    <t xml:space="preserve">Patumahoe Recreation Reserve</t>
  </si>
  <si>
    <t xml:space="preserve">Prince Edward Park</t>
  </si>
  <si>
    <t xml:space="preserve">Puni Recreation Reserve</t>
  </si>
  <si>
    <t xml:space="preserve">Randwick Park</t>
  </si>
  <si>
    <t xml:space="preserve">Riverhills Park</t>
  </si>
  <si>
    <t xml:space="preserve">Robert White Park</t>
  </si>
  <si>
    <t xml:space="preserve">Rogers Park</t>
  </si>
  <si>
    <t xml:space="preserve">Rongomai Park</t>
  </si>
  <si>
    <t xml:space="preserve">Rosa Birch Park</t>
  </si>
  <si>
    <t xml:space="preserve">Sandbrook Reserve</t>
  </si>
  <si>
    <t xml:space="preserve">Southern Park</t>
  </si>
  <si>
    <t xml:space="preserve">Sturges Park</t>
  </si>
  <si>
    <t xml:space="preserve">Sunnyside Domain</t>
  </si>
  <si>
    <t xml:space="preserve">Swanson Park</t>
  </si>
  <si>
    <t xml:space="preserve">Taamaki ki Taatahi / Seaside Park</t>
  </si>
  <si>
    <t xml:space="preserve">Takanini Reserve</t>
  </si>
  <si>
    <t xml:space="preserve">Taotaoroa / DB Ground</t>
  </si>
  <si>
    <t xml:space="preserve">Tao-waka / Williams Park</t>
  </si>
  <si>
    <t xml:space="preserve">Te Ara Tāwhana / Moyle Park</t>
  </si>
  <si>
    <t xml:space="preserve">Te Koiwi Park</t>
  </si>
  <si>
    <t xml:space="preserve">Te Mārua / Boggust Park</t>
  </si>
  <si>
    <t xml:space="preserve">Te Pae Maumahara / Manurewa War Memorial Park Memorial Park</t>
  </si>
  <si>
    <t xml:space="preserve">Te Pae o Manukau / Manukau Sports Bowl</t>
  </si>
  <si>
    <t xml:space="preserve">Te Pane-o-Mataaho - Te Ara Pueru - Mangere Mountain</t>
  </si>
  <si>
    <t xml:space="preserve">Te Puke o Tara Park</t>
  </si>
  <si>
    <t xml:space="preserve">Te Puru Park</t>
  </si>
  <si>
    <t xml:space="preserve">Te Tauhere / Miami Street Reserve</t>
  </si>
  <si>
    <t xml:space="preserve">Ti Rakau Park</t>
  </si>
  <si>
    <t xml:space="preserve">Waenganui / Allenby Park</t>
  </si>
  <si>
    <t xml:space="preserve">Waiau Pa Domain</t>
  </si>
  <si>
    <t xml:space="preserve">Wai-hīrea / Wattle Farm Reserve</t>
  </si>
  <si>
    <t xml:space="preserve">Waiuku Sports Park</t>
  </si>
  <si>
    <t xml:space="preserve">Walter Massey Park</t>
  </si>
  <si>
    <t xml:space="preserve">Whitford War Memorial Domain</t>
  </si>
  <si>
    <t xml:space="preserve">William Green Domain</t>
  </si>
  <si>
    <t xml:space="preserve">West</t>
  </si>
  <si>
    <t xml:space="preserve">Archibald Park</t>
  </si>
  <si>
    <t xml:space="preserve">Avondale Racecourse</t>
  </si>
  <si>
    <t xml:space="preserve">Blockhouse Bay Recreation Reserve</t>
  </si>
  <si>
    <t xml:space="preserve">Corban Reserve</t>
  </si>
  <si>
    <t xml:space="preserve">Duck Park</t>
  </si>
  <si>
    <t xml:space="preserve">Eastdale Reserve</t>
  </si>
  <si>
    <t xml:space="preserve">Fred Taylor Park</t>
  </si>
  <si>
    <t xml:space="preserve">Gloria Park</t>
  </si>
  <si>
    <t xml:space="preserve">Harold Moody Reserve</t>
  </si>
  <si>
    <t xml:space="preserve">Henderson Park</t>
  </si>
  <si>
    <t xml:space="preserve">Jack Colvin Park</t>
  </si>
  <si>
    <t xml:space="preserve">Jack Pringle Sports Park</t>
  </si>
  <si>
    <t xml:space="preserve">Ken Maunder Park</t>
  </si>
  <si>
    <t xml:space="preserve">Lawson Park</t>
  </si>
  <si>
    <t xml:space="preserve">McLeod Park</t>
  </si>
  <si>
    <t xml:space="preserve">Moire Park</t>
  </si>
  <si>
    <t xml:space="preserve">Ngaruru / Northall Park</t>
  </si>
  <si>
    <t xml:space="preserve">Ōkaurirahi / Ceramco Park</t>
  </si>
  <si>
    <t xml:space="preserve">Olympic Park</t>
  </si>
  <si>
    <t xml:space="preserve">Onewherowhero/Brains Park</t>
  </si>
  <si>
    <t xml:space="preserve">Owen's Green</t>
  </si>
  <si>
    <t xml:space="preserve">Parrs Park</t>
  </si>
  <si>
    <t xml:space="preserve">Ramlea Park</t>
  </si>
  <si>
    <t xml:space="preserve">Ranui Domain</t>
  </si>
  <si>
    <t xml:space="preserve">Riversdale Reserve</t>
  </si>
  <si>
    <t xml:space="preserve">Royal Reserve</t>
  </si>
  <si>
    <t xml:space="preserve">Singer Park</t>
  </si>
  <si>
    <t xml:space="preserve">Tahurangi/Crum Park</t>
  </si>
  <si>
    <t xml:space="preserve">Takitakimanu / Massey Domain</t>
  </si>
  <si>
    <t xml:space="preserve">Te Atatū ki te Tonga / Te Atatu South Park</t>
  </si>
  <si>
    <t xml:space="preserve">Te Atatu Peninsula Park</t>
  </si>
  <si>
    <t xml:space="preserve">Te Poi / Starling Park</t>
  </si>
  <si>
    <t xml:space="preserve">Tiakina / Sister Rene Shadbolt Park</t>
  </si>
  <si>
    <t xml:space="preserve">Valonia Reserve</t>
  </si>
  <si>
    <t xml:space="preserve">Waitakere War Memorial Park</t>
  </si>
  <si>
    <t xml:space="preserve">Whenua Karaka / Green Bay Domain</t>
  </si>
  <si>
    <t xml:space="preserve">Zita Maria Park</t>
  </si>
  <si>
    <t xml:space="preserve">Auto fit guess</t>
  </si>
  <si>
    <t xml:space="preserve">Lights verified</t>
  </si>
  <si>
    <t xml:space="preserve">Quality (1–5)</t>
  </si>
  <si>
    <t xml:space="preserve">Tier override</t>
  </si>
  <si>
    <t xml:space="preserve">Tier note</t>
  </si>
  <si>
    <t xml:space="preserve">Unsuitable reason</t>
  </si>
  <si>
    <t xml:space="preserve">Notes</t>
  </si>
  <si>
    <t xml:space="preserve">Evening OK</t>
  </si>
  <si>
    <t xml:space="preserve">Fit used</t>
  </si>
  <si>
    <t xml:space="preserve">Computed tier</t>
  </si>
  <si>
    <t xml:space="preserve">Final tier</t>
  </si>
  <si>
    <t xml:space="preserve">Devonport Domain Cricket 1</t>
  </si>
  <si>
    <t xml:space="preserve">candidate</t>
  </si>
  <si>
    <t xml:space="preserve">Devonport Domain Cricket 2</t>
  </si>
  <si>
    <t xml:space="preserve">Devonport Domain Cricket 3</t>
  </si>
  <si>
    <t xml:space="preserve">Devonport Domain Cricket 4</t>
  </si>
  <si>
    <t xml:space="preserve">Devonport Domain Cricket Nets 1</t>
  </si>
  <si>
    <t xml:space="preserve">Devonport Domain General Sport 3</t>
  </si>
  <si>
    <t xml:space="preserve">Devonport Domain Rugby 2</t>
  </si>
  <si>
    <t xml:space="preserve">Council field vetting — summary</t>
  </si>
  <si>
    <t xml:space="preserve">Parks</t>
  </si>
  <si>
    <t xml:space="preserve">Parks shortlisted</t>
  </si>
  <si>
    <t xml:space="preserve">Unsuitable</t>
  </si>
  <si>
    <t xml:space="preserve">A/B with evening lights</t>
  </si>
  <si>
    <t xml:space="preserve">Total</t>
  </si>
  <si>
    <t xml:space="preserve">Tier rule thresholds</t>
  </si>
  <si>
    <t xml:space="preserve">Edit the yellow cells; every computed tier updates.</t>
  </si>
  <si>
    <t xml:space="preserve">Key</t>
  </si>
  <si>
    <t xml:space="preserve">Rule</t>
  </si>
  <si>
    <t xml:space="preserve">Value</t>
  </si>
  <si>
    <t xml:space="preserve">A_QUALITY</t>
  </si>
  <si>
    <t xml:space="preserve">Tier A: minimum quality (1–5)</t>
  </si>
  <si>
    <t xml:space="preserve">A_RELIABILITY</t>
  </si>
  <si>
    <t xml:space="preserve">Tier A: minimum reliability (share of applications confirmed)</t>
  </si>
  <si>
    <t xml:space="preserve">B_QUALITY</t>
  </si>
  <si>
    <t xml:space="preserve">Tier B: minimum quality (1–5)</t>
  </si>
  <si>
    <t xml:space="preserve">B_RELIABILITY</t>
  </si>
  <si>
    <t xml:space="preserve">Tier B: minimum reliability</t>
  </si>
  <si>
    <t xml:space="preserve">MIN_APPS</t>
  </si>
  <si>
    <t xml:space="preserve">Applications needed before reliability counts (fewer = 'untested')</t>
  </si>
  <si>
    <t xml:space="preserve">Source: AMUA field-vetting design (docs/council-field-vetting.md) — rule-of-thumb starting values, agreed as adjustable. Lights are NOT part of the tier: they only matter for evening slots (see 'Evening OK' on the Fields sheet).</t>
  </si>
  <si>
    <t xml:space="preserve">Field status</t>
  </si>
  <si>
    <t xml:space="preserve">Tier</t>
  </si>
  <si>
    <t xml:space="preserve">Yes/No</t>
  </si>
  <si>
    <t xml:space="preserve">none</t>
  </si>
  <si>
    <t xml:space="preserve">Both</t>
  </si>
  <si>
    <t xml:space="preserve">High</t>
  </si>
  <si>
    <t xml:space="preserve">reduced</t>
  </si>
  <si>
    <t xml:space="preserve">sand-carpet</t>
  </si>
  <si>
    <t xml:space="preserve">shortlisted</t>
  </si>
  <si>
    <t xml:space="preserve">Medium</t>
  </si>
  <si>
    <t xml:space="preserve">B</t>
  </si>
  <si>
    <t xml:space="preserve">No</t>
  </si>
  <si>
    <t xml:space="preserve">no</t>
  </si>
  <si>
    <t xml:space="preserve">artificial</t>
  </si>
  <si>
    <t xml:space="preserve">Summer</t>
  </si>
  <si>
    <t xml:space="preserve">Low</t>
  </si>
  <si>
    <t xml:space="preserve">C</t>
  </si>
  <si>
    <t xml:space="preserve">Unknown</t>
  </si>
  <si>
    <t xml:space="preserve">unknown</t>
  </si>
  <si>
    <t xml:space="preserve">unsuitable</t>
  </si>
  <si>
    <t xml:space="preserve">retired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</si>
</sst>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2CC"/>
        <bgColor rgb="FFFFEB9C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2F7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  <col collapsed="false" customWidth="true" hidden="false" outlineLevel="0" max="16" min="3" style="0" width="13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90" hidden="false" customHeight="true" outlineLevel="0" collapsed="false">
      <c r="A5" s="2" t="s">
        <v>5</v>
      </c>
      <c r="B5" s="3" t="s">
        <v>6</v>
      </c>
    </row>
    <row r="6" customFormat="false" ht="105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30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15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4" t="s">
        <v>19</v>
      </c>
    </row>
    <row r="14" customFormat="false" ht="15" hidden="false" customHeight="false" outlineLevel="0" collapsed="false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9</v>
      </c>
      <c r="F14" s="5" t="s">
        <v>24</v>
      </c>
      <c r="G14" s="5" t="s">
        <v>25</v>
      </c>
      <c r="H14" s="5" t="s">
        <v>26</v>
      </c>
      <c r="I14" s="5" t="s">
        <v>27</v>
      </c>
      <c r="J14" s="5" t="s">
        <v>28</v>
      </c>
      <c r="K14" s="5" t="s">
        <v>29</v>
      </c>
      <c r="L14" s="5" t="s">
        <v>30</v>
      </c>
      <c r="M14" s="5" t="s">
        <v>31</v>
      </c>
      <c r="N14" s="5" t="s">
        <v>32</v>
      </c>
      <c r="O14" s="5" t="s">
        <v>33</v>
      </c>
      <c r="P14" s="5" t="s">
        <v>34</v>
      </c>
    </row>
    <row r="15" customFormat="false" ht="15" hidden="false" customHeight="false" outlineLevel="0" collapsed="false">
      <c r="A15" s="6" t="s">
        <v>35</v>
      </c>
      <c r="B15" s="6" t="s">
        <v>36</v>
      </c>
      <c r="C15" s="6" t="s">
        <v>37</v>
      </c>
      <c r="D15" s="6" t="s">
        <v>38</v>
      </c>
      <c r="E15" s="6" t="s">
        <v>39</v>
      </c>
      <c r="F15" s="6" t="s">
        <v>40</v>
      </c>
      <c r="G15" s="6" t="s">
        <v>41</v>
      </c>
      <c r="H15" s="6" t="s">
        <v>42</v>
      </c>
      <c r="I15" s="6" t="s">
        <v>43</v>
      </c>
      <c r="J15" s="6" t="s">
        <v>44</v>
      </c>
      <c r="K15" s="6" t="s">
        <v>45</v>
      </c>
      <c r="L15" s="6" t="s">
        <v>46</v>
      </c>
      <c r="M15" s="6" t="s">
        <v>47</v>
      </c>
      <c r="N15" s="6" t="s">
        <v>48</v>
      </c>
      <c r="O15" s="6" t="s">
        <v>49</v>
      </c>
      <c r="P15" s="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40"/>
    <col collapsed="false" customWidth="true" hidden="false" outlineLevel="0" max="11" min="10" style="0" width="10"/>
    <col collapsed="false" customWidth="true" hidden="false" outlineLevel="0" max="14" min="12" style="0" width="8"/>
    <col collapsed="false" customWidth="true" hidden="false" outlineLevel="0" max="15" min="15" style="0" width="11"/>
    <col collapsed="false" customWidth="true" hidden="false" outlineLevel="0" max="16" min="16" style="0" width="9"/>
  </cols>
  <sheetData>
    <row r="1" customFormat="false" ht="30" hidden="false" customHeight="true" outlineLevel="0" collapsed="false">
      <c r="A1" s="7" t="s">
        <v>51</v>
      </c>
      <c r="B1" s="7" t="s">
        <v>20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7" t="s">
        <v>57</v>
      </c>
      <c r="I1" s="7" t="s">
        <v>58</v>
      </c>
      <c r="J1" s="7" t="s">
        <v>59</v>
      </c>
      <c r="K1" s="7" t="s">
        <v>60</v>
      </c>
      <c r="L1" s="7" t="s">
        <v>61</v>
      </c>
      <c r="M1" s="7" t="s">
        <v>62</v>
      </c>
      <c r="N1" s="7" t="s">
        <v>63</v>
      </c>
      <c r="O1" s="7" t="s">
        <v>64</v>
      </c>
      <c r="P1" s="7" t="s">
        <v>65</v>
      </c>
    </row>
    <row r="2" customFormat="false" ht="15" hidden="false" customHeight="false" outlineLevel="0" collapsed="false">
      <c r="A2" s="8" t="s">
        <v>66</v>
      </c>
      <c r="B2" s="8" t="s">
        <v>67</v>
      </c>
      <c r="C2" s="9"/>
      <c r="D2" s="9" t="s">
        <v>68</v>
      </c>
      <c r="E2" s="9"/>
      <c r="F2" s="9"/>
      <c r="G2" s="9"/>
      <c r="H2" s="9"/>
      <c r="I2" s="9"/>
      <c r="J2" s="10" t="n">
        <f aca="false">COUNTIF(Fields!$A$2:$A$1001,B2)</f>
        <v>0</v>
      </c>
      <c r="K2" s="10" t="n">
        <f aca="false">COUNTIFS(Fields!$A$2:$A$1001,B2,Fields!$T$2:$T$1001,"vetted")</f>
        <v>0</v>
      </c>
      <c r="L2" s="10" t="n">
        <f aca="false">COUNTIFS(Fields!$A$2:$A$1001,B2,Fields!$Z$2:$Z$1001,"A")</f>
        <v>0</v>
      </c>
      <c r="M2" s="10" t="n">
        <f aca="false">COUNTIFS(Fields!$A$2:$A$1001,B2,Fields!$Z$2:$Z$1001,"B")</f>
        <v>0</v>
      </c>
      <c r="N2" s="10" t="n">
        <f aca="false">COUNTIFS(Fields!$A$2:$A$1001,B2,Fields!$Z$2:$Z$1001,"C")</f>
        <v>0</v>
      </c>
      <c r="O2" s="10" t="n">
        <f aca="false">COUNTIFS(Fields!$A$2:$A$1001,B2,Fields!$Z$2:$Z$1001,"A",Fields!$W$2:$W$1001,"Yes")+COUNTIFS(Fields!$A$2:$A$1001,B2,Fields!$Z$2:$Z$1001,"B",Fields!$W$2:$W$1001,"Yes")</f>
        <v>0</v>
      </c>
      <c r="P2" s="11" t="str">
        <f aca="false">IF(L2&gt;0,"A",IF(M2&gt;0,"B",IF(N2&gt;0,"C","")))</f>
        <v/>
      </c>
    </row>
    <row r="3" customFormat="false" ht="15" hidden="false" customHeight="false" outlineLevel="0" collapsed="false">
      <c r="A3" s="8" t="s">
        <v>66</v>
      </c>
      <c r="B3" s="8" t="s">
        <v>69</v>
      </c>
      <c r="C3" s="9"/>
      <c r="D3" s="9" t="s">
        <v>68</v>
      </c>
      <c r="E3" s="9"/>
      <c r="F3" s="9"/>
      <c r="G3" s="9"/>
      <c r="H3" s="9"/>
      <c r="I3" s="9"/>
      <c r="J3" s="10" t="n">
        <f aca="false">COUNTIF(Fields!$A$2:$A$1001,B3)</f>
        <v>0</v>
      </c>
      <c r="K3" s="10" t="n">
        <f aca="false">COUNTIFS(Fields!$A$2:$A$1001,B3,Fields!$T$2:$T$1001,"vetted")</f>
        <v>0</v>
      </c>
      <c r="L3" s="10" t="n">
        <f aca="false">COUNTIFS(Fields!$A$2:$A$1001,B3,Fields!$Z$2:$Z$1001,"A")</f>
        <v>0</v>
      </c>
      <c r="M3" s="10" t="n">
        <f aca="false">COUNTIFS(Fields!$A$2:$A$1001,B3,Fields!$Z$2:$Z$1001,"B")</f>
        <v>0</v>
      </c>
      <c r="N3" s="10" t="n">
        <f aca="false">COUNTIFS(Fields!$A$2:$A$1001,B3,Fields!$Z$2:$Z$1001,"C")</f>
        <v>0</v>
      </c>
      <c r="O3" s="10" t="n">
        <f aca="false">COUNTIFS(Fields!$A$2:$A$1001,B3,Fields!$Z$2:$Z$1001,"A",Fields!$W$2:$W$1001,"Yes")+COUNTIFS(Fields!$A$2:$A$1001,B3,Fields!$Z$2:$Z$1001,"B",Fields!$W$2:$W$1001,"Yes")</f>
        <v>0</v>
      </c>
      <c r="P3" s="11" t="str">
        <f aca="false">IF(L3&gt;0,"A",IF(M3&gt;0,"B",IF(N3&gt;0,"C","")))</f>
        <v/>
      </c>
    </row>
    <row r="4" customFormat="false" ht="15" hidden="false" customHeight="false" outlineLevel="0" collapsed="false">
      <c r="A4" s="8" t="s">
        <v>66</v>
      </c>
      <c r="B4" s="8" t="s">
        <v>70</v>
      </c>
      <c r="C4" s="9"/>
      <c r="D4" s="9" t="s">
        <v>68</v>
      </c>
      <c r="E4" s="9"/>
      <c r="F4" s="9"/>
      <c r="G4" s="9"/>
      <c r="H4" s="9"/>
      <c r="I4" s="9"/>
      <c r="J4" s="10" t="n">
        <f aca="false">COUNTIF(Fields!$A$2:$A$1001,B4)</f>
        <v>0</v>
      </c>
      <c r="K4" s="10" t="n">
        <f aca="false">COUNTIFS(Fields!$A$2:$A$1001,B4,Fields!$T$2:$T$1001,"vetted")</f>
        <v>0</v>
      </c>
      <c r="L4" s="10" t="n">
        <f aca="false">COUNTIFS(Fields!$A$2:$A$1001,B4,Fields!$Z$2:$Z$1001,"A")</f>
        <v>0</v>
      </c>
      <c r="M4" s="10" t="n">
        <f aca="false">COUNTIFS(Fields!$A$2:$A$1001,B4,Fields!$Z$2:$Z$1001,"B")</f>
        <v>0</v>
      </c>
      <c r="N4" s="10" t="n">
        <f aca="false">COUNTIFS(Fields!$A$2:$A$1001,B4,Fields!$Z$2:$Z$1001,"C")</f>
        <v>0</v>
      </c>
      <c r="O4" s="10" t="n">
        <f aca="false">COUNTIFS(Fields!$A$2:$A$1001,B4,Fields!$Z$2:$Z$1001,"A",Fields!$W$2:$W$1001,"Yes")+COUNTIFS(Fields!$A$2:$A$1001,B4,Fields!$Z$2:$Z$1001,"B",Fields!$W$2:$W$1001,"Yes")</f>
        <v>0</v>
      </c>
      <c r="P4" s="11" t="str">
        <f aca="false">IF(L4&gt;0,"A",IF(M4&gt;0,"B",IF(N4&gt;0,"C","")))</f>
        <v/>
      </c>
    </row>
    <row r="5" customFormat="false" ht="15" hidden="false" customHeight="false" outlineLevel="0" collapsed="false">
      <c r="A5" s="8" t="s">
        <v>66</v>
      </c>
      <c r="B5" s="8" t="s">
        <v>71</v>
      </c>
      <c r="C5" s="9"/>
      <c r="D5" s="9" t="s">
        <v>68</v>
      </c>
      <c r="E5" s="9"/>
      <c r="F5" s="9"/>
      <c r="G5" s="9"/>
      <c r="H5" s="9"/>
      <c r="I5" s="9"/>
      <c r="J5" s="10" t="n">
        <f aca="false">COUNTIF(Fields!$A$2:$A$1001,B5)</f>
        <v>0</v>
      </c>
      <c r="K5" s="10" t="n">
        <f aca="false">COUNTIFS(Fields!$A$2:$A$1001,B5,Fields!$T$2:$T$1001,"vetted")</f>
        <v>0</v>
      </c>
      <c r="L5" s="10" t="n">
        <f aca="false">COUNTIFS(Fields!$A$2:$A$1001,B5,Fields!$Z$2:$Z$1001,"A")</f>
        <v>0</v>
      </c>
      <c r="M5" s="10" t="n">
        <f aca="false">COUNTIFS(Fields!$A$2:$A$1001,B5,Fields!$Z$2:$Z$1001,"B")</f>
        <v>0</v>
      </c>
      <c r="N5" s="10" t="n">
        <f aca="false">COUNTIFS(Fields!$A$2:$A$1001,B5,Fields!$Z$2:$Z$1001,"C")</f>
        <v>0</v>
      </c>
      <c r="O5" s="10" t="n">
        <f aca="false">COUNTIFS(Fields!$A$2:$A$1001,B5,Fields!$Z$2:$Z$1001,"A",Fields!$W$2:$W$1001,"Yes")+COUNTIFS(Fields!$A$2:$A$1001,B5,Fields!$Z$2:$Z$1001,"B",Fields!$W$2:$W$1001,"Yes")</f>
        <v>0</v>
      </c>
      <c r="P5" s="11" t="str">
        <f aca="false">IF(L5&gt;0,"A",IF(M5&gt;0,"B",IF(N5&gt;0,"C","")))</f>
        <v/>
      </c>
    </row>
    <row r="6" customFormat="false" ht="15" hidden="false" customHeight="false" outlineLevel="0" collapsed="false">
      <c r="A6" s="8" t="s">
        <v>66</v>
      </c>
      <c r="B6" s="8" t="s">
        <v>72</v>
      </c>
      <c r="C6" s="9"/>
      <c r="D6" s="9" t="s">
        <v>68</v>
      </c>
      <c r="E6" s="9"/>
      <c r="F6" s="9"/>
      <c r="G6" s="9"/>
      <c r="H6" s="9"/>
      <c r="I6" s="9"/>
      <c r="J6" s="10" t="n">
        <f aca="false">COUNTIF(Fields!$A$2:$A$1001,B6)</f>
        <v>0</v>
      </c>
      <c r="K6" s="10" t="n">
        <f aca="false">COUNTIFS(Fields!$A$2:$A$1001,B6,Fields!$T$2:$T$1001,"vetted")</f>
        <v>0</v>
      </c>
      <c r="L6" s="10" t="n">
        <f aca="false">COUNTIFS(Fields!$A$2:$A$1001,B6,Fields!$Z$2:$Z$1001,"A")</f>
        <v>0</v>
      </c>
      <c r="M6" s="10" t="n">
        <f aca="false">COUNTIFS(Fields!$A$2:$A$1001,B6,Fields!$Z$2:$Z$1001,"B")</f>
        <v>0</v>
      </c>
      <c r="N6" s="10" t="n">
        <f aca="false">COUNTIFS(Fields!$A$2:$A$1001,B6,Fields!$Z$2:$Z$1001,"C")</f>
        <v>0</v>
      </c>
      <c r="O6" s="10" t="n">
        <f aca="false">COUNTIFS(Fields!$A$2:$A$1001,B6,Fields!$Z$2:$Z$1001,"A",Fields!$W$2:$W$1001,"Yes")+COUNTIFS(Fields!$A$2:$A$1001,B6,Fields!$Z$2:$Z$1001,"B",Fields!$W$2:$W$1001,"Yes")</f>
        <v>0</v>
      </c>
      <c r="P6" s="11" t="str">
        <f aca="false">IF(L6&gt;0,"A",IF(M6&gt;0,"B",IF(N6&gt;0,"C","")))</f>
        <v/>
      </c>
    </row>
    <row r="7" customFormat="false" ht="15" hidden="false" customHeight="false" outlineLevel="0" collapsed="false">
      <c r="A7" s="8" t="s">
        <v>66</v>
      </c>
      <c r="B7" s="8" t="s">
        <v>73</v>
      </c>
      <c r="C7" s="9"/>
      <c r="D7" s="9" t="s">
        <v>68</v>
      </c>
      <c r="E7" s="9"/>
      <c r="F7" s="9"/>
      <c r="G7" s="9"/>
      <c r="H7" s="9"/>
      <c r="I7" s="9"/>
      <c r="J7" s="10" t="n">
        <f aca="false">COUNTIF(Fields!$A$2:$A$1001,B7)</f>
        <v>0</v>
      </c>
      <c r="K7" s="10" t="n">
        <f aca="false">COUNTIFS(Fields!$A$2:$A$1001,B7,Fields!$T$2:$T$1001,"vetted")</f>
        <v>0</v>
      </c>
      <c r="L7" s="10" t="n">
        <f aca="false">COUNTIFS(Fields!$A$2:$A$1001,B7,Fields!$Z$2:$Z$1001,"A")</f>
        <v>0</v>
      </c>
      <c r="M7" s="10" t="n">
        <f aca="false">COUNTIFS(Fields!$A$2:$A$1001,B7,Fields!$Z$2:$Z$1001,"B")</f>
        <v>0</v>
      </c>
      <c r="N7" s="10" t="n">
        <f aca="false">COUNTIFS(Fields!$A$2:$A$1001,B7,Fields!$Z$2:$Z$1001,"C")</f>
        <v>0</v>
      </c>
      <c r="O7" s="10" t="n">
        <f aca="false">COUNTIFS(Fields!$A$2:$A$1001,B7,Fields!$Z$2:$Z$1001,"A",Fields!$W$2:$W$1001,"Yes")+COUNTIFS(Fields!$A$2:$A$1001,B7,Fields!$Z$2:$Z$1001,"B",Fields!$W$2:$W$1001,"Yes")</f>
        <v>0</v>
      </c>
      <c r="P7" s="11" t="str">
        <f aca="false">IF(L7&gt;0,"A",IF(M7&gt;0,"B",IF(N7&gt;0,"C","")))</f>
        <v/>
      </c>
    </row>
    <row r="8" customFormat="false" ht="15" hidden="false" customHeight="false" outlineLevel="0" collapsed="false">
      <c r="A8" s="8" t="s">
        <v>66</v>
      </c>
      <c r="B8" s="8" t="s">
        <v>74</v>
      </c>
      <c r="C8" s="9"/>
      <c r="D8" s="9" t="s">
        <v>68</v>
      </c>
      <c r="E8" s="9"/>
      <c r="F8" s="9"/>
      <c r="G8" s="9"/>
      <c r="H8" s="9"/>
      <c r="I8" s="9"/>
      <c r="J8" s="10" t="n">
        <f aca="false">COUNTIF(Fields!$A$2:$A$1001,B8)</f>
        <v>0</v>
      </c>
      <c r="K8" s="10" t="n">
        <f aca="false">COUNTIFS(Fields!$A$2:$A$1001,B8,Fields!$T$2:$T$1001,"vetted")</f>
        <v>0</v>
      </c>
      <c r="L8" s="10" t="n">
        <f aca="false">COUNTIFS(Fields!$A$2:$A$1001,B8,Fields!$Z$2:$Z$1001,"A")</f>
        <v>0</v>
      </c>
      <c r="M8" s="10" t="n">
        <f aca="false">COUNTIFS(Fields!$A$2:$A$1001,B8,Fields!$Z$2:$Z$1001,"B")</f>
        <v>0</v>
      </c>
      <c r="N8" s="10" t="n">
        <f aca="false">COUNTIFS(Fields!$A$2:$A$1001,B8,Fields!$Z$2:$Z$1001,"C")</f>
        <v>0</v>
      </c>
      <c r="O8" s="10" t="n">
        <f aca="false">COUNTIFS(Fields!$A$2:$A$1001,B8,Fields!$Z$2:$Z$1001,"A",Fields!$W$2:$W$1001,"Yes")+COUNTIFS(Fields!$A$2:$A$1001,B8,Fields!$Z$2:$Z$1001,"B",Fields!$W$2:$W$1001,"Yes")</f>
        <v>0</v>
      </c>
      <c r="P8" s="11" t="str">
        <f aca="false">IF(L8&gt;0,"A",IF(M8&gt;0,"B",IF(N8&gt;0,"C","")))</f>
        <v/>
      </c>
    </row>
    <row r="9" customFormat="false" ht="15" hidden="false" customHeight="false" outlineLevel="0" collapsed="false">
      <c r="A9" s="8" t="s">
        <v>66</v>
      </c>
      <c r="B9" s="8" t="s">
        <v>75</v>
      </c>
      <c r="C9" s="9"/>
      <c r="D9" s="9" t="s">
        <v>68</v>
      </c>
      <c r="E9" s="9"/>
      <c r="F9" s="9"/>
      <c r="G9" s="9"/>
      <c r="H9" s="9"/>
      <c r="I9" s="9"/>
      <c r="J9" s="10" t="n">
        <f aca="false">COUNTIF(Fields!$A$2:$A$1001,B9)</f>
        <v>0</v>
      </c>
      <c r="K9" s="10" t="n">
        <f aca="false">COUNTIFS(Fields!$A$2:$A$1001,B9,Fields!$T$2:$T$1001,"vetted")</f>
        <v>0</v>
      </c>
      <c r="L9" s="10" t="n">
        <f aca="false">COUNTIFS(Fields!$A$2:$A$1001,B9,Fields!$Z$2:$Z$1001,"A")</f>
        <v>0</v>
      </c>
      <c r="M9" s="10" t="n">
        <f aca="false">COUNTIFS(Fields!$A$2:$A$1001,B9,Fields!$Z$2:$Z$1001,"B")</f>
        <v>0</v>
      </c>
      <c r="N9" s="10" t="n">
        <f aca="false">COUNTIFS(Fields!$A$2:$A$1001,B9,Fields!$Z$2:$Z$1001,"C")</f>
        <v>0</v>
      </c>
      <c r="O9" s="10" t="n">
        <f aca="false">COUNTIFS(Fields!$A$2:$A$1001,B9,Fields!$Z$2:$Z$1001,"A",Fields!$W$2:$W$1001,"Yes")+COUNTIFS(Fields!$A$2:$A$1001,B9,Fields!$Z$2:$Z$1001,"B",Fields!$W$2:$W$1001,"Yes")</f>
        <v>0</v>
      </c>
      <c r="P9" s="11" t="str">
        <f aca="false">IF(L9&gt;0,"A",IF(M9&gt;0,"B",IF(N9&gt;0,"C","")))</f>
        <v/>
      </c>
    </row>
    <row r="10" customFormat="false" ht="15" hidden="false" customHeight="false" outlineLevel="0" collapsed="false">
      <c r="A10" s="8" t="s">
        <v>66</v>
      </c>
      <c r="B10" s="8" t="s">
        <v>76</v>
      </c>
      <c r="C10" s="9"/>
      <c r="D10" s="9" t="s">
        <v>68</v>
      </c>
      <c r="E10" s="9"/>
      <c r="F10" s="9"/>
      <c r="G10" s="9"/>
      <c r="H10" s="9"/>
      <c r="I10" s="9"/>
      <c r="J10" s="10" t="n">
        <f aca="false">COUNTIF(Fields!$A$2:$A$1001,B10)</f>
        <v>0</v>
      </c>
      <c r="K10" s="10" t="n">
        <f aca="false">COUNTIFS(Fields!$A$2:$A$1001,B10,Fields!$T$2:$T$1001,"vetted")</f>
        <v>0</v>
      </c>
      <c r="L10" s="10" t="n">
        <f aca="false">COUNTIFS(Fields!$A$2:$A$1001,B10,Fields!$Z$2:$Z$1001,"A")</f>
        <v>0</v>
      </c>
      <c r="M10" s="10" t="n">
        <f aca="false">COUNTIFS(Fields!$A$2:$A$1001,B10,Fields!$Z$2:$Z$1001,"B")</f>
        <v>0</v>
      </c>
      <c r="N10" s="10" t="n">
        <f aca="false">COUNTIFS(Fields!$A$2:$A$1001,B10,Fields!$Z$2:$Z$1001,"C")</f>
        <v>0</v>
      </c>
      <c r="O10" s="10" t="n">
        <f aca="false">COUNTIFS(Fields!$A$2:$A$1001,B10,Fields!$Z$2:$Z$1001,"A",Fields!$W$2:$W$1001,"Yes")+COUNTIFS(Fields!$A$2:$A$1001,B10,Fields!$Z$2:$Z$1001,"B",Fields!$W$2:$W$1001,"Yes")</f>
        <v>0</v>
      </c>
      <c r="P10" s="11" t="str">
        <f aca="false">IF(L10&gt;0,"A",IF(M10&gt;0,"B",IF(N10&gt;0,"C","")))</f>
        <v/>
      </c>
    </row>
    <row r="11" customFormat="false" ht="15" hidden="false" customHeight="false" outlineLevel="0" collapsed="false">
      <c r="A11" s="8" t="s">
        <v>66</v>
      </c>
      <c r="B11" s="8" t="s">
        <v>77</v>
      </c>
      <c r="C11" s="9"/>
      <c r="D11" s="9" t="s">
        <v>68</v>
      </c>
      <c r="E11" s="9"/>
      <c r="F11" s="9"/>
      <c r="G11" s="9"/>
      <c r="H11" s="9"/>
      <c r="I11" s="9"/>
      <c r="J11" s="10" t="n">
        <f aca="false">COUNTIF(Fields!$A$2:$A$1001,B11)</f>
        <v>0</v>
      </c>
      <c r="K11" s="10" t="n">
        <f aca="false">COUNTIFS(Fields!$A$2:$A$1001,B11,Fields!$T$2:$T$1001,"vetted")</f>
        <v>0</v>
      </c>
      <c r="L11" s="10" t="n">
        <f aca="false">COUNTIFS(Fields!$A$2:$A$1001,B11,Fields!$Z$2:$Z$1001,"A")</f>
        <v>0</v>
      </c>
      <c r="M11" s="10" t="n">
        <f aca="false">COUNTIFS(Fields!$A$2:$A$1001,B11,Fields!$Z$2:$Z$1001,"B")</f>
        <v>0</v>
      </c>
      <c r="N11" s="10" t="n">
        <f aca="false">COUNTIFS(Fields!$A$2:$A$1001,B11,Fields!$Z$2:$Z$1001,"C")</f>
        <v>0</v>
      </c>
      <c r="O11" s="10" t="n">
        <f aca="false">COUNTIFS(Fields!$A$2:$A$1001,B11,Fields!$Z$2:$Z$1001,"A",Fields!$W$2:$W$1001,"Yes")+COUNTIFS(Fields!$A$2:$A$1001,B11,Fields!$Z$2:$Z$1001,"B",Fields!$W$2:$W$1001,"Yes")</f>
        <v>0</v>
      </c>
      <c r="P11" s="11" t="str">
        <f aca="false">IF(L11&gt;0,"A",IF(M11&gt;0,"B",IF(N11&gt;0,"C","")))</f>
        <v/>
      </c>
    </row>
    <row r="12" customFormat="false" ht="15" hidden="false" customHeight="false" outlineLevel="0" collapsed="false">
      <c r="A12" s="8" t="s">
        <v>66</v>
      </c>
      <c r="B12" s="8" t="s">
        <v>78</v>
      </c>
      <c r="C12" s="9"/>
      <c r="D12" s="9" t="s">
        <v>68</v>
      </c>
      <c r="E12" s="9"/>
      <c r="F12" s="9"/>
      <c r="G12" s="9"/>
      <c r="H12" s="9"/>
      <c r="I12" s="9"/>
      <c r="J12" s="10" t="n">
        <f aca="false">COUNTIF(Fields!$A$2:$A$1001,B12)</f>
        <v>0</v>
      </c>
      <c r="K12" s="10" t="n">
        <f aca="false">COUNTIFS(Fields!$A$2:$A$1001,B12,Fields!$T$2:$T$1001,"vetted")</f>
        <v>0</v>
      </c>
      <c r="L12" s="10" t="n">
        <f aca="false">COUNTIFS(Fields!$A$2:$A$1001,B12,Fields!$Z$2:$Z$1001,"A")</f>
        <v>0</v>
      </c>
      <c r="M12" s="10" t="n">
        <f aca="false">COUNTIFS(Fields!$A$2:$A$1001,B12,Fields!$Z$2:$Z$1001,"B")</f>
        <v>0</v>
      </c>
      <c r="N12" s="10" t="n">
        <f aca="false">COUNTIFS(Fields!$A$2:$A$1001,B12,Fields!$Z$2:$Z$1001,"C")</f>
        <v>0</v>
      </c>
      <c r="O12" s="10" t="n">
        <f aca="false">COUNTIFS(Fields!$A$2:$A$1001,B12,Fields!$Z$2:$Z$1001,"A",Fields!$W$2:$W$1001,"Yes")+COUNTIFS(Fields!$A$2:$A$1001,B12,Fields!$Z$2:$Z$1001,"B",Fields!$W$2:$W$1001,"Yes")</f>
        <v>0</v>
      </c>
      <c r="P12" s="11" t="str">
        <f aca="false">IF(L12&gt;0,"A",IF(M12&gt;0,"B",IF(N12&gt;0,"C","")))</f>
        <v/>
      </c>
    </row>
    <row r="13" customFormat="false" ht="15" hidden="false" customHeight="false" outlineLevel="0" collapsed="false">
      <c r="A13" s="8" t="s">
        <v>66</v>
      </c>
      <c r="B13" s="8" t="s">
        <v>79</v>
      </c>
      <c r="C13" s="9"/>
      <c r="D13" s="9" t="s">
        <v>68</v>
      </c>
      <c r="E13" s="9"/>
      <c r="F13" s="9"/>
      <c r="G13" s="9"/>
      <c r="H13" s="9"/>
      <c r="I13" s="9"/>
      <c r="J13" s="10" t="n">
        <f aca="false">COUNTIF(Fields!$A$2:$A$1001,B13)</f>
        <v>0</v>
      </c>
      <c r="K13" s="10" t="n">
        <f aca="false">COUNTIFS(Fields!$A$2:$A$1001,B13,Fields!$T$2:$T$1001,"vetted")</f>
        <v>0</v>
      </c>
      <c r="L13" s="10" t="n">
        <f aca="false">COUNTIFS(Fields!$A$2:$A$1001,B13,Fields!$Z$2:$Z$1001,"A")</f>
        <v>0</v>
      </c>
      <c r="M13" s="10" t="n">
        <f aca="false">COUNTIFS(Fields!$A$2:$A$1001,B13,Fields!$Z$2:$Z$1001,"B")</f>
        <v>0</v>
      </c>
      <c r="N13" s="10" t="n">
        <f aca="false">COUNTIFS(Fields!$A$2:$A$1001,B13,Fields!$Z$2:$Z$1001,"C")</f>
        <v>0</v>
      </c>
      <c r="O13" s="10" t="n">
        <f aca="false">COUNTIFS(Fields!$A$2:$A$1001,B13,Fields!$Z$2:$Z$1001,"A",Fields!$W$2:$W$1001,"Yes")+COUNTIFS(Fields!$A$2:$A$1001,B13,Fields!$Z$2:$Z$1001,"B",Fields!$W$2:$W$1001,"Yes")</f>
        <v>0</v>
      </c>
      <c r="P13" s="11" t="str">
        <f aca="false">IF(L13&gt;0,"A",IF(M13&gt;0,"B",IF(N13&gt;0,"C","")))</f>
        <v/>
      </c>
    </row>
    <row r="14" customFormat="false" ht="15" hidden="false" customHeight="false" outlineLevel="0" collapsed="false">
      <c r="A14" s="8" t="s">
        <v>66</v>
      </c>
      <c r="B14" s="8" t="s">
        <v>80</v>
      </c>
      <c r="C14" s="9"/>
      <c r="D14" s="9" t="s">
        <v>68</v>
      </c>
      <c r="E14" s="9"/>
      <c r="F14" s="9"/>
      <c r="G14" s="9"/>
      <c r="H14" s="9"/>
      <c r="I14" s="9"/>
      <c r="J14" s="10" t="n">
        <f aca="false">COUNTIF(Fields!$A$2:$A$1001,B14)</f>
        <v>0</v>
      </c>
      <c r="K14" s="10" t="n">
        <f aca="false">COUNTIFS(Fields!$A$2:$A$1001,B14,Fields!$T$2:$T$1001,"vetted")</f>
        <v>0</v>
      </c>
      <c r="L14" s="10" t="n">
        <f aca="false">COUNTIFS(Fields!$A$2:$A$1001,B14,Fields!$Z$2:$Z$1001,"A")</f>
        <v>0</v>
      </c>
      <c r="M14" s="10" t="n">
        <f aca="false">COUNTIFS(Fields!$A$2:$A$1001,B14,Fields!$Z$2:$Z$1001,"B")</f>
        <v>0</v>
      </c>
      <c r="N14" s="10" t="n">
        <f aca="false">COUNTIFS(Fields!$A$2:$A$1001,B14,Fields!$Z$2:$Z$1001,"C")</f>
        <v>0</v>
      </c>
      <c r="O14" s="10" t="n">
        <f aca="false">COUNTIFS(Fields!$A$2:$A$1001,B14,Fields!$Z$2:$Z$1001,"A",Fields!$W$2:$W$1001,"Yes")+COUNTIFS(Fields!$A$2:$A$1001,B14,Fields!$Z$2:$Z$1001,"B",Fields!$W$2:$W$1001,"Yes")</f>
        <v>0</v>
      </c>
      <c r="P14" s="11" t="str">
        <f aca="false">IF(L14&gt;0,"A",IF(M14&gt;0,"B",IF(N14&gt;0,"C","")))</f>
        <v/>
      </c>
    </row>
    <row r="15" customFormat="false" ht="15" hidden="false" customHeight="false" outlineLevel="0" collapsed="false">
      <c r="A15" s="8" t="s">
        <v>66</v>
      </c>
      <c r="B15" s="8" t="s">
        <v>81</v>
      </c>
      <c r="C15" s="9"/>
      <c r="D15" s="9" t="s">
        <v>68</v>
      </c>
      <c r="E15" s="9"/>
      <c r="F15" s="9"/>
      <c r="G15" s="9"/>
      <c r="H15" s="9"/>
      <c r="I15" s="9"/>
      <c r="J15" s="10" t="n">
        <f aca="false">COUNTIF(Fields!$A$2:$A$1001,B15)</f>
        <v>0</v>
      </c>
      <c r="K15" s="10" t="n">
        <f aca="false">COUNTIFS(Fields!$A$2:$A$1001,B15,Fields!$T$2:$T$1001,"vetted")</f>
        <v>0</v>
      </c>
      <c r="L15" s="10" t="n">
        <f aca="false">COUNTIFS(Fields!$A$2:$A$1001,B15,Fields!$Z$2:$Z$1001,"A")</f>
        <v>0</v>
      </c>
      <c r="M15" s="10" t="n">
        <f aca="false">COUNTIFS(Fields!$A$2:$A$1001,B15,Fields!$Z$2:$Z$1001,"B")</f>
        <v>0</v>
      </c>
      <c r="N15" s="10" t="n">
        <f aca="false">COUNTIFS(Fields!$A$2:$A$1001,B15,Fields!$Z$2:$Z$1001,"C")</f>
        <v>0</v>
      </c>
      <c r="O15" s="10" t="n">
        <f aca="false">COUNTIFS(Fields!$A$2:$A$1001,B15,Fields!$Z$2:$Z$1001,"A",Fields!$W$2:$W$1001,"Yes")+COUNTIFS(Fields!$A$2:$A$1001,B15,Fields!$Z$2:$Z$1001,"B",Fields!$W$2:$W$1001,"Yes")</f>
        <v>0</v>
      </c>
      <c r="P15" s="11" t="str">
        <f aca="false">IF(L15&gt;0,"A",IF(M15&gt;0,"B",IF(N15&gt;0,"C","")))</f>
        <v/>
      </c>
    </row>
    <row r="16" customFormat="false" ht="15" hidden="false" customHeight="false" outlineLevel="0" collapsed="false">
      <c r="A16" s="8" t="s">
        <v>66</v>
      </c>
      <c r="B16" s="8" t="s">
        <v>82</v>
      </c>
      <c r="C16" s="9"/>
      <c r="D16" s="9" t="s">
        <v>68</v>
      </c>
      <c r="E16" s="9"/>
      <c r="F16" s="9"/>
      <c r="G16" s="9"/>
      <c r="H16" s="9"/>
      <c r="I16" s="9"/>
      <c r="J16" s="10" t="n">
        <f aca="false">COUNTIF(Fields!$A$2:$A$1001,B16)</f>
        <v>0</v>
      </c>
      <c r="K16" s="10" t="n">
        <f aca="false">COUNTIFS(Fields!$A$2:$A$1001,B16,Fields!$T$2:$T$1001,"vetted")</f>
        <v>0</v>
      </c>
      <c r="L16" s="10" t="n">
        <f aca="false">COUNTIFS(Fields!$A$2:$A$1001,B16,Fields!$Z$2:$Z$1001,"A")</f>
        <v>0</v>
      </c>
      <c r="M16" s="10" t="n">
        <f aca="false">COUNTIFS(Fields!$A$2:$A$1001,B16,Fields!$Z$2:$Z$1001,"B")</f>
        <v>0</v>
      </c>
      <c r="N16" s="10" t="n">
        <f aca="false">COUNTIFS(Fields!$A$2:$A$1001,B16,Fields!$Z$2:$Z$1001,"C")</f>
        <v>0</v>
      </c>
      <c r="O16" s="10" t="n">
        <f aca="false">COUNTIFS(Fields!$A$2:$A$1001,B16,Fields!$Z$2:$Z$1001,"A",Fields!$W$2:$W$1001,"Yes")+COUNTIFS(Fields!$A$2:$A$1001,B16,Fields!$Z$2:$Z$1001,"B",Fields!$W$2:$W$1001,"Yes")</f>
        <v>0</v>
      </c>
      <c r="P16" s="11" t="str">
        <f aca="false">IF(L16&gt;0,"A",IF(M16&gt;0,"B",IF(N16&gt;0,"C","")))</f>
        <v/>
      </c>
    </row>
    <row r="17" customFormat="false" ht="15" hidden="false" customHeight="false" outlineLevel="0" collapsed="false">
      <c r="A17" s="8" t="s">
        <v>66</v>
      </c>
      <c r="B17" s="8" t="s">
        <v>83</v>
      </c>
      <c r="C17" s="9"/>
      <c r="D17" s="9" t="s">
        <v>68</v>
      </c>
      <c r="E17" s="9"/>
      <c r="F17" s="9"/>
      <c r="G17" s="9"/>
      <c r="H17" s="9"/>
      <c r="I17" s="9"/>
      <c r="J17" s="10" t="n">
        <f aca="false">COUNTIF(Fields!$A$2:$A$1001,B17)</f>
        <v>0</v>
      </c>
      <c r="K17" s="10" t="n">
        <f aca="false">COUNTIFS(Fields!$A$2:$A$1001,B17,Fields!$T$2:$T$1001,"vetted")</f>
        <v>0</v>
      </c>
      <c r="L17" s="10" t="n">
        <f aca="false">COUNTIFS(Fields!$A$2:$A$1001,B17,Fields!$Z$2:$Z$1001,"A")</f>
        <v>0</v>
      </c>
      <c r="M17" s="10" t="n">
        <f aca="false">COUNTIFS(Fields!$A$2:$A$1001,B17,Fields!$Z$2:$Z$1001,"B")</f>
        <v>0</v>
      </c>
      <c r="N17" s="10" t="n">
        <f aca="false">COUNTIFS(Fields!$A$2:$A$1001,B17,Fields!$Z$2:$Z$1001,"C")</f>
        <v>0</v>
      </c>
      <c r="O17" s="10" t="n">
        <f aca="false">COUNTIFS(Fields!$A$2:$A$1001,B17,Fields!$Z$2:$Z$1001,"A",Fields!$W$2:$W$1001,"Yes")+COUNTIFS(Fields!$A$2:$A$1001,B17,Fields!$Z$2:$Z$1001,"B",Fields!$W$2:$W$1001,"Yes")</f>
        <v>0</v>
      </c>
      <c r="P17" s="11" t="str">
        <f aca="false">IF(L17&gt;0,"A",IF(M17&gt;0,"B",IF(N17&gt;0,"C","")))</f>
        <v/>
      </c>
    </row>
    <row r="18" customFormat="false" ht="15" hidden="false" customHeight="false" outlineLevel="0" collapsed="false">
      <c r="A18" s="8" t="s">
        <v>66</v>
      </c>
      <c r="B18" s="8" t="s">
        <v>84</v>
      </c>
      <c r="C18" s="9"/>
      <c r="D18" s="9" t="s">
        <v>68</v>
      </c>
      <c r="E18" s="9"/>
      <c r="F18" s="9"/>
      <c r="G18" s="9"/>
      <c r="H18" s="9"/>
      <c r="I18" s="9"/>
      <c r="J18" s="10" t="n">
        <f aca="false">COUNTIF(Fields!$A$2:$A$1001,B18)</f>
        <v>0</v>
      </c>
      <c r="K18" s="10" t="n">
        <f aca="false">COUNTIFS(Fields!$A$2:$A$1001,B18,Fields!$T$2:$T$1001,"vetted")</f>
        <v>0</v>
      </c>
      <c r="L18" s="10" t="n">
        <f aca="false">COUNTIFS(Fields!$A$2:$A$1001,B18,Fields!$Z$2:$Z$1001,"A")</f>
        <v>0</v>
      </c>
      <c r="M18" s="10" t="n">
        <f aca="false">COUNTIFS(Fields!$A$2:$A$1001,B18,Fields!$Z$2:$Z$1001,"B")</f>
        <v>0</v>
      </c>
      <c r="N18" s="10" t="n">
        <f aca="false">COUNTIFS(Fields!$A$2:$A$1001,B18,Fields!$Z$2:$Z$1001,"C")</f>
        <v>0</v>
      </c>
      <c r="O18" s="10" t="n">
        <f aca="false">COUNTIFS(Fields!$A$2:$A$1001,B18,Fields!$Z$2:$Z$1001,"A",Fields!$W$2:$W$1001,"Yes")+COUNTIFS(Fields!$A$2:$A$1001,B18,Fields!$Z$2:$Z$1001,"B",Fields!$W$2:$W$1001,"Yes")</f>
        <v>0</v>
      </c>
      <c r="P18" s="11" t="str">
        <f aca="false">IF(L18&gt;0,"A",IF(M18&gt;0,"B",IF(N18&gt;0,"C","")))</f>
        <v/>
      </c>
    </row>
    <row r="19" customFormat="false" ht="15" hidden="false" customHeight="false" outlineLevel="0" collapsed="false">
      <c r="A19" s="8" t="s">
        <v>66</v>
      </c>
      <c r="B19" s="8" t="s">
        <v>85</v>
      </c>
      <c r="C19" s="9"/>
      <c r="D19" s="9" t="s">
        <v>68</v>
      </c>
      <c r="E19" s="9"/>
      <c r="F19" s="9"/>
      <c r="G19" s="9"/>
      <c r="H19" s="9"/>
      <c r="I19" s="9"/>
      <c r="J19" s="10" t="n">
        <f aca="false">COUNTIF(Fields!$A$2:$A$1001,B19)</f>
        <v>0</v>
      </c>
      <c r="K19" s="10" t="n">
        <f aca="false">COUNTIFS(Fields!$A$2:$A$1001,B19,Fields!$T$2:$T$1001,"vetted")</f>
        <v>0</v>
      </c>
      <c r="L19" s="10" t="n">
        <f aca="false">COUNTIFS(Fields!$A$2:$A$1001,B19,Fields!$Z$2:$Z$1001,"A")</f>
        <v>0</v>
      </c>
      <c r="M19" s="10" t="n">
        <f aca="false">COUNTIFS(Fields!$A$2:$A$1001,B19,Fields!$Z$2:$Z$1001,"B")</f>
        <v>0</v>
      </c>
      <c r="N19" s="10" t="n">
        <f aca="false">COUNTIFS(Fields!$A$2:$A$1001,B19,Fields!$Z$2:$Z$1001,"C")</f>
        <v>0</v>
      </c>
      <c r="O19" s="10" t="n">
        <f aca="false">COUNTIFS(Fields!$A$2:$A$1001,B19,Fields!$Z$2:$Z$1001,"A",Fields!$W$2:$W$1001,"Yes")+COUNTIFS(Fields!$A$2:$A$1001,B19,Fields!$Z$2:$Z$1001,"B",Fields!$W$2:$W$1001,"Yes")</f>
        <v>0</v>
      </c>
      <c r="P19" s="11" t="str">
        <f aca="false">IF(L19&gt;0,"A",IF(M19&gt;0,"B",IF(N19&gt;0,"C","")))</f>
        <v/>
      </c>
    </row>
    <row r="20" customFormat="false" ht="15" hidden="false" customHeight="false" outlineLevel="0" collapsed="false">
      <c r="A20" s="8" t="s">
        <v>66</v>
      </c>
      <c r="B20" s="8" t="s">
        <v>86</v>
      </c>
      <c r="C20" s="9"/>
      <c r="D20" s="9" t="s">
        <v>68</v>
      </c>
      <c r="E20" s="9"/>
      <c r="F20" s="9"/>
      <c r="G20" s="9"/>
      <c r="H20" s="9"/>
      <c r="I20" s="9"/>
      <c r="J20" s="10" t="n">
        <f aca="false">COUNTIF(Fields!$A$2:$A$1001,B20)</f>
        <v>0</v>
      </c>
      <c r="K20" s="10" t="n">
        <f aca="false">COUNTIFS(Fields!$A$2:$A$1001,B20,Fields!$T$2:$T$1001,"vetted")</f>
        <v>0</v>
      </c>
      <c r="L20" s="10" t="n">
        <f aca="false">COUNTIFS(Fields!$A$2:$A$1001,B20,Fields!$Z$2:$Z$1001,"A")</f>
        <v>0</v>
      </c>
      <c r="M20" s="10" t="n">
        <f aca="false">COUNTIFS(Fields!$A$2:$A$1001,B20,Fields!$Z$2:$Z$1001,"B")</f>
        <v>0</v>
      </c>
      <c r="N20" s="10" t="n">
        <f aca="false">COUNTIFS(Fields!$A$2:$A$1001,B20,Fields!$Z$2:$Z$1001,"C")</f>
        <v>0</v>
      </c>
      <c r="O20" s="10" t="n">
        <f aca="false">COUNTIFS(Fields!$A$2:$A$1001,B20,Fields!$Z$2:$Z$1001,"A",Fields!$W$2:$W$1001,"Yes")+COUNTIFS(Fields!$A$2:$A$1001,B20,Fields!$Z$2:$Z$1001,"B",Fields!$W$2:$W$1001,"Yes")</f>
        <v>0</v>
      </c>
      <c r="P20" s="11" t="str">
        <f aca="false">IF(L20&gt;0,"A",IF(M20&gt;0,"B",IF(N20&gt;0,"C","")))</f>
        <v/>
      </c>
    </row>
    <row r="21" customFormat="false" ht="15" hidden="false" customHeight="false" outlineLevel="0" collapsed="false">
      <c r="A21" s="8" t="s">
        <v>66</v>
      </c>
      <c r="B21" s="8" t="s">
        <v>87</v>
      </c>
      <c r="C21" s="9"/>
      <c r="D21" s="9" t="s">
        <v>68</v>
      </c>
      <c r="E21" s="9"/>
      <c r="F21" s="9"/>
      <c r="G21" s="9"/>
      <c r="H21" s="9"/>
      <c r="I21" s="9"/>
      <c r="J21" s="10" t="n">
        <f aca="false">COUNTIF(Fields!$A$2:$A$1001,B21)</f>
        <v>0</v>
      </c>
      <c r="K21" s="10" t="n">
        <f aca="false">COUNTIFS(Fields!$A$2:$A$1001,B21,Fields!$T$2:$T$1001,"vetted")</f>
        <v>0</v>
      </c>
      <c r="L21" s="10" t="n">
        <f aca="false">COUNTIFS(Fields!$A$2:$A$1001,B21,Fields!$Z$2:$Z$1001,"A")</f>
        <v>0</v>
      </c>
      <c r="M21" s="10" t="n">
        <f aca="false">COUNTIFS(Fields!$A$2:$A$1001,B21,Fields!$Z$2:$Z$1001,"B")</f>
        <v>0</v>
      </c>
      <c r="N21" s="10" t="n">
        <f aca="false">COUNTIFS(Fields!$A$2:$A$1001,B21,Fields!$Z$2:$Z$1001,"C")</f>
        <v>0</v>
      </c>
      <c r="O21" s="10" t="n">
        <f aca="false">COUNTIFS(Fields!$A$2:$A$1001,B21,Fields!$Z$2:$Z$1001,"A",Fields!$W$2:$W$1001,"Yes")+COUNTIFS(Fields!$A$2:$A$1001,B21,Fields!$Z$2:$Z$1001,"B",Fields!$W$2:$W$1001,"Yes")</f>
        <v>0</v>
      </c>
      <c r="P21" s="11" t="str">
        <f aca="false">IF(L21&gt;0,"A",IF(M21&gt;0,"B",IF(N21&gt;0,"C","")))</f>
        <v/>
      </c>
    </row>
    <row r="22" customFormat="false" ht="15" hidden="false" customHeight="false" outlineLevel="0" collapsed="false">
      <c r="A22" s="8" t="s">
        <v>66</v>
      </c>
      <c r="B22" s="8" t="s">
        <v>88</v>
      </c>
      <c r="C22" s="9"/>
      <c r="D22" s="9" t="s">
        <v>68</v>
      </c>
      <c r="E22" s="9"/>
      <c r="F22" s="9"/>
      <c r="G22" s="9"/>
      <c r="H22" s="9"/>
      <c r="I22" s="9"/>
      <c r="J22" s="10" t="n">
        <f aca="false">COUNTIF(Fields!$A$2:$A$1001,B22)</f>
        <v>0</v>
      </c>
      <c r="K22" s="10" t="n">
        <f aca="false">COUNTIFS(Fields!$A$2:$A$1001,B22,Fields!$T$2:$T$1001,"vetted")</f>
        <v>0</v>
      </c>
      <c r="L22" s="10" t="n">
        <f aca="false">COUNTIFS(Fields!$A$2:$A$1001,B22,Fields!$Z$2:$Z$1001,"A")</f>
        <v>0</v>
      </c>
      <c r="M22" s="10" t="n">
        <f aca="false">COUNTIFS(Fields!$A$2:$A$1001,B22,Fields!$Z$2:$Z$1001,"B")</f>
        <v>0</v>
      </c>
      <c r="N22" s="10" t="n">
        <f aca="false">COUNTIFS(Fields!$A$2:$A$1001,B22,Fields!$Z$2:$Z$1001,"C")</f>
        <v>0</v>
      </c>
      <c r="O22" s="10" t="n">
        <f aca="false">COUNTIFS(Fields!$A$2:$A$1001,B22,Fields!$Z$2:$Z$1001,"A",Fields!$W$2:$W$1001,"Yes")+COUNTIFS(Fields!$A$2:$A$1001,B22,Fields!$Z$2:$Z$1001,"B",Fields!$W$2:$W$1001,"Yes")</f>
        <v>0</v>
      </c>
      <c r="P22" s="11" t="str">
        <f aca="false">IF(L22&gt;0,"A",IF(M22&gt;0,"B",IF(N22&gt;0,"C","")))</f>
        <v/>
      </c>
    </row>
    <row r="23" customFormat="false" ht="15" hidden="false" customHeight="false" outlineLevel="0" collapsed="false">
      <c r="A23" s="8" t="s">
        <v>66</v>
      </c>
      <c r="B23" s="8" t="s">
        <v>89</v>
      </c>
      <c r="C23" s="9"/>
      <c r="D23" s="9" t="s">
        <v>68</v>
      </c>
      <c r="E23" s="9"/>
      <c r="F23" s="9"/>
      <c r="G23" s="9"/>
      <c r="H23" s="9"/>
      <c r="I23" s="9"/>
      <c r="J23" s="10" t="n">
        <f aca="false">COUNTIF(Fields!$A$2:$A$1001,B23)</f>
        <v>0</v>
      </c>
      <c r="K23" s="10" t="n">
        <f aca="false">COUNTIFS(Fields!$A$2:$A$1001,B23,Fields!$T$2:$T$1001,"vetted")</f>
        <v>0</v>
      </c>
      <c r="L23" s="10" t="n">
        <f aca="false">COUNTIFS(Fields!$A$2:$A$1001,B23,Fields!$Z$2:$Z$1001,"A")</f>
        <v>0</v>
      </c>
      <c r="M23" s="10" t="n">
        <f aca="false">COUNTIFS(Fields!$A$2:$A$1001,B23,Fields!$Z$2:$Z$1001,"B")</f>
        <v>0</v>
      </c>
      <c r="N23" s="10" t="n">
        <f aca="false">COUNTIFS(Fields!$A$2:$A$1001,B23,Fields!$Z$2:$Z$1001,"C")</f>
        <v>0</v>
      </c>
      <c r="O23" s="10" t="n">
        <f aca="false">COUNTIFS(Fields!$A$2:$A$1001,B23,Fields!$Z$2:$Z$1001,"A",Fields!$W$2:$W$1001,"Yes")+COUNTIFS(Fields!$A$2:$A$1001,B23,Fields!$Z$2:$Z$1001,"B",Fields!$W$2:$W$1001,"Yes")</f>
        <v>0</v>
      </c>
      <c r="P23" s="11" t="str">
        <f aca="false">IF(L23&gt;0,"A",IF(M23&gt;0,"B",IF(N23&gt;0,"C","")))</f>
        <v/>
      </c>
    </row>
    <row r="24" customFormat="false" ht="15" hidden="false" customHeight="false" outlineLevel="0" collapsed="false">
      <c r="A24" s="8" t="s">
        <v>66</v>
      </c>
      <c r="B24" s="8" t="s">
        <v>90</v>
      </c>
      <c r="C24" s="9"/>
      <c r="D24" s="9" t="s">
        <v>68</v>
      </c>
      <c r="E24" s="9"/>
      <c r="F24" s="9"/>
      <c r="G24" s="9"/>
      <c r="H24" s="9"/>
      <c r="I24" s="9"/>
      <c r="J24" s="10" t="n">
        <f aca="false">COUNTIF(Fields!$A$2:$A$1001,B24)</f>
        <v>0</v>
      </c>
      <c r="K24" s="10" t="n">
        <f aca="false">COUNTIFS(Fields!$A$2:$A$1001,B24,Fields!$T$2:$T$1001,"vetted")</f>
        <v>0</v>
      </c>
      <c r="L24" s="10" t="n">
        <f aca="false">COUNTIFS(Fields!$A$2:$A$1001,B24,Fields!$Z$2:$Z$1001,"A")</f>
        <v>0</v>
      </c>
      <c r="M24" s="10" t="n">
        <f aca="false">COUNTIFS(Fields!$A$2:$A$1001,B24,Fields!$Z$2:$Z$1001,"B")</f>
        <v>0</v>
      </c>
      <c r="N24" s="10" t="n">
        <f aca="false">COUNTIFS(Fields!$A$2:$A$1001,B24,Fields!$Z$2:$Z$1001,"C")</f>
        <v>0</v>
      </c>
      <c r="O24" s="10" t="n">
        <f aca="false">COUNTIFS(Fields!$A$2:$A$1001,B24,Fields!$Z$2:$Z$1001,"A",Fields!$W$2:$W$1001,"Yes")+COUNTIFS(Fields!$A$2:$A$1001,B24,Fields!$Z$2:$Z$1001,"B",Fields!$W$2:$W$1001,"Yes")</f>
        <v>0</v>
      </c>
      <c r="P24" s="11" t="str">
        <f aca="false">IF(L24&gt;0,"A",IF(M24&gt;0,"B",IF(N24&gt;0,"C","")))</f>
        <v/>
      </c>
    </row>
    <row r="25" customFormat="false" ht="15" hidden="false" customHeight="false" outlineLevel="0" collapsed="false">
      <c r="A25" s="8" t="s">
        <v>66</v>
      </c>
      <c r="B25" s="8" t="s">
        <v>91</v>
      </c>
      <c r="C25" s="9"/>
      <c r="D25" s="9" t="s">
        <v>68</v>
      </c>
      <c r="E25" s="9"/>
      <c r="F25" s="9"/>
      <c r="G25" s="9"/>
      <c r="H25" s="9"/>
      <c r="I25" s="9"/>
      <c r="J25" s="10" t="n">
        <f aca="false">COUNTIF(Fields!$A$2:$A$1001,B25)</f>
        <v>0</v>
      </c>
      <c r="K25" s="10" t="n">
        <f aca="false">COUNTIFS(Fields!$A$2:$A$1001,B25,Fields!$T$2:$T$1001,"vetted")</f>
        <v>0</v>
      </c>
      <c r="L25" s="10" t="n">
        <f aca="false">COUNTIFS(Fields!$A$2:$A$1001,B25,Fields!$Z$2:$Z$1001,"A")</f>
        <v>0</v>
      </c>
      <c r="M25" s="10" t="n">
        <f aca="false">COUNTIFS(Fields!$A$2:$A$1001,B25,Fields!$Z$2:$Z$1001,"B")</f>
        <v>0</v>
      </c>
      <c r="N25" s="10" t="n">
        <f aca="false">COUNTIFS(Fields!$A$2:$A$1001,B25,Fields!$Z$2:$Z$1001,"C")</f>
        <v>0</v>
      </c>
      <c r="O25" s="10" t="n">
        <f aca="false">COUNTIFS(Fields!$A$2:$A$1001,B25,Fields!$Z$2:$Z$1001,"A",Fields!$W$2:$W$1001,"Yes")+COUNTIFS(Fields!$A$2:$A$1001,B25,Fields!$Z$2:$Z$1001,"B",Fields!$W$2:$W$1001,"Yes")</f>
        <v>0</v>
      </c>
      <c r="P25" s="11" t="str">
        <f aca="false">IF(L25&gt;0,"A",IF(M25&gt;0,"B",IF(N25&gt;0,"C","")))</f>
        <v/>
      </c>
    </row>
    <row r="26" customFormat="false" ht="15" hidden="false" customHeight="false" outlineLevel="0" collapsed="false">
      <c r="A26" s="8" t="s">
        <v>66</v>
      </c>
      <c r="B26" s="8" t="s">
        <v>92</v>
      </c>
      <c r="C26" s="9"/>
      <c r="D26" s="9" t="s">
        <v>68</v>
      </c>
      <c r="E26" s="9"/>
      <c r="F26" s="9"/>
      <c r="G26" s="9"/>
      <c r="H26" s="9"/>
      <c r="I26" s="9"/>
      <c r="J26" s="10" t="n">
        <f aca="false">COUNTIF(Fields!$A$2:$A$1001,B26)</f>
        <v>0</v>
      </c>
      <c r="K26" s="10" t="n">
        <f aca="false">COUNTIFS(Fields!$A$2:$A$1001,B26,Fields!$T$2:$T$1001,"vetted")</f>
        <v>0</v>
      </c>
      <c r="L26" s="10" t="n">
        <f aca="false">COUNTIFS(Fields!$A$2:$A$1001,B26,Fields!$Z$2:$Z$1001,"A")</f>
        <v>0</v>
      </c>
      <c r="M26" s="10" t="n">
        <f aca="false">COUNTIFS(Fields!$A$2:$A$1001,B26,Fields!$Z$2:$Z$1001,"B")</f>
        <v>0</v>
      </c>
      <c r="N26" s="10" t="n">
        <f aca="false">COUNTIFS(Fields!$A$2:$A$1001,B26,Fields!$Z$2:$Z$1001,"C")</f>
        <v>0</v>
      </c>
      <c r="O26" s="10" t="n">
        <f aca="false">COUNTIFS(Fields!$A$2:$A$1001,B26,Fields!$Z$2:$Z$1001,"A",Fields!$W$2:$W$1001,"Yes")+COUNTIFS(Fields!$A$2:$A$1001,B26,Fields!$Z$2:$Z$1001,"B",Fields!$W$2:$W$1001,"Yes")</f>
        <v>0</v>
      </c>
      <c r="P26" s="11" t="str">
        <f aca="false">IF(L26&gt;0,"A",IF(M26&gt;0,"B",IF(N26&gt;0,"C","")))</f>
        <v/>
      </c>
    </row>
    <row r="27" customFormat="false" ht="15" hidden="false" customHeight="false" outlineLevel="0" collapsed="false">
      <c r="A27" s="8" t="s">
        <v>66</v>
      </c>
      <c r="B27" s="8" t="s">
        <v>93</v>
      </c>
      <c r="C27" s="9"/>
      <c r="D27" s="9" t="s">
        <v>68</v>
      </c>
      <c r="E27" s="9"/>
      <c r="F27" s="9"/>
      <c r="G27" s="9"/>
      <c r="H27" s="9"/>
      <c r="I27" s="9"/>
      <c r="J27" s="10" t="n">
        <f aca="false">COUNTIF(Fields!$A$2:$A$1001,B27)</f>
        <v>0</v>
      </c>
      <c r="K27" s="10" t="n">
        <f aca="false">COUNTIFS(Fields!$A$2:$A$1001,B27,Fields!$T$2:$T$1001,"vetted")</f>
        <v>0</v>
      </c>
      <c r="L27" s="10" t="n">
        <f aca="false">COUNTIFS(Fields!$A$2:$A$1001,B27,Fields!$Z$2:$Z$1001,"A")</f>
        <v>0</v>
      </c>
      <c r="M27" s="10" t="n">
        <f aca="false">COUNTIFS(Fields!$A$2:$A$1001,B27,Fields!$Z$2:$Z$1001,"B")</f>
        <v>0</v>
      </c>
      <c r="N27" s="10" t="n">
        <f aca="false">COUNTIFS(Fields!$A$2:$A$1001,B27,Fields!$Z$2:$Z$1001,"C")</f>
        <v>0</v>
      </c>
      <c r="O27" s="10" t="n">
        <f aca="false">COUNTIFS(Fields!$A$2:$A$1001,B27,Fields!$Z$2:$Z$1001,"A",Fields!$W$2:$W$1001,"Yes")+COUNTIFS(Fields!$A$2:$A$1001,B27,Fields!$Z$2:$Z$1001,"B",Fields!$W$2:$W$1001,"Yes")</f>
        <v>0</v>
      </c>
      <c r="P27" s="11" t="str">
        <f aca="false">IF(L27&gt;0,"A",IF(M27&gt;0,"B",IF(N27&gt;0,"C","")))</f>
        <v/>
      </c>
    </row>
    <row r="28" customFormat="false" ht="15" hidden="false" customHeight="false" outlineLevel="0" collapsed="false">
      <c r="A28" s="8" t="s">
        <v>66</v>
      </c>
      <c r="B28" s="8" t="s">
        <v>94</v>
      </c>
      <c r="C28" s="9"/>
      <c r="D28" s="9" t="s">
        <v>68</v>
      </c>
      <c r="E28" s="9"/>
      <c r="F28" s="9"/>
      <c r="G28" s="9"/>
      <c r="H28" s="9"/>
      <c r="I28" s="9"/>
      <c r="J28" s="10" t="n">
        <f aca="false">COUNTIF(Fields!$A$2:$A$1001,B28)</f>
        <v>0</v>
      </c>
      <c r="K28" s="10" t="n">
        <f aca="false">COUNTIFS(Fields!$A$2:$A$1001,B28,Fields!$T$2:$T$1001,"vetted")</f>
        <v>0</v>
      </c>
      <c r="L28" s="10" t="n">
        <f aca="false">COUNTIFS(Fields!$A$2:$A$1001,B28,Fields!$Z$2:$Z$1001,"A")</f>
        <v>0</v>
      </c>
      <c r="M28" s="10" t="n">
        <f aca="false">COUNTIFS(Fields!$A$2:$A$1001,B28,Fields!$Z$2:$Z$1001,"B")</f>
        <v>0</v>
      </c>
      <c r="N28" s="10" t="n">
        <f aca="false">COUNTIFS(Fields!$A$2:$A$1001,B28,Fields!$Z$2:$Z$1001,"C")</f>
        <v>0</v>
      </c>
      <c r="O28" s="10" t="n">
        <f aca="false">COUNTIFS(Fields!$A$2:$A$1001,B28,Fields!$Z$2:$Z$1001,"A",Fields!$W$2:$W$1001,"Yes")+COUNTIFS(Fields!$A$2:$A$1001,B28,Fields!$Z$2:$Z$1001,"B",Fields!$W$2:$W$1001,"Yes")</f>
        <v>0</v>
      </c>
      <c r="P28" s="11" t="str">
        <f aca="false">IF(L28&gt;0,"A",IF(M28&gt;0,"B",IF(N28&gt;0,"C","")))</f>
        <v/>
      </c>
    </row>
    <row r="29" customFormat="false" ht="15" hidden="false" customHeight="false" outlineLevel="0" collapsed="false">
      <c r="A29" s="8" t="s">
        <v>66</v>
      </c>
      <c r="B29" s="8" t="s">
        <v>95</v>
      </c>
      <c r="C29" s="9"/>
      <c r="D29" s="9" t="s">
        <v>68</v>
      </c>
      <c r="E29" s="9"/>
      <c r="F29" s="9"/>
      <c r="G29" s="9"/>
      <c r="H29" s="9"/>
      <c r="I29" s="9"/>
      <c r="J29" s="10" t="n">
        <f aca="false">COUNTIF(Fields!$A$2:$A$1001,B29)</f>
        <v>0</v>
      </c>
      <c r="K29" s="10" t="n">
        <f aca="false">COUNTIFS(Fields!$A$2:$A$1001,B29,Fields!$T$2:$T$1001,"vetted")</f>
        <v>0</v>
      </c>
      <c r="L29" s="10" t="n">
        <f aca="false">COUNTIFS(Fields!$A$2:$A$1001,B29,Fields!$Z$2:$Z$1001,"A")</f>
        <v>0</v>
      </c>
      <c r="M29" s="10" t="n">
        <f aca="false">COUNTIFS(Fields!$A$2:$A$1001,B29,Fields!$Z$2:$Z$1001,"B")</f>
        <v>0</v>
      </c>
      <c r="N29" s="10" t="n">
        <f aca="false">COUNTIFS(Fields!$A$2:$A$1001,B29,Fields!$Z$2:$Z$1001,"C")</f>
        <v>0</v>
      </c>
      <c r="O29" s="10" t="n">
        <f aca="false">COUNTIFS(Fields!$A$2:$A$1001,B29,Fields!$Z$2:$Z$1001,"A",Fields!$W$2:$W$1001,"Yes")+COUNTIFS(Fields!$A$2:$A$1001,B29,Fields!$Z$2:$Z$1001,"B",Fields!$W$2:$W$1001,"Yes")</f>
        <v>0</v>
      </c>
      <c r="P29" s="11" t="str">
        <f aca="false">IF(L29&gt;0,"A",IF(M29&gt;0,"B",IF(N29&gt;0,"C","")))</f>
        <v/>
      </c>
    </row>
    <row r="30" customFormat="false" ht="15" hidden="false" customHeight="false" outlineLevel="0" collapsed="false">
      <c r="A30" s="8" t="s">
        <v>66</v>
      </c>
      <c r="B30" s="8" t="s">
        <v>96</v>
      </c>
      <c r="C30" s="9"/>
      <c r="D30" s="9" t="s">
        <v>68</v>
      </c>
      <c r="E30" s="9"/>
      <c r="F30" s="9"/>
      <c r="G30" s="9"/>
      <c r="H30" s="9"/>
      <c r="I30" s="9"/>
      <c r="J30" s="10" t="n">
        <f aca="false">COUNTIF(Fields!$A$2:$A$1001,B30)</f>
        <v>0</v>
      </c>
      <c r="K30" s="10" t="n">
        <f aca="false">COUNTIFS(Fields!$A$2:$A$1001,B30,Fields!$T$2:$T$1001,"vetted")</f>
        <v>0</v>
      </c>
      <c r="L30" s="10" t="n">
        <f aca="false">COUNTIFS(Fields!$A$2:$A$1001,B30,Fields!$Z$2:$Z$1001,"A")</f>
        <v>0</v>
      </c>
      <c r="M30" s="10" t="n">
        <f aca="false">COUNTIFS(Fields!$A$2:$A$1001,B30,Fields!$Z$2:$Z$1001,"B")</f>
        <v>0</v>
      </c>
      <c r="N30" s="10" t="n">
        <f aca="false">COUNTIFS(Fields!$A$2:$A$1001,B30,Fields!$Z$2:$Z$1001,"C")</f>
        <v>0</v>
      </c>
      <c r="O30" s="10" t="n">
        <f aca="false">COUNTIFS(Fields!$A$2:$A$1001,B30,Fields!$Z$2:$Z$1001,"A",Fields!$W$2:$W$1001,"Yes")+COUNTIFS(Fields!$A$2:$A$1001,B30,Fields!$Z$2:$Z$1001,"B",Fields!$W$2:$W$1001,"Yes")</f>
        <v>0</v>
      </c>
      <c r="P30" s="11" t="str">
        <f aca="false">IF(L30&gt;0,"A",IF(M30&gt;0,"B",IF(N30&gt;0,"C","")))</f>
        <v/>
      </c>
    </row>
    <row r="31" customFormat="false" ht="15" hidden="false" customHeight="false" outlineLevel="0" collapsed="false">
      <c r="A31" s="8" t="s">
        <v>66</v>
      </c>
      <c r="B31" s="8" t="s">
        <v>97</v>
      </c>
      <c r="C31" s="9"/>
      <c r="D31" s="9" t="s">
        <v>68</v>
      </c>
      <c r="E31" s="9"/>
      <c r="F31" s="9"/>
      <c r="G31" s="9"/>
      <c r="H31" s="9"/>
      <c r="I31" s="9"/>
      <c r="J31" s="10" t="n">
        <f aca="false">COUNTIF(Fields!$A$2:$A$1001,B31)</f>
        <v>0</v>
      </c>
      <c r="K31" s="10" t="n">
        <f aca="false">COUNTIFS(Fields!$A$2:$A$1001,B31,Fields!$T$2:$T$1001,"vetted")</f>
        <v>0</v>
      </c>
      <c r="L31" s="10" t="n">
        <f aca="false">COUNTIFS(Fields!$A$2:$A$1001,B31,Fields!$Z$2:$Z$1001,"A")</f>
        <v>0</v>
      </c>
      <c r="M31" s="10" t="n">
        <f aca="false">COUNTIFS(Fields!$A$2:$A$1001,B31,Fields!$Z$2:$Z$1001,"B")</f>
        <v>0</v>
      </c>
      <c r="N31" s="10" t="n">
        <f aca="false">COUNTIFS(Fields!$A$2:$A$1001,B31,Fields!$Z$2:$Z$1001,"C")</f>
        <v>0</v>
      </c>
      <c r="O31" s="10" t="n">
        <f aca="false">COUNTIFS(Fields!$A$2:$A$1001,B31,Fields!$Z$2:$Z$1001,"A",Fields!$W$2:$W$1001,"Yes")+COUNTIFS(Fields!$A$2:$A$1001,B31,Fields!$Z$2:$Z$1001,"B",Fields!$W$2:$W$1001,"Yes")</f>
        <v>0</v>
      </c>
      <c r="P31" s="11" t="str">
        <f aca="false">IF(L31&gt;0,"A",IF(M31&gt;0,"B",IF(N31&gt;0,"C","")))</f>
        <v/>
      </c>
    </row>
    <row r="32" customFormat="false" ht="15" hidden="false" customHeight="false" outlineLevel="0" collapsed="false">
      <c r="A32" s="8" t="s">
        <v>66</v>
      </c>
      <c r="B32" s="8" t="s">
        <v>98</v>
      </c>
      <c r="C32" s="9"/>
      <c r="D32" s="9" t="s">
        <v>68</v>
      </c>
      <c r="E32" s="9"/>
      <c r="F32" s="9"/>
      <c r="G32" s="9"/>
      <c r="H32" s="9"/>
      <c r="I32" s="9"/>
      <c r="J32" s="10" t="n">
        <f aca="false">COUNTIF(Fields!$A$2:$A$1001,B32)</f>
        <v>0</v>
      </c>
      <c r="K32" s="10" t="n">
        <f aca="false">COUNTIFS(Fields!$A$2:$A$1001,B32,Fields!$T$2:$T$1001,"vetted")</f>
        <v>0</v>
      </c>
      <c r="L32" s="10" t="n">
        <f aca="false">COUNTIFS(Fields!$A$2:$A$1001,B32,Fields!$Z$2:$Z$1001,"A")</f>
        <v>0</v>
      </c>
      <c r="M32" s="10" t="n">
        <f aca="false">COUNTIFS(Fields!$A$2:$A$1001,B32,Fields!$Z$2:$Z$1001,"B")</f>
        <v>0</v>
      </c>
      <c r="N32" s="10" t="n">
        <f aca="false">COUNTIFS(Fields!$A$2:$A$1001,B32,Fields!$Z$2:$Z$1001,"C")</f>
        <v>0</v>
      </c>
      <c r="O32" s="10" t="n">
        <f aca="false">COUNTIFS(Fields!$A$2:$A$1001,B32,Fields!$Z$2:$Z$1001,"A",Fields!$W$2:$W$1001,"Yes")+COUNTIFS(Fields!$A$2:$A$1001,B32,Fields!$Z$2:$Z$1001,"B",Fields!$W$2:$W$1001,"Yes")</f>
        <v>0</v>
      </c>
      <c r="P32" s="11" t="str">
        <f aca="false">IF(L32&gt;0,"A",IF(M32&gt;0,"B",IF(N32&gt;0,"C","")))</f>
        <v/>
      </c>
    </row>
    <row r="33" customFormat="false" ht="15" hidden="false" customHeight="false" outlineLevel="0" collapsed="false">
      <c r="A33" s="8" t="s">
        <v>66</v>
      </c>
      <c r="B33" s="8" t="s">
        <v>99</v>
      </c>
      <c r="C33" s="9"/>
      <c r="D33" s="9" t="s">
        <v>68</v>
      </c>
      <c r="E33" s="9"/>
      <c r="F33" s="9"/>
      <c r="G33" s="9"/>
      <c r="H33" s="9"/>
      <c r="I33" s="9"/>
      <c r="J33" s="10" t="n">
        <f aca="false">COUNTIF(Fields!$A$2:$A$1001,B33)</f>
        <v>0</v>
      </c>
      <c r="K33" s="10" t="n">
        <f aca="false">COUNTIFS(Fields!$A$2:$A$1001,B33,Fields!$T$2:$T$1001,"vetted")</f>
        <v>0</v>
      </c>
      <c r="L33" s="10" t="n">
        <f aca="false">COUNTIFS(Fields!$A$2:$A$1001,B33,Fields!$Z$2:$Z$1001,"A")</f>
        <v>0</v>
      </c>
      <c r="M33" s="10" t="n">
        <f aca="false">COUNTIFS(Fields!$A$2:$A$1001,B33,Fields!$Z$2:$Z$1001,"B")</f>
        <v>0</v>
      </c>
      <c r="N33" s="10" t="n">
        <f aca="false">COUNTIFS(Fields!$A$2:$A$1001,B33,Fields!$Z$2:$Z$1001,"C")</f>
        <v>0</v>
      </c>
      <c r="O33" s="10" t="n">
        <f aca="false">COUNTIFS(Fields!$A$2:$A$1001,B33,Fields!$Z$2:$Z$1001,"A",Fields!$W$2:$W$1001,"Yes")+COUNTIFS(Fields!$A$2:$A$1001,B33,Fields!$Z$2:$Z$1001,"B",Fields!$W$2:$W$1001,"Yes")</f>
        <v>0</v>
      </c>
      <c r="P33" s="11" t="str">
        <f aca="false">IF(L33&gt;0,"A",IF(M33&gt;0,"B",IF(N33&gt;0,"C","")))</f>
        <v/>
      </c>
    </row>
    <row r="34" customFormat="false" ht="15" hidden="false" customHeight="false" outlineLevel="0" collapsed="false">
      <c r="A34" s="8" t="s">
        <v>66</v>
      </c>
      <c r="B34" s="8" t="s">
        <v>100</v>
      </c>
      <c r="C34" s="9"/>
      <c r="D34" s="9" t="s">
        <v>68</v>
      </c>
      <c r="E34" s="9"/>
      <c r="F34" s="9"/>
      <c r="G34" s="9"/>
      <c r="H34" s="9"/>
      <c r="I34" s="9"/>
      <c r="J34" s="10" t="n">
        <f aca="false">COUNTIF(Fields!$A$2:$A$1001,B34)</f>
        <v>0</v>
      </c>
      <c r="K34" s="10" t="n">
        <f aca="false">COUNTIFS(Fields!$A$2:$A$1001,B34,Fields!$T$2:$T$1001,"vetted")</f>
        <v>0</v>
      </c>
      <c r="L34" s="10" t="n">
        <f aca="false">COUNTIFS(Fields!$A$2:$A$1001,B34,Fields!$Z$2:$Z$1001,"A")</f>
        <v>0</v>
      </c>
      <c r="M34" s="10" t="n">
        <f aca="false">COUNTIFS(Fields!$A$2:$A$1001,B34,Fields!$Z$2:$Z$1001,"B")</f>
        <v>0</v>
      </c>
      <c r="N34" s="10" t="n">
        <f aca="false">COUNTIFS(Fields!$A$2:$A$1001,B34,Fields!$Z$2:$Z$1001,"C")</f>
        <v>0</v>
      </c>
      <c r="O34" s="10" t="n">
        <f aca="false">COUNTIFS(Fields!$A$2:$A$1001,B34,Fields!$Z$2:$Z$1001,"A",Fields!$W$2:$W$1001,"Yes")+COUNTIFS(Fields!$A$2:$A$1001,B34,Fields!$Z$2:$Z$1001,"B",Fields!$W$2:$W$1001,"Yes")</f>
        <v>0</v>
      </c>
      <c r="P34" s="11" t="str">
        <f aca="false">IF(L34&gt;0,"A",IF(M34&gt;0,"B",IF(N34&gt;0,"C","")))</f>
        <v/>
      </c>
    </row>
    <row r="35" customFormat="false" ht="15" hidden="false" customHeight="false" outlineLevel="0" collapsed="false">
      <c r="A35" s="8" t="s">
        <v>66</v>
      </c>
      <c r="B35" s="8" t="s">
        <v>101</v>
      </c>
      <c r="C35" s="9"/>
      <c r="D35" s="9" t="s">
        <v>68</v>
      </c>
      <c r="E35" s="9"/>
      <c r="F35" s="9"/>
      <c r="G35" s="9"/>
      <c r="H35" s="9"/>
      <c r="I35" s="9"/>
      <c r="J35" s="10" t="n">
        <f aca="false">COUNTIF(Fields!$A$2:$A$1001,B35)</f>
        <v>0</v>
      </c>
      <c r="K35" s="10" t="n">
        <f aca="false">COUNTIFS(Fields!$A$2:$A$1001,B35,Fields!$T$2:$T$1001,"vetted")</f>
        <v>0</v>
      </c>
      <c r="L35" s="10" t="n">
        <f aca="false">COUNTIFS(Fields!$A$2:$A$1001,B35,Fields!$Z$2:$Z$1001,"A")</f>
        <v>0</v>
      </c>
      <c r="M35" s="10" t="n">
        <f aca="false">COUNTIFS(Fields!$A$2:$A$1001,B35,Fields!$Z$2:$Z$1001,"B")</f>
        <v>0</v>
      </c>
      <c r="N35" s="10" t="n">
        <f aca="false">COUNTIFS(Fields!$A$2:$A$1001,B35,Fields!$Z$2:$Z$1001,"C")</f>
        <v>0</v>
      </c>
      <c r="O35" s="10" t="n">
        <f aca="false">COUNTIFS(Fields!$A$2:$A$1001,B35,Fields!$Z$2:$Z$1001,"A",Fields!$W$2:$W$1001,"Yes")+COUNTIFS(Fields!$A$2:$A$1001,B35,Fields!$Z$2:$Z$1001,"B",Fields!$W$2:$W$1001,"Yes")</f>
        <v>0</v>
      </c>
      <c r="P35" s="11" t="str">
        <f aca="false">IF(L35&gt;0,"A",IF(M35&gt;0,"B",IF(N35&gt;0,"C","")))</f>
        <v/>
      </c>
    </row>
    <row r="36" customFormat="false" ht="15" hidden="false" customHeight="false" outlineLevel="0" collapsed="false">
      <c r="A36" s="8" t="s">
        <v>66</v>
      </c>
      <c r="B36" s="8" t="s">
        <v>102</v>
      </c>
      <c r="C36" s="9"/>
      <c r="D36" s="9" t="s">
        <v>68</v>
      </c>
      <c r="E36" s="9"/>
      <c r="F36" s="9"/>
      <c r="G36" s="9"/>
      <c r="H36" s="9"/>
      <c r="I36" s="9"/>
      <c r="J36" s="10" t="n">
        <f aca="false">COUNTIF(Fields!$A$2:$A$1001,B36)</f>
        <v>0</v>
      </c>
      <c r="K36" s="10" t="n">
        <f aca="false">COUNTIFS(Fields!$A$2:$A$1001,B36,Fields!$T$2:$T$1001,"vetted")</f>
        <v>0</v>
      </c>
      <c r="L36" s="10" t="n">
        <f aca="false">COUNTIFS(Fields!$A$2:$A$1001,B36,Fields!$Z$2:$Z$1001,"A")</f>
        <v>0</v>
      </c>
      <c r="M36" s="10" t="n">
        <f aca="false">COUNTIFS(Fields!$A$2:$A$1001,B36,Fields!$Z$2:$Z$1001,"B")</f>
        <v>0</v>
      </c>
      <c r="N36" s="10" t="n">
        <f aca="false">COUNTIFS(Fields!$A$2:$A$1001,B36,Fields!$Z$2:$Z$1001,"C")</f>
        <v>0</v>
      </c>
      <c r="O36" s="10" t="n">
        <f aca="false">COUNTIFS(Fields!$A$2:$A$1001,B36,Fields!$Z$2:$Z$1001,"A",Fields!$W$2:$W$1001,"Yes")+COUNTIFS(Fields!$A$2:$A$1001,B36,Fields!$Z$2:$Z$1001,"B",Fields!$W$2:$W$1001,"Yes")</f>
        <v>0</v>
      </c>
      <c r="P36" s="11" t="str">
        <f aca="false">IF(L36&gt;0,"A",IF(M36&gt;0,"B",IF(N36&gt;0,"C","")))</f>
        <v/>
      </c>
    </row>
    <row r="37" customFormat="false" ht="15" hidden="false" customHeight="false" outlineLevel="0" collapsed="false">
      <c r="A37" s="8" t="s">
        <v>66</v>
      </c>
      <c r="B37" s="8" t="s">
        <v>103</v>
      </c>
      <c r="C37" s="9"/>
      <c r="D37" s="9" t="s">
        <v>68</v>
      </c>
      <c r="E37" s="9"/>
      <c r="F37" s="9"/>
      <c r="G37" s="9"/>
      <c r="H37" s="9"/>
      <c r="I37" s="9"/>
      <c r="J37" s="10" t="n">
        <f aca="false">COUNTIF(Fields!$A$2:$A$1001,B37)</f>
        <v>0</v>
      </c>
      <c r="K37" s="10" t="n">
        <f aca="false">COUNTIFS(Fields!$A$2:$A$1001,B37,Fields!$T$2:$T$1001,"vetted")</f>
        <v>0</v>
      </c>
      <c r="L37" s="10" t="n">
        <f aca="false">COUNTIFS(Fields!$A$2:$A$1001,B37,Fields!$Z$2:$Z$1001,"A")</f>
        <v>0</v>
      </c>
      <c r="M37" s="10" t="n">
        <f aca="false">COUNTIFS(Fields!$A$2:$A$1001,B37,Fields!$Z$2:$Z$1001,"B")</f>
        <v>0</v>
      </c>
      <c r="N37" s="10" t="n">
        <f aca="false">COUNTIFS(Fields!$A$2:$A$1001,B37,Fields!$Z$2:$Z$1001,"C")</f>
        <v>0</v>
      </c>
      <c r="O37" s="10" t="n">
        <f aca="false">COUNTIFS(Fields!$A$2:$A$1001,B37,Fields!$Z$2:$Z$1001,"A",Fields!$W$2:$W$1001,"Yes")+COUNTIFS(Fields!$A$2:$A$1001,B37,Fields!$Z$2:$Z$1001,"B",Fields!$W$2:$W$1001,"Yes")</f>
        <v>0</v>
      </c>
      <c r="P37" s="11" t="str">
        <f aca="false">IF(L37&gt;0,"A",IF(M37&gt;0,"B",IF(N37&gt;0,"C","")))</f>
        <v/>
      </c>
    </row>
    <row r="38" customFormat="false" ht="15" hidden="false" customHeight="false" outlineLevel="0" collapsed="false">
      <c r="A38" s="8" t="s">
        <v>66</v>
      </c>
      <c r="B38" s="8" t="s">
        <v>104</v>
      </c>
      <c r="C38" s="9"/>
      <c r="D38" s="9" t="s">
        <v>68</v>
      </c>
      <c r="E38" s="9"/>
      <c r="F38" s="9"/>
      <c r="G38" s="9"/>
      <c r="H38" s="9"/>
      <c r="I38" s="9"/>
      <c r="J38" s="10" t="n">
        <f aca="false">COUNTIF(Fields!$A$2:$A$1001,B38)</f>
        <v>0</v>
      </c>
      <c r="K38" s="10" t="n">
        <f aca="false">COUNTIFS(Fields!$A$2:$A$1001,B38,Fields!$T$2:$T$1001,"vetted")</f>
        <v>0</v>
      </c>
      <c r="L38" s="10" t="n">
        <f aca="false">COUNTIFS(Fields!$A$2:$A$1001,B38,Fields!$Z$2:$Z$1001,"A")</f>
        <v>0</v>
      </c>
      <c r="M38" s="10" t="n">
        <f aca="false">COUNTIFS(Fields!$A$2:$A$1001,B38,Fields!$Z$2:$Z$1001,"B")</f>
        <v>0</v>
      </c>
      <c r="N38" s="10" t="n">
        <f aca="false">COUNTIFS(Fields!$A$2:$A$1001,B38,Fields!$Z$2:$Z$1001,"C")</f>
        <v>0</v>
      </c>
      <c r="O38" s="10" t="n">
        <f aca="false">COUNTIFS(Fields!$A$2:$A$1001,B38,Fields!$Z$2:$Z$1001,"A",Fields!$W$2:$W$1001,"Yes")+COUNTIFS(Fields!$A$2:$A$1001,B38,Fields!$Z$2:$Z$1001,"B",Fields!$W$2:$W$1001,"Yes")</f>
        <v>0</v>
      </c>
      <c r="P38" s="11" t="str">
        <f aca="false">IF(L38&gt;0,"A",IF(M38&gt;0,"B",IF(N38&gt;0,"C","")))</f>
        <v/>
      </c>
    </row>
    <row r="39" customFormat="false" ht="15" hidden="false" customHeight="false" outlineLevel="0" collapsed="false">
      <c r="A39" s="8" t="s">
        <v>66</v>
      </c>
      <c r="B39" s="8" t="s">
        <v>105</v>
      </c>
      <c r="C39" s="9"/>
      <c r="D39" s="9" t="s">
        <v>68</v>
      </c>
      <c r="E39" s="9"/>
      <c r="F39" s="9"/>
      <c r="G39" s="9"/>
      <c r="H39" s="9"/>
      <c r="I39" s="9"/>
      <c r="J39" s="10" t="n">
        <f aca="false">COUNTIF(Fields!$A$2:$A$1001,B39)</f>
        <v>0</v>
      </c>
      <c r="K39" s="10" t="n">
        <f aca="false">COUNTIFS(Fields!$A$2:$A$1001,B39,Fields!$T$2:$T$1001,"vetted")</f>
        <v>0</v>
      </c>
      <c r="L39" s="10" t="n">
        <f aca="false">COUNTIFS(Fields!$A$2:$A$1001,B39,Fields!$Z$2:$Z$1001,"A")</f>
        <v>0</v>
      </c>
      <c r="M39" s="10" t="n">
        <f aca="false">COUNTIFS(Fields!$A$2:$A$1001,B39,Fields!$Z$2:$Z$1001,"B")</f>
        <v>0</v>
      </c>
      <c r="N39" s="10" t="n">
        <f aca="false">COUNTIFS(Fields!$A$2:$A$1001,B39,Fields!$Z$2:$Z$1001,"C")</f>
        <v>0</v>
      </c>
      <c r="O39" s="10" t="n">
        <f aca="false">COUNTIFS(Fields!$A$2:$A$1001,B39,Fields!$Z$2:$Z$1001,"A",Fields!$W$2:$W$1001,"Yes")+COUNTIFS(Fields!$A$2:$A$1001,B39,Fields!$Z$2:$Z$1001,"B",Fields!$W$2:$W$1001,"Yes")</f>
        <v>0</v>
      </c>
      <c r="P39" s="11" t="str">
        <f aca="false">IF(L39&gt;0,"A",IF(M39&gt;0,"B",IF(N39&gt;0,"C","")))</f>
        <v/>
      </c>
    </row>
    <row r="40" customFormat="false" ht="15" hidden="false" customHeight="false" outlineLevel="0" collapsed="false">
      <c r="A40" s="8" t="s">
        <v>66</v>
      </c>
      <c r="B40" s="8" t="s">
        <v>106</v>
      </c>
      <c r="C40" s="9"/>
      <c r="D40" s="9" t="s">
        <v>68</v>
      </c>
      <c r="E40" s="9"/>
      <c r="F40" s="9"/>
      <c r="G40" s="9"/>
      <c r="H40" s="9"/>
      <c r="I40" s="9"/>
      <c r="J40" s="10" t="n">
        <f aca="false">COUNTIF(Fields!$A$2:$A$1001,B40)</f>
        <v>0</v>
      </c>
      <c r="K40" s="10" t="n">
        <f aca="false">COUNTIFS(Fields!$A$2:$A$1001,B40,Fields!$T$2:$T$1001,"vetted")</f>
        <v>0</v>
      </c>
      <c r="L40" s="10" t="n">
        <f aca="false">COUNTIFS(Fields!$A$2:$A$1001,B40,Fields!$Z$2:$Z$1001,"A")</f>
        <v>0</v>
      </c>
      <c r="M40" s="10" t="n">
        <f aca="false">COUNTIFS(Fields!$A$2:$A$1001,B40,Fields!$Z$2:$Z$1001,"B")</f>
        <v>0</v>
      </c>
      <c r="N40" s="10" t="n">
        <f aca="false">COUNTIFS(Fields!$A$2:$A$1001,B40,Fields!$Z$2:$Z$1001,"C")</f>
        <v>0</v>
      </c>
      <c r="O40" s="10" t="n">
        <f aca="false">COUNTIFS(Fields!$A$2:$A$1001,B40,Fields!$Z$2:$Z$1001,"A",Fields!$W$2:$W$1001,"Yes")+COUNTIFS(Fields!$A$2:$A$1001,B40,Fields!$Z$2:$Z$1001,"B",Fields!$W$2:$W$1001,"Yes")</f>
        <v>0</v>
      </c>
      <c r="P40" s="11" t="str">
        <f aca="false">IF(L40&gt;0,"A",IF(M40&gt;0,"B",IF(N40&gt;0,"C","")))</f>
        <v/>
      </c>
    </row>
    <row r="41" customFormat="false" ht="15" hidden="false" customHeight="false" outlineLevel="0" collapsed="false">
      <c r="A41" s="8" t="s">
        <v>66</v>
      </c>
      <c r="B41" s="8" t="s">
        <v>107</v>
      </c>
      <c r="C41" s="9"/>
      <c r="D41" s="9" t="s">
        <v>68</v>
      </c>
      <c r="E41" s="9"/>
      <c r="F41" s="9"/>
      <c r="G41" s="9"/>
      <c r="H41" s="9"/>
      <c r="I41" s="9"/>
      <c r="J41" s="10" t="n">
        <f aca="false">COUNTIF(Fields!$A$2:$A$1001,B41)</f>
        <v>0</v>
      </c>
      <c r="K41" s="10" t="n">
        <f aca="false">COUNTIFS(Fields!$A$2:$A$1001,B41,Fields!$T$2:$T$1001,"vetted")</f>
        <v>0</v>
      </c>
      <c r="L41" s="10" t="n">
        <f aca="false">COUNTIFS(Fields!$A$2:$A$1001,B41,Fields!$Z$2:$Z$1001,"A")</f>
        <v>0</v>
      </c>
      <c r="M41" s="10" t="n">
        <f aca="false">COUNTIFS(Fields!$A$2:$A$1001,B41,Fields!$Z$2:$Z$1001,"B")</f>
        <v>0</v>
      </c>
      <c r="N41" s="10" t="n">
        <f aca="false">COUNTIFS(Fields!$A$2:$A$1001,B41,Fields!$Z$2:$Z$1001,"C")</f>
        <v>0</v>
      </c>
      <c r="O41" s="10" t="n">
        <f aca="false">COUNTIFS(Fields!$A$2:$A$1001,B41,Fields!$Z$2:$Z$1001,"A",Fields!$W$2:$W$1001,"Yes")+COUNTIFS(Fields!$A$2:$A$1001,B41,Fields!$Z$2:$Z$1001,"B",Fields!$W$2:$W$1001,"Yes")</f>
        <v>0</v>
      </c>
      <c r="P41" s="11" t="str">
        <f aca="false">IF(L41&gt;0,"A",IF(M41&gt;0,"B",IF(N41&gt;0,"C","")))</f>
        <v/>
      </c>
    </row>
    <row r="42" customFormat="false" ht="15" hidden="false" customHeight="false" outlineLevel="0" collapsed="false">
      <c r="A42" s="8" t="s">
        <v>66</v>
      </c>
      <c r="B42" s="8" t="s">
        <v>108</v>
      </c>
      <c r="C42" s="9"/>
      <c r="D42" s="9" t="s">
        <v>68</v>
      </c>
      <c r="E42" s="9"/>
      <c r="F42" s="9"/>
      <c r="G42" s="9"/>
      <c r="H42" s="9"/>
      <c r="I42" s="9"/>
      <c r="J42" s="10" t="n">
        <f aca="false">COUNTIF(Fields!$A$2:$A$1001,B42)</f>
        <v>0</v>
      </c>
      <c r="K42" s="10" t="n">
        <f aca="false">COUNTIFS(Fields!$A$2:$A$1001,B42,Fields!$T$2:$T$1001,"vetted")</f>
        <v>0</v>
      </c>
      <c r="L42" s="10" t="n">
        <f aca="false">COUNTIFS(Fields!$A$2:$A$1001,B42,Fields!$Z$2:$Z$1001,"A")</f>
        <v>0</v>
      </c>
      <c r="M42" s="10" t="n">
        <f aca="false">COUNTIFS(Fields!$A$2:$A$1001,B42,Fields!$Z$2:$Z$1001,"B")</f>
        <v>0</v>
      </c>
      <c r="N42" s="10" t="n">
        <f aca="false">COUNTIFS(Fields!$A$2:$A$1001,B42,Fields!$Z$2:$Z$1001,"C")</f>
        <v>0</v>
      </c>
      <c r="O42" s="10" t="n">
        <f aca="false">COUNTIFS(Fields!$A$2:$A$1001,B42,Fields!$Z$2:$Z$1001,"A",Fields!$W$2:$W$1001,"Yes")+COUNTIFS(Fields!$A$2:$A$1001,B42,Fields!$Z$2:$Z$1001,"B",Fields!$W$2:$W$1001,"Yes")</f>
        <v>0</v>
      </c>
      <c r="P42" s="11" t="str">
        <f aca="false">IF(L42&gt;0,"A",IF(M42&gt;0,"B",IF(N42&gt;0,"C","")))</f>
        <v/>
      </c>
    </row>
    <row r="43" customFormat="false" ht="15" hidden="false" customHeight="false" outlineLevel="0" collapsed="false">
      <c r="A43" s="8" t="s">
        <v>66</v>
      </c>
      <c r="B43" s="8" t="s">
        <v>109</v>
      </c>
      <c r="C43" s="9"/>
      <c r="D43" s="9" t="s">
        <v>68</v>
      </c>
      <c r="E43" s="9"/>
      <c r="F43" s="9"/>
      <c r="G43" s="9"/>
      <c r="H43" s="9"/>
      <c r="I43" s="9"/>
      <c r="J43" s="10" t="n">
        <f aca="false">COUNTIF(Fields!$A$2:$A$1001,B43)</f>
        <v>0</v>
      </c>
      <c r="K43" s="10" t="n">
        <f aca="false">COUNTIFS(Fields!$A$2:$A$1001,B43,Fields!$T$2:$T$1001,"vetted")</f>
        <v>0</v>
      </c>
      <c r="L43" s="10" t="n">
        <f aca="false">COUNTIFS(Fields!$A$2:$A$1001,B43,Fields!$Z$2:$Z$1001,"A")</f>
        <v>0</v>
      </c>
      <c r="M43" s="10" t="n">
        <f aca="false">COUNTIFS(Fields!$A$2:$A$1001,B43,Fields!$Z$2:$Z$1001,"B")</f>
        <v>0</v>
      </c>
      <c r="N43" s="10" t="n">
        <f aca="false">COUNTIFS(Fields!$A$2:$A$1001,B43,Fields!$Z$2:$Z$1001,"C")</f>
        <v>0</v>
      </c>
      <c r="O43" s="10" t="n">
        <f aca="false">COUNTIFS(Fields!$A$2:$A$1001,B43,Fields!$Z$2:$Z$1001,"A",Fields!$W$2:$W$1001,"Yes")+COUNTIFS(Fields!$A$2:$A$1001,B43,Fields!$Z$2:$Z$1001,"B",Fields!$W$2:$W$1001,"Yes")</f>
        <v>0</v>
      </c>
      <c r="P43" s="11" t="str">
        <f aca="false">IF(L43&gt;0,"A",IF(M43&gt;0,"B",IF(N43&gt;0,"C","")))</f>
        <v/>
      </c>
    </row>
    <row r="44" customFormat="false" ht="15" hidden="false" customHeight="false" outlineLevel="0" collapsed="false">
      <c r="A44" s="8" t="s">
        <v>66</v>
      </c>
      <c r="B44" s="8" t="s">
        <v>110</v>
      </c>
      <c r="C44" s="9"/>
      <c r="D44" s="9" t="s">
        <v>68</v>
      </c>
      <c r="E44" s="9"/>
      <c r="F44" s="9"/>
      <c r="G44" s="9"/>
      <c r="H44" s="9"/>
      <c r="I44" s="9"/>
      <c r="J44" s="10" t="n">
        <f aca="false">COUNTIF(Fields!$A$2:$A$1001,B44)</f>
        <v>0</v>
      </c>
      <c r="K44" s="10" t="n">
        <f aca="false">COUNTIFS(Fields!$A$2:$A$1001,B44,Fields!$T$2:$T$1001,"vetted")</f>
        <v>0</v>
      </c>
      <c r="L44" s="10" t="n">
        <f aca="false">COUNTIFS(Fields!$A$2:$A$1001,B44,Fields!$Z$2:$Z$1001,"A")</f>
        <v>0</v>
      </c>
      <c r="M44" s="10" t="n">
        <f aca="false">COUNTIFS(Fields!$A$2:$A$1001,B44,Fields!$Z$2:$Z$1001,"B")</f>
        <v>0</v>
      </c>
      <c r="N44" s="10" t="n">
        <f aca="false">COUNTIFS(Fields!$A$2:$A$1001,B44,Fields!$Z$2:$Z$1001,"C")</f>
        <v>0</v>
      </c>
      <c r="O44" s="10" t="n">
        <f aca="false">COUNTIFS(Fields!$A$2:$A$1001,B44,Fields!$Z$2:$Z$1001,"A",Fields!$W$2:$W$1001,"Yes")+COUNTIFS(Fields!$A$2:$A$1001,B44,Fields!$Z$2:$Z$1001,"B",Fields!$W$2:$W$1001,"Yes")</f>
        <v>0</v>
      </c>
      <c r="P44" s="11" t="str">
        <f aca="false">IF(L44&gt;0,"A",IF(M44&gt;0,"B",IF(N44&gt;0,"C","")))</f>
        <v/>
      </c>
    </row>
    <row r="45" customFormat="false" ht="15" hidden="false" customHeight="false" outlineLevel="0" collapsed="false">
      <c r="A45" s="8" t="s">
        <v>66</v>
      </c>
      <c r="B45" s="8" t="s">
        <v>111</v>
      </c>
      <c r="C45" s="9"/>
      <c r="D45" s="9" t="s">
        <v>68</v>
      </c>
      <c r="E45" s="9"/>
      <c r="F45" s="9"/>
      <c r="G45" s="9"/>
      <c r="H45" s="9"/>
      <c r="I45" s="9"/>
      <c r="J45" s="10" t="n">
        <f aca="false">COUNTIF(Fields!$A$2:$A$1001,B45)</f>
        <v>0</v>
      </c>
      <c r="K45" s="10" t="n">
        <f aca="false">COUNTIFS(Fields!$A$2:$A$1001,B45,Fields!$T$2:$T$1001,"vetted")</f>
        <v>0</v>
      </c>
      <c r="L45" s="10" t="n">
        <f aca="false">COUNTIFS(Fields!$A$2:$A$1001,B45,Fields!$Z$2:$Z$1001,"A")</f>
        <v>0</v>
      </c>
      <c r="M45" s="10" t="n">
        <f aca="false">COUNTIFS(Fields!$A$2:$A$1001,B45,Fields!$Z$2:$Z$1001,"B")</f>
        <v>0</v>
      </c>
      <c r="N45" s="10" t="n">
        <f aca="false">COUNTIFS(Fields!$A$2:$A$1001,B45,Fields!$Z$2:$Z$1001,"C")</f>
        <v>0</v>
      </c>
      <c r="O45" s="10" t="n">
        <f aca="false">COUNTIFS(Fields!$A$2:$A$1001,B45,Fields!$Z$2:$Z$1001,"A",Fields!$W$2:$W$1001,"Yes")+COUNTIFS(Fields!$A$2:$A$1001,B45,Fields!$Z$2:$Z$1001,"B",Fields!$W$2:$W$1001,"Yes")</f>
        <v>0</v>
      </c>
      <c r="P45" s="11" t="str">
        <f aca="false">IF(L45&gt;0,"A",IF(M45&gt;0,"B",IF(N45&gt;0,"C","")))</f>
        <v/>
      </c>
    </row>
    <row r="46" customFormat="false" ht="15" hidden="false" customHeight="false" outlineLevel="0" collapsed="false">
      <c r="A46" s="8" t="s">
        <v>66</v>
      </c>
      <c r="B46" s="8" t="s">
        <v>112</v>
      </c>
      <c r="C46" s="9"/>
      <c r="D46" s="9" t="s">
        <v>68</v>
      </c>
      <c r="E46" s="9"/>
      <c r="F46" s="9"/>
      <c r="G46" s="9"/>
      <c r="H46" s="9"/>
      <c r="I46" s="9"/>
      <c r="J46" s="10" t="n">
        <f aca="false">COUNTIF(Fields!$A$2:$A$1001,B46)</f>
        <v>0</v>
      </c>
      <c r="K46" s="10" t="n">
        <f aca="false">COUNTIFS(Fields!$A$2:$A$1001,B46,Fields!$T$2:$T$1001,"vetted")</f>
        <v>0</v>
      </c>
      <c r="L46" s="10" t="n">
        <f aca="false">COUNTIFS(Fields!$A$2:$A$1001,B46,Fields!$Z$2:$Z$1001,"A")</f>
        <v>0</v>
      </c>
      <c r="M46" s="10" t="n">
        <f aca="false">COUNTIFS(Fields!$A$2:$A$1001,B46,Fields!$Z$2:$Z$1001,"B")</f>
        <v>0</v>
      </c>
      <c r="N46" s="10" t="n">
        <f aca="false">COUNTIFS(Fields!$A$2:$A$1001,B46,Fields!$Z$2:$Z$1001,"C")</f>
        <v>0</v>
      </c>
      <c r="O46" s="10" t="n">
        <f aca="false">COUNTIFS(Fields!$A$2:$A$1001,B46,Fields!$Z$2:$Z$1001,"A",Fields!$W$2:$W$1001,"Yes")+COUNTIFS(Fields!$A$2:$A$1001,B46,Fields!$Z$2:$Z$1001,"B",Fields!$W$2:$W$1001,"Yes")</f>
        <v>0</v>
      </c>
      <c r="P46" s="11" t="str">
        <f aca="false">IF(L46&gt;0,"A",IF(M46&gt;0,"B",IF(N46&gt;0,"C","")))</f>
        <v/>
      </c>
    </row>
    <row r="47" customFormat="false" ht="15" hidden="false" customHeight="false" outlineLevel="0" collapsed="false">
      <c r="A47" s="8" t="s">
        <v>66</v>
      </c>
      <c r="B47" s="8" t="s">
        <v>113</v>
      </c>
      <c r="C47" s="9"/>
      <c r="D47" s="9" t="s">
        <v>68</v>
      </c>
      <c r="E47" s="9"/>
      <c r="F47" s="9"/>
      <c r="G47" s="9"/>
      <c r="H47" s="9"/>
      <c r="I47" s="9"/>
      <c r="J47" s="10" t="n">
        <f aca="false">COUNTIF(Fields!$A$2:$A$1001,B47)</f>
        <v>0</v>
      </c>
      <c r="K47" s="10" t="n">
        <f aca="false">COUNTIFS(Fields!$A$2:$A$1001,B47,Fields!$T$2:$T$1001,"vetted")</f>
        <v>0</v>
      </c>
      <c r="L47" s="10" t="n">
        <f aca="false">COUNTIFS(Fields!$A$2:$A$1001,B47,Fields!$Z$2:$Z$1001,"A")</f>
        <v>0</v>
      </c>
      <c r="M47" s="10" t="n">
        <f aca="false">COUNTIFS(Fields!$A$2:$A$1001,B47,Fields!$Z$2:$Z$1001,"B")</f>
        <v>0</v>
      </c>
      <c r="N47" s="10" t="n">
        <f aca="false">COUNTIFS(Fields!$A$2:$A$1001,B47,Fields!$Z$2:$Z$1001,"C")</f>
        <v>0</v>
      </c>
      <c r="O47" s="10" t="n">
        <f aca="false">COUNTIFS(Fields!$A$2:$A$1001,B47,Fields!$Z$2:$Z$1001,"A",Fields!$W$2:$W$1001,"Yes")+COUNTIFS(Fields!$A$2:$A$1001,B47,Fields!$Z$2:$Z$1001,"B",Fields!$W$2:$W$1001,"Yes")</f>
        <v>0</v>
      </c>
      <c r="P47" s="11" t="str">
        <f aca="false">IF(L47&gt;0,"A",IF(M47&gt;0,"B",IF(N47&gt;0,"C","")))</f>
        <v/>
      </c>
    </row>
    <row r="48" customFormat="false" ht="15" hidden="false" customHeight="false" outlineLevel="0" collapsed="false">
      <c r="A48" s="8" t="s">
        <v>66</v>
      </c>
      <c r="B48" s="8" t="s">
        <v>114</v>
      </c>
      <c r="C48" s="9"/>
      <c r="D48" s="9" t="s">
        <v>68</v>
      </c>
      <c r="E48" s="9"/>
      <c r="F48" s="9"/>
      <c r="G48" s="9"/>
      <c r="H48" s="9"/>
      <c r="I48" s="9"/>
      <c r="J48" s="10" t="n">
        <f aca="false">COUNTIF(Fields!$A$2:$A$1001,B48)</f>
        <v>0</v>
      </c>
      <c r="K48" s="10" t="n">
        <f aca="false">COUNTIFS(Fields!$A$2:$A$1001,B48,Fields!$T$2:$T$1001,"vetted")</f>
        <v>0</v>
      </c>
      <c r="L48" s="10" t="n">
        <f aca="false">COUNTIFS(Fields!$A$2:$A$1001,B48,Fields!$Z$2:$Z$1001,"A")</f>
        <v>0</v>
      </c>
      <c r="M48" s="10" t="n">
        <f aca="false">COUNTIFS(Fields!$A$2:$A$1001,B48,Fields!$Z$2:$Z$1001,"B")</f>
        <v>0</v>
      </c>
      <c r="N48" s="10" t="n">
        <f aca="false">COUNTIFS(Fields!$A$2:$A$1001,B48,Fields!$Z$2:$Z$1001,"C")</f>
        <v>0</v>
      </c>
      <c r="O48" s="10" t="n">
        <f aca="false">COUNTIFS(Fields!$A$2:$A$1001,B48,Fields!$Z$2:$Z$1001,"A",Fields!$W$2:$W$1001,"Yes")+COUNTIFS(Fields!$A$2:$A$1001,B48,Fields!$Z$2:$Z$1001,"B",Fields!$W$2:$W$1001,"Yes")</f>
        <v>0</v>
      </c>
      <c r="P48" s="11" t="str">
        <f aca="false">IF(L48&gt;0,"A",IF(M48&gt;0,"B",IF(N48&gt;0,"C","")))</f>
        <v/>
      </c>
    </row>
    <row r="49" customFormat="false" ht="15" hidden="false" customHeight="false" outlineLevel="0" collapsed="false">
      <c r="A49" s="8" t="s">
        <v>66</v>
      </c>
      <c r="B49" s="8" t="s">
        <v>115</v>
      </c>
      <c r="C49" s="9"/>
      <c r="D49" s="9" t="s">
        <v>68</v>
      </c>
      <c r="E49" s="9"/>
      <c r="F49" s="9"/>
      <c r="G49" s="9"/>
      <c r="H49" s="9"/>
      <c r="I49" s="9"/>
      <c r="J49" s="10" t="n">
        <f aca="false">COUNTIF(Fields!$A$2:$A$1001,B49)</f>
        <v>0</v>
      </c>
      <c r="K49" s="10" t="n">
        <f aca="false">COUNTIFS(Fields!$A$2:$A$1001,B49,Fields!$T$2:$T$1001,"vetted")</f>
        <v>0</v>
      </c>
      <c r="L49" s="10" t="n">
        <f aca="false">COUNTIFS(Fields!$A$2:$A$1001,B49,Fields!$Z$2:$Z$1001,"A")</f>
        <v>0</v>
      </c>
      <c r="M49" s="10" t="n">
        <f aca="false">COUNTIFS(Fields!$A$2:$A$1001,B49,Fields!$Z$2:$Z$1001,"B")</f>
        <v>0</v>
      </c>
      <c r="N49" s="10" t="n">
        <f aca="false">COUNTIFS(Fields!$A$2:$A$1001,B49,Fields!$Z$2:$Z$1001,"C")</f>
        <v>0</v>
      </c>
      <c r="O49" s="10" t="n">
        <f aca="false">COUNTIFS(Fields!$A$2:$A$1001,B49,Fields!$Z$2:$Z$1001,"A",Fields!$W$2:$W$1001,"Yes")+COUNTIFS(Fields!$A$2:$A$1001,B49,Fields!$Z$2:$Z$1001,"B",Fields!$W$2:$W$1001,"Yes")</f>
        <v>0</v>
      </c>
      <c r="P49" s="11" t="str">
        <f aca="false">IF(L49&gt;0,"A",IF(M49&gt;0,"B",IF(N49&gt;0,"C","")))</f>
        <v/>
      </c>
    </row>
    <row r="50" customFormat="false" ht="15" hidden="false" customHeight="false" outlineLevel="0" collapsed="false">
      <c r="A50" s="8" t="s">
        <v>66</v>
      </c>
      <c r="B50" s="8" t="s">
        <v>116</v>
      </c>
      <c r="C50" s="9"/>
      <c r="D50" s="9" t="s">
        <v>68</v>
      </c>
      <c r="E50" s="9"/>
      <c r="F50" s="9"/>
      <c r="G50" s="9"/>
      <c r="H50" s="9"/>
      <c r="I50" s="9"/>
      <c r="J50" s="10" t="n">
        <f aca="false">COUNTIF(Fields!$A$2:$A$1001,B50)</f>
        <v>0</v>
      </c>
      <c r="K50" s="10" t="n">
        <f aca="false">COUNTIFS(Fields!$A$2:$A$1001,B50,Fields!$T$2:$T$1001,"vetted")</f>
        <v>0</v>
      </c>
      <c r="L50" s="10" t="n">
        <f aca="false">COUNTIFS(Fields!$A$2:$A$1001,B50,Fields!$Z$2:$Z$1001,"A")</f>
        <v>0</v>
      </c>
      <c r="M50" s="10" t="n">
        <f aca="false">COUNTIFS(Fields!$A$2:$A$1001,B50,Fields!$Z$2:$Z$1001,"B")</f>
        <v>0</v>
      </c>
      <c r="N50" s="10" t="n">
        <f aca="false">COUNTIFS(Fields!$A$2:$A$1001,B50,Fields!$Z$2:$Z$1001,"C")</f>
        <v>0</v>
      </c>
      <c r="O50" s="10" t="n">
        <f aca="false">COUNTIFS(Fields!$A$2:$A$1001,B50,Fields!$Z$2:$Z$1001,"A",Fields!$W$2:$W$1001,"Yes")+COUNTIFS(Fields!$A$2:$A$1001,B50,Fields!$Z$2:$Z$1001,"B",Fields!$W$2:$W$1001,"Yes")</f>
        <v>0</v>
      </c>
      <c r="P50" s="11" t="str">
        <f aca="false">IF(L50&gt;0,"A",IF(M50&gt;0,"B",IF(N50&gt;0,"C","")))</f>
        <v/>
      </c>
    </row>
    <row r="51" customFormat="false" ht="15" hidden="false" customHeight="false" outlineLevel="0" collapsed="false">
      <c r="A51" s="8" t="s">
        <v>66</v>
      </c>
      <c r="B51" s="8" t="s">
        <v>117</v>
      </c>
      <c r="C51" s="9"/>
      <c r="D51" s="9" t="s">
        <v>68</v>
      </c>
      <c r="E51" s="9"/>
      <c r="F51" s="9"/>
      <c r="G51" s="9"/>
      <c r="H51" s="9"/>
      <c r="I51" s="9"/>
      <c r="J51" s="10" t="n">
        <f aca="false">COUNTIF(Fields!$A$2:$A$1001,B51)</f>
        <v>0</v>
      </c>
      <c r="K51" s="10" t="n">
        <f aca="false">COUNTIFS(Fields!$A$2:$A$1001,B51,Fields!$T$2:$T$1001,"vetted")</f>
        <v>0</v>
      </c>
      <c r="L51" s="10" t="n">
        <f aca="false">COUNTIFS(Fields!$A$2:$A$1001,B51,Fields!$Z$2:$Z$1001,"A")</f>
        <v>0</v>
      </c>
      <c r="M51" s="10" t="n">
        <f aca="false">COUNTIFS(Fields!$A$2:$A$1001,B51,Fields!$Z$2:$Z$1001,"B")</f>
        <v>0</v>
      </c>
      <c r="N51" s="10" t="n">
        <f aca="false">COUNTIFS(Fields!$A$2:$A$1001,B51,Fields!$Z$2:$Z$1001,"C")</f>
        <v>0</v>
      </c>
      <c r="O51" s="10" t="n">
        <f aca="false">COUNTIFS(Fields!$A$2:$A$1001,B51,Fields!$Z$2:$Z$1001,"A",Fields!$W$2:$W$1001,"Yes")+COUNTIFS(Fields!$A$2:$A$1001,B51,Fields!$Z$2:$Z$1001,"B",Fields!$W$2:$W$1001,"Yes")</f>
        <v>0</v>
      </c>
      <c r="P51" s="11" t="str">
        <f aca="false">IF(L51&gt;0,"A",IF(M51&gt;0,"B",IF(N51&gt;0,"C","")))</f>
        <v/>
      </c>
    </row>
    <row r="52" customFormat="false" ht="15" hidden="false" customHeight="false" outlineLevel="0" collapsed="false">
      <c r="A52" s="8" t="s">
        <v>66</v>
      </c>
      <c r="B52" s="8" t="s">
        <v>118</v>
      </c>
      <c r="C52" s="9"/>
      <c r="D52" s="9" t="s">
        <v>68</v>
      </c>
      <c r="E52" s="9"/>
      <c r="F52" s="9"/>
      <c r="G52" s="9"/>
      <c r="H52" s="9"/>
      <c r="I52" s="9"/>
      <c r="J52" s="10" t="n">
        <f aca="false">COUNTIF(Fields!$A$2:$A$1001,B52)</f>
        <v>0</v>
      </c>
      <c r="K52" s="10" t="n">
        <f aca="false">COUNTIFS(Fields!$A$2:$A$1001,B52,Fields!$T$2:$T$1001,"vetted")</f>
        <v>0</v>
      </c>
      <c r="L52" s="10" t="n">
        <f aca="false">COUNTIFS(Fields!$A$2:$A$1001,B52,Fields!$Z$2:$Z$1001,"A")</f>
        <v>0</v>
      </c>
      <c r="M52" s="10" t="n">
        <f aca="false">COUNTIFS(Fields!$A$2:$A$1001,B52,Fields!$Z$2:$Z$1001,"B")</f>
        <v>0</v>
      </c>
      <c r="N52" s="10" t="n">
        <f aca="false">COUNTIFS(Fields!$A$2:$A$1001,B52,Fields!$Z$2:$Z$1001,"C")</f>
        <v>0</v>
      </c>
      <c r="O52" s="10" t="n">
        <f aca="false">COUNTIFS(Fields!$A$2:$A$1001,B52,Fields!$Z$2:$Z$1001,"A",Fields!$W$2:$W$1001,"Yes")+COUNTIFS(Fields!$A$2:$A$1001,B52,Fields!$Z$2:$Z$1001,"B",Fields!$W$2:$W$1001,"Yes")</f>
        <v>0</v>
      </c>
      <c r="P52" s="11" t="str">
        <f aca="false">IF(L52&gt;0,"A",IF(M52&gt;0,"B",IF(N52&gt;0,"C","")))</f>
        <v/>
      </c>
    </row>
    <row r="53" customFormat="false" ht="15" hidden="false" customHeight="false" outlineLevel="0" collapsed="false">
      <c r="A53" s="8" t="s">
        <v>66</v>
      </c>
      <c r="B53" s="8" t="s">
        <v>119</v>
      </c>
      <c r="C53" s="9"/>
      <c r="D53" s="9" t="s">
        <v>68</v>
      </c>
      <c r="E53" s="9"/>
      <c r="F53" s="9"/>
      <c r="G53" s="9"/>
      <c r="H53" s="9"/>
      <c r="I53" s="9"/>
      <c r="J53" s="10" t="n">
        <f aca="false">COUNTIF(Fields!$A$2:$A$1001,B53)</f>
        <v>0</v>
      </c>
      <c r="K53" s="10" t="n">
        <f aca="false">COUNTIFS(Fields!$A$2:$A$1001,B53,Fields!$T$2:$T$1001,"vetted")</f>
        <v>0</v>
      </c>
      <c r="L53" s="10" t="n">
        <f aca="false">COUNTIFS(Fields!$A$2:$A$1001,B53,Fields!$Z$2:$Z$1001,"A")</f>
        <v>0</v>
      </c>
      <c r="M53" s="10" t="n">
        <f aca="false">COUNTIFS(Fields!$A$2:$A$1001,B53,Fields!$Z$2:$Z$1001,"B")</f>
        <v>0</v>
      </c>
      <c r="N53" s="10" t="n">
        <f aca="false">COUNTIFS(Fields!$A$2:$A$1001,B53,Fields!$Z$2:$Z$1001,"C")</f>
        <v>0</v>
      </c>
      <c r="O53" s="10" t="n">
        <f aca="false">COUNTIFS(Fields!$A$2:$A$1001,B53,Fields!$Z$2:$Z$1001,"A",Fields!$W$2:$W$1001,"Yes")+COUNTIFS(Fields!$A$2:$A$1001,B53,Fields!$Z$2:$Z$1001,"B",Fields!$W$2:$W$1001,"Yes")</f>
        <v>0</v>
      </c>
      <c r="P53" s="11" t="str">
        <f aca="false">IF(L53&gt;0,"A",IF(M53&gt;0,"B",IF(N53&gt;0,"C","")))</f>
        <v/>
      </c>
    </row>
    <row r="54" customFormat="false" ht="15" hidden="false" customHeight="false" outlineLevel="0" collapsed="false">
      <c r="A54" s="8" t="s">
        <v>66</v>
      </c>
      <c r="B54" s="8" t="s">
        <v>120</v>
      </c>
      <c r="C54" s="9"/>
      <c r="D54" s="9" t="s">
        <v>68</v>
      </c>
      <c r="E54" s="9"/>
      <c r="F54" s="9"/>
      <c r="G54" s="9"/>
      <c r="H54" s="9"/>
      <c r="I54" s="9"/>
      <c r="J54" s="10" t="n">
        <f aca="false">COUNTIF(Fields!$A$2:$A$1001,B54)</f>
        <v>0</v>
      </c>
      <c r="K54" s="10" t="n">
        <f aca="false">COUNTIFS(Fields!$A$2:$A$1001,B54,Fields!$T$2:$T$1001,"vetted")</f>
        <v>0</v>
      </c>
      <c r="L54" s="10" t="n">
        <f aca="false">COUNTIFS(Fields!$A$2:$A$1001,B54,Fields!$Z$2:$Z$1001,"A")</f>
        <v>0</v>
      </c>
      <c r="M54" s="10" t="n">
        <f aca="false">COUNTIFS(Fields!$A$2:$A$1001,B54,Fields!$Z$2:$Z$1001,"B")</f>
        <v>0</v>
      </c>
      <c r="N54" s="10" t="n">
        <f aca="false">COUNTIFS(Fields!$A$2:$A$1001,B54,Fields!$Z$2:$Z$1001,"C")</f>
        <v>0</v>
      </c>
      <c r="O54" s="10" t="n">
        <f aca="false">COUNTIFS(Fields!$A$2:$A$1001,B54,Fields!$Z$2:$Z$1001,"A",Fields!$W$2:$W$1001,"Yes")+COUNTIFS(Fields!$A$2:$A$1001,B54,Fields!$Z$2:$Z$1001,"B",Fields!$W$2:$W$1001,"Yes")</f>
        <v>0</v>
      </c>
      <c r="P54" s="11" t="str">
        <f aca="false">IF(L54&gt;0,"A",IF(M54&gt;0,"B",IF(N54&gt;0,"C","")))</f>
        <v/>
      </c>
    </row>
    <row r="55" customFormat="false" ht="15" hidden="false" customHeight="false" outlineLevel="0" collapsed="false">
      <c r="A55" s="8" t="s">
        <v>66</v>
      </c>
      <c r="B55" s="8" t="s">
        <v>121</v>
      </c>
      <c r="C55" s="9"/>
      <c r="D55" s="9" t="s">
        <v>68</v>
      </c>
      <c r="E55" s="9"/>
      <c r="F55" s="9"/>
      <c r="G55" s="9"/>
      <c r="H55" s="9"/>
      <c r="I55" s="9"/>
      <c r="J55" s="10" t="n">
        <f aca="false">COUNTIF(Fields!$A$2:$A$1001,B55)</f>
        <v>0</v>
      </c>
      <c r="K55" s="10" t="n">
        <f aca="false">COUNTIFS(Fields!$A$2:$A$1001,B55,Fields!$T$2:$T$1001,"vetted")</f>
        <v>0</v>
      </c>
      <c r="L55" s="10" t="n">
        <f aca="false">COUNTIFS(Fields!$A$2:$A$1001,B55,Fields!$Z$2:$Z$1001,"A")</f>
        <v>0</v>
      </c>
      <c r="M55" s="10" t="n">
        <f aca="false">COUNTIFS(Fields!$A$2:$A$1001,B55,Fields!$Z$2:$Z$1001,"B")</f>
        <v>0</v>
      </c>
      <c r="N55" s="10" t="n">
        <f aca="false">COUNTIFS(Fields!$A$2:$A$1001,B55,Fields!$Z$2:$Z$1001,"C")</f>
        <v>0</v>
      </c>
      <c r="O55" s="10" t="n">
        <f aca="false">COUNTIFS(Fields!$A$2:$A$1001,B55,Fields!$Z$2:$Z$1001,"A",Fields!$W$2:$W$1001,"Yes")+COUNTIFS(Fields!$A$2:$A$1001,B55,Fields!$Z$2:$Z$1001,"B",Fields!$W$2:$W$1001,"Yes")</f>
        <v>0</v>
      </c>
      <c r="P55" s="11" t="str">
        <f aca="false">IF(L55&gt;0,"A",IF(M55&gt;0,"B",IF(N55&gt;0,"C","")))</f>
        <v/>
      </c>
    </row>
    <row r="56" customFormat="false" ht="15" hidden="false" customHeight="false" outlineLevel="0" collapsed="false">
      <c r="A56" s="8" t="s">
        <v>66</v>
      </c>
      <c r="B56" s="8" t="s">
        <v>122</v>
      </c>
      <c r="C56" s="9"/>
      <c r="D56" s="9" t="s">
        <v>68</v>
      </c>
      <c r="E56" s="9"/>
      <c r="F56" s="9"/>
      <c r="G56" s="9"/>
      <c r="H56" s="9"/>
      <c r="I56" s="9"/>
      <c r="J56" s="10" t="n">
        <f aca="false">COUNTIF(Fields!$A$2:$A$1001,B56)</f>
        <v>0</v>
      </c>
      <c r="K56" s="10" t="n">
        <f aca="false">COUNTIFS(Fields!$A$2:$A$1001,B56,Fields!$T$2:$T$1001,"vetted")</f>
        <v>0</v>
      </c>
      <c r="L56" s="10" t="n">
        <f aca="false">COUNTIFS(Fields!$A$2:$A$1001,B56,Fields!$Z$2:$Z$1001,"A")</f>
        <v>0</v>
      </c>
      <c r="M56" s="10" t="n">
        <f aca="false">COUNTIFS(Fields!$A$2:$A$1001,B56,Fields!$Z$2:$Z$1001,"B")</f>
        <v>0</v>
      </c>
      <c r="N56" s="10" t="n">
        <f aca="false">COUNTIFS(Fields!$A$2:$A$1001,B56,Fields!$Z$2:$Z$1001,"C")</f>
        <v>0</v>
      </c>
      <c r="O56" s="10" t="n">
        <f aca="false">COUNTIFS(Fields!$A$2:$A$1001,B56,Fields!$Z$2:$Z$1001,"A",Fields!$W$2:$W$1001,"Yes")+COUNTIFS(Fields!$A$2:$A$1001,B56,Fields!$Z$2:$Z$1001,"B",Fields!$W$2:$W$1001,"Yes")</f>
        <v>0</v>
      </c>
      <c r="P56" s="11" t="str">
        <f aca="false">IF(L56&gt;0,"A",IF(M56&gt;0,"B",IF(N56&gt;0,"C","")))</f>
        <v/>
      </c>
    </row>
    <row r="57" customFormat="false" ht="15" hidden="false" customHeight="false" outlineLevel="0" collapsed="false">
      <c r="A57" s="8" t="s">
        <v>66</v>
      </c>
      <c r="B57" s="8" t="s">
        <v>123</v>
      </c>
      <c r="C57" s="9"/>
      <c r="D57" s="9" t="s">
        <v>68</v>
      </c>
      <c r="E57" s="9"/>
      <c r="F57" s="9"/>
      <c r="G57" s="9"/>
      <c r="H57" s="9"/>
      <c r="I57" s="9"/>
      <c r="J57" s="10" t="n">
        <f aca="false">COUNTIF(Fields!$A$2:$A$1001,B57)</f>
        <v>0</v>
      </c>
      <c r="K57" s="10" t="n">
        <f aca="false">COUNTIFS(Fields!$A$2:$A$1001,B57,Fields!$T$2:$T$1001,"vetted")</f>
        <v>0</v>
      </c>
      <c r="L57" s="10" t="n">
        <f aca="false">COUNTIFS(Fields!$A$2:$A$1001,B57,Fields!$Z$2:$Z$1001,"A")</f>
        <v>0</v>
      </c>
      <c r="M57" s="10" t="n">
        <f aca="false">COUNTIFS(Fields!$A$2:$A$1001,B57,Fields!$Z$2:$Z$1001,"B")</f>
        <v>0</v>
      </c>
      <c r="N57" s="10" t="n">
        <f aca="false">COUNTIFS(Fields!$A$2:$A$1001,B57,Fields!$Z$2:$Z$1001,"C")</f>
        <v>0</v>
      </c>
      <c r="O57" s="10" t="n">
        <f aca="false">COUNTIFS(Fields!$A$2:$A$1001,B57,Fields!$Z$2:$Z$1001,"A",Fields!$W$2:$W$1001,"Yes")+COUNTIFS(Fields!$A$2:$A$1001,B57,Fields!$Z$2:$Z$1001,"B",Fields!$W$2:$W$1001,"Yes")</f>
        <v>0</v>
      </c>
      <c r="P57" s="11" t="str">
        <f aca="false">IF(L57&gt;0,"A",IF(M57&gt;0,"B",IF(N57&gt;0,"C","")))</f>
        <v/>
      </c>
    </row>
    <row r="58" customFormat="false" ht="15" hidden="false" customHeight="false" outlineLevel="0" collapsed="false">
      <c r="A58" s="8" t="s">
        <v>66</v>
      </c>
      <c r="B58" s="8" t="s">
        <v>124</v>
      </c>
      <c r="C58" s="9"/>
      <c r="D58" s="9" t="s">
        <v>68</v>
      </c>
      <c r="E58" s="9"/>
      <c r="F58" s="9"/>
      <c r="G58" s="9"/>
      <c r="H58" s="9"/>
      <c r="I58" s="9"/>
      <c r="J58" s="10" t="n">
        <f aca="false">COUNTIF(Fields!$A$2:$A$1001,B58)</f>
        <v>0</v>
      </c>
      <c r="K58" s="10" t="n">
        <f aca="false">COUNTIFS(Fields!$A$2:$A$1001,B58,Fields!$T$2:$T$1001,"vetted")</f>
        <v>0</v>
      </c>
      <c r="L58" s="10" t="n">
        <f aca="false">COUNTIFS(Fields!$A$2:$A$1001,B58,Fields!$Z$2:$Z$1001,"A")</f>
        <v>0</v>
      </c>
      <c r="M58" s="10" t="n">
        <f aca="false">COUNTIFS(Fields!$A$2:$A$1001,B58,Fields!$Z$2:$Z$1001,"B")</f>
        <v>0</v>
      </c>
      <c r="N58" s="10" t="n">
        <f aca="false">COUNTIFS(Fields!$A$2:$A$1001,B58,Fields!$Z$2:$Z$1001,"C")</f>
        <v>0</v>
      </c>
      <c r="O58" s="10" t="n">
        <f aca="false">COUNTIFS(Fields!$A$2:$A$1001,B58,Fields!$Z$2:$Z$1001,"A",Fields!$W$2:$W$1001,"Yes")+COUNTIFS(Fields!$A$2:$A$1001,B58,Fields!$Z$2:$Z$1001,"B",Fields!$W$2:$W$1001,"Yes")</f>
        <v>0</v>
      </c>
      <c r="P58" s="11" t="str">
        <f aca="false">IF(L58&gt;0,"A",IF(M58&gt;0,"B",IF(N58&gt;0,"C","")))</f>
        <v/>
      </c>
    </row>
    <row r="59" customFormat="false" ht="15" hidden="false" customHeight="false" outlineLevel="0" collapsed="false">
      <c r="A59" s="8" t="s">
        <v>66</v>
      </c>
      <c r="B59" s="8" t="s">
        <v>125</v>
      </c>
      <c r="C59" s="9"/>
      <c r="D59" s="9" t="s">
        <v>68</v>
      </c>
      <c r="E59" s="9"/>
      <c r="F59" s="9"/>
      <c r="G59" s="9"/>
      <c r="H59" s="9"/>
      <c r="I59" s="9"/>
      <c r="J59" s="10" t="n">
        <f aca="false">COUNTIF(Fields!$A$2:$A$1001,B59)</f>
        <v>0</v>
      </c>
      <c r="K59" s="10" t="n">
        <f aca="false">COUNTIFS(Fields!$A$2:$A$1001,B59,Fields!$T$2:$T$1001,"vetted")</f>
        <v>0</v>
      </c>
      <c r="L59" s="10" t="n">
        <f aca="false">COUNTIFS(Fields!$A$2:$A$1001,B59,Fields!$Z$2:$Z$1001,"A")</f>
        <v>0</v>
      </c>
      <c r="M59" s="10" t="n">
        <f aca="false">COUNTIFS(Fields!$A$2:$A$1001,B59,Fields!$Z$2:$Z$1001,"B")</f>
        <v>0</v>
      </c>
      <c r="N59" s="10" t="n">
        <f aca="false">COUNTIFS(Fields!$A$2:$A$1001,B59,Fields!$Z$2:$Z$1001,"C")</f>
        <v>0</v>
      </c>
      <c r="O59" s="10" t="n">
        <f aca="false">COUNTIFS(Fields!$A$2:$A$1001,B59,Fields!$Z$2:$Z$1001,"A",Fields!$W$2:$W$1001,"Yes")+COUNTIFS(Fields!$A$2:$A$1001,B59,Fields!$Z$2:$Z$1001,"B",Fields!$W$2:$W$1001,"Yes")</f>
        <v>0</v>
      </c>
      <c r="P59" s="11" t="str">
        <f aca="false">IF(L59&gt;0,"A",IF(M59&gt;0,"B",IF(N59&gt;0,"C","")))</f>
        <v/>
      </c>
    </row>
    <row r="60" customFormat="false" ht="15" hidden="false" customHeight="false" outlineLevel="0" collapsed="false">
      <c r="A60" s="8" t="s">
        <v>66</v>
      </c>
      <c r="B60" s="8" t="s">
        <v>126</v>
      </c>
      <c r="C60" s="9"/>
      <c r="D60" s="9" t="s">
        <v>68</v>
      </c>
      <c r="E60" s="9"/>
      <c r="F60" s="9"/>
      <c r="G60" s="9"/>
      <c r="H60" s="9"/>
      <c r="I60" s="9"/>
      <c r="J60" s="10" t="n">
        <f aca="false">COUNTIF(Fields!$A$2:$A$1001,B60)</f>
        <v>0</v>
      </c>
      <c r="K60" s="10" t="n">
        <f aca="false">COUNTIFS(Fields!$A$2:$A$1001,B60,Fields!$T$2:$T$1001,"vetted")</f>
        <v>0</v>
      </c>
      <c r="L60" s="10" t="n">
        <f aca="false">COUNTIFS(Fields!$A$2:$A$1001,B60,Fields!$Z$2:$Z$1001,"A")</f>
        <v>0</v>
      </c>
      <c r="M60" s="10" t="n">
        <f aca="false">COUNTIFS(Fields!$A$2:$A$1001,B60,Fields!$Z$2:$Z$1001,"B")</f>
        <v>0</v>
      </c>
      <c r="N60" s="10" t="n">
        <f aca="false">COUNTIFS(Fields!$A$2:$A$1001,B60,Fields!$Z$2:$Z$1001,"C")</f>
        <v>0</v>
      </c>
      <c r="O60" s="10" t="n">
        <f aca="false">COUNTIFS(Fields!$A$2:$A$1001,B60,Fields!$Z$2:$Z$1001,"A",Fields!$W$2:$W$1001,"Yes")+COUNTIFS(Fields!$A$2:$A$1001,B60,Fields!$Z$2:$Z$1001,"B",Fields!$W$2:$W$1001,"Yes")</f>
        <v>0</v>
      </c>
      <c r="P60" s="11" t="str">
        <f aca="false">IF(L60&gt;0,"A",IF(M60&gt;0,"B",IF(N60&gt;0,"C","")))</f>
        <v/>
      </c>
    </row>
    <row r="61" customFormat="false" ht="15" hidden="false" customHeight="false" outlineLevel="0" collapsed="false">
      <c r="A61" s="8" t="s">
        <v>66</v>
      </c>
      <c r="B61" s="8" t="s">
        <v>127</v>
      </c>
      <c r="C61" s="9"/>
      <c r="D61" s="9" t="s">
        <v>68</v>
      </c>
      <c r="E61" s="9"/>
      <c r="F61" s="9"/>
      <c r="G61" s="9"/>
      <c r="H61" s="9"/>
      <c r="I61" s="9"/>
      <c r="J61" s="10" t="n">
        <f aca="false">COUNTIF(Fields!$A$2:$A$1001,B61)</f>
        <v>0</v>
      </c>
      <c r="K61" s="10" t="n">
        <f aca="false">COUNTIFS(Fields!$A$2:$A$1001,B61,Fields!$T$2:$T$1001,"vetted")</f>
        <v>0</v>
      </c>
      <c r="L61" s="10" t="n">
        <f aca="false">COUNTIFS(Fields!$A$2:$A$1001,B61,Fields!$Z$2:$Z$1001,"A")</f>
        <v>0</v>
      </c>
      <c r="M61" s="10" t="n">
        <f aca="false">COUNTIFS(Fields!$A$2:$A$1001,B61,Fields!$Z$2:$Z$1001,"B")</f>
        <v>0</v>
      </c>
      <c r="N61" s="10" t="n">
        <f aca="false">COUNTIFS(Fields!$A$2:$A$1001,B61,Fields!$Z$2:$Z$1001,"C")</f>
        <v>0</v>
      </c>
      <c r="O61" s="10" t="n">
        <f aca="false">COUNTIFS(Fields!$A$2:$A$1001,B61,Fields!$Z$2:$Z$1001,"A",Fields!$W$2:$W$1001,"Yes")+COUNTIFS(Fields!$A$2:$A$1001,B61,Fields!$Z$2:$Z$1001,"B",Fields!$W$2:$W$1001,"Yes")</f>
        <v>0</v>
      </c>
      <c r="P61" s="11" t="str">
        <f aca="false">IF(L61&gt;0,"A",IF(M61&gt;0,"B",IF(N61&gt;0,"C","")))</f>
        <v/>
      </c>
    </row>
    <row r="62" customFormat="false" ht="15" hidden="false" customHeight="false" outlineLevel="0" collapsed="false">
      <c r="A62" s="8" t="s">
        <v>66</v>
      </c>
      <c r="B62" s="8" t="s">
        <v>128</v>
      </c>
      <c r="C62" s="9"/>
      <c r="D62" s="9" t="s">
        <v>68</v>
      </c>
      <c r="E62" s="9"/>
      <c r="F62" s="9"/>
      <c r="G62" s="9"/>
      <c r="H62" s="9"/>
      <c r="I62" s="9"/>
      <c r="J62" s="10" t="n">
        <f aca="false">COUNTIF(Fields!$A$2:$A$1001,B62)</f>
        <v>0</v>
      </c>
      <c r="K62" s="10" t="n">
        <f aca="false">COUNTIFS(Fields!$A$2:$A$1001,B62,Fields!$T$2:$T$1001,"vetted")</f>
        <v>0</v>
      </c>
      <c r="L62" s="10" t="n">
        <f aca="false">COUNTIFS(Fields!$A$2:$A$1001,B62,Fields!$Z$2:$Z$1001,"A")</f>
        <v>0</v>
      </c>
      <c r="M62" s="10" t="n">
        <f aca="false">COUNTIFS(Fields!$A$2:$A$1001,B62,Fields!$Z$2:$Z$1001,"B")</f>
        <v>0</v>
      </c>
      <c r="N62" s="10" t="n">
        <f aca="false">COUNTIFS(Fields!$A$2:$A$1001,B62,Fields!$Z$2:$Z$1001,"C")</f>
        <v>0</v>
      </c>
      <c r="O62" s="10" t="n">
        <f aca="false">COUNTIFS(Fields!$A$2:$A$1001,B62,Fields!$Z$2:$Z$1001,"A",Fields!$W$2:$W$1001,"Yes")+COUNTIFS(Fields!$A$2:$A$1001,B62,Fields!$Z$2:$Z$1001,"B",Fields!$W$2:$W$1001,"Yes")</f>
        <v>0</v>
      </c>
      <c r="P62" s="11" t="str">
        <f aca="false">IF(L62&gt;0,"A",IF(M62&gt;0,"B",IF(N62&gt;0,"C","")))</f>
        <v/>
      </c>
    </row>
    <row r="63" customFormat="false" ht="15" hidden="false" customHeight="false" outlineLevel="0" collapsed="false">
      <c r="A63" s="8" t="s">
        <v>66</v>
      </c>
      <c r="B63" s="8" t="s">
        <v>129</v>
      </c>
      <c r="C63" s="9"/>
      <c r="D63" s="9" t="s">
        <v>68</v>
      </c>
      <c r="E63" s="9"/>
      <c r="F63" s="9"/>
      <c r="G63" s="9"/>
      <c r="H63" s="9"/>
      <c r="I63" s="9"/>
      <c r="J63" s="10" t="n">
        <f aca="false">COUNTIF(Fields!$A$2:$A$1001,B63)</f>
        <v>0</v>
      </c>
      <c r="K63" s="10" t="n">
        <f aca="false">COUNTIFS(Fields!$A$2:$A$1001,B63,Fields!$T$2:$T$1001,"vetted")</f>
        <v>0</v>
      </c>
      <c r="L63" s="10" t="n">
        <f aca="false">COUNTIFS(Fields!$A$2:$A$1001,B63,Fields!$Z$2:$Z$1001,"A")</f>
        <v>0</v>
      </c>
      <c r="M63" s="10" t="n">
        <f aca="false">COUNTIFS(Fields!$A$2:$A$1001,B63,Fields!$Z$2:$Z$1001,"B")</f>
        <v>0</v>
      </c>
      <c r="N63" s="10" t="n">
        <f aca="false">COUNTIFS(Fields!$A$2:$A$1001,B63,Fields!$Z$2:$Z$1001,"C")</f>
        <v>0</v>
      </c>
      <c r="O63" s="10" t="n">
        <f aca="false">COUNTIFS(Fields!$A$2:$A$1001,B63,Fields!$Z$2:$Z$1001,"A",Fields!$W$2:$W$1001,"Yes")+COUNTIFS(Fields!$A$2:$A$1001,B63,Fields!$Z$2:$Z$1001,"B",Fields!$W$2:$W$1001,"Yes")</f>
        <v>0</v>
      </c>
      <c r="P63" s="11" t="str">
        <f aca="false">IF(L63&gt;0,"A",IF(M63&gt;0,"B",IF(N63&gt;0,"C","")))</f>
        <v/>
      </c>
    </row>
    <row r="64" customFormat="false" ht="15" hidden="false" customHeight="false" outlineLevel="0" collapsed="false">
      <c r="A64" s="8" t="s">
        <v>130</v>
      </c>
      <c r="B64" s="8" t="s">
        <v>131</v>
      </c>
      <c r="C64" s="9"/>
      <c r="D64" s="9" t="s">
        <v>68</v>
      </c>
      <c r="E64" s="9"/>
      <c r="F64" s="9"/>
      <c r="G64" s="9"/>
      <c r="H64" s="9"/>
      <c r="I64" s="9"/>
      <c r="J64" s="10" t="n">
        <f aca="false">COUNTIF(Fields!$A$2:$A$1001,B64)</f>
        <v>0</v>
      </c>
      <c r="K64" s="10" t="n">
        <f aca="false">COUNTIFS(Fields!$A$2:$A$1001,B64,Fields!$T$2:$T$1001,"vetted")</f>
        <v>0</v>
      </c>
      <c r="L64" s="10" t="n">
        <f aca="false">COUNTIFS(Fields!$A$2:$A$1001,B64,Fields!$Z$2:$Z$1001,"A")</f>
        <v>0</v>
      </c>
      <c r="M64" s="10" t="n">
        <f aca="false">COUNTIFS(Fields!$A$2:$A$1001,B64,Fields!$Z$2:$Z$1001,"B")</f>
        <v>0</v>
      </c>
      <c r="N64" s="10" t="n">
        <f aca="false">COUNTIFS(Fields!$A$2:$A$1001,B64,Fields!$Z$2:$Z$1001,"C")</f>
        <v>0</v>
      </c>
      <c r="O64" s="10" t="n">
        <f aca="false">COUNTIFS(Fields!$A$2:$A$1001,B64,Fields!$Z$2:$Z$1001,"A",Fields!$W$2:$W$1001,"Yes")+COUNTIFS(Fields!$A$2:$A$1001,B64,Fields!$Z$2:$Z$1001,"B",Fields!$W$2:$W$1001,"Yes")</f>
        <v>0</v>
      </c>
      <c r="P64" s="11" t="str">
        <f aca="false">IF(L64&gt;0,"A",IF(M64&gt;0,"B",IF(N64&gt;0,"C","")))</f>
        <v/>
      </c>
    </row>
    <row r="65" customFormat="false" ht="15" hidden="false" customHeight="false" outlineLevel="0" collapsed="false">
      <c r="A65" s="8" t="s">
        <v>130</v>
      </c>
      <c r="B65" s="8" t="s">
        <v>132</v>
      </c>
      <c r="C65" s="9"/>
      <c r="D65" s="9" t="s">
        <v>68</v>
      </c>
      <c r="E65" s="9"/>
      <c r="F65" s="9"/>
      <c r="G65" s="9"/>
      <c r="H65" s="9"/>
      <c r="I65" s="9"/>
      <c r="J65" s="10" t="n">
        <f aca="false">COUNTIF(Fields!$A$2:$A$1001,B65)</f>
        <v>0</v>
      </c>
      <c r="K65" s="10" t="n">
        <f aca="false">COUNTIFS(Fields!$A$2:$A$1001,B65,Fields!$T$2:$T$1001,"vetted")</f>
        <v>0</v>
      </c>
      <c r="L65" s="10" t="n">
        <f aca="false">COUNTIFS(Fields!$A$2:$A$1001,B65,Fields!$Z$2:$Z$1001,"A")</f>
        <v>0</v>
      </c>
      <c r="M65" s="10" t="n">
        <f aca="false">COUNTIFS(Fields!$A$2:$A$1001,B65,Fields!$Z$2:$Z$1001,"B")</f>
        <v>0</v>
      </c>
      <c r="N65" s="10" t="n">
        <f aca="false">COUNTIFS(Fields!$A$2:$A$1001,B65,Fields!$Z$2:$Z$1001,"C")</f>
        <v>0</v>
      </c>
      <c r="O65" s="10" t="n">
        <f aca="false">COUNTIFS(Fields!$A$2:$A$1001,B65,Fields!$Z$2:$Z$1001,"A",Fields!$W$2:$W$1001,"Yes")+COUNTIFS(Fields!$A$2:$A$1001,B65,Fields!$Z$2:$Z$1001,"B",Fields!$W$2:$W$1001,"Yes")</f>
        <v>0</v>
      </c>
      <c r="P65" s="11" t="str">
        <f aca="false">IF(L65&gt;0,"A",IF(M65&gt;0,"B",IF(N65&gt;0,"C","")))</f>
        <v/>
      </c>
    </row>
    <row r="66" customFormat="false" ht="15" hidden="false" customHeight="false" outlineLevel="0" collapsed="false">
      <c r="A66" s="8" t="s">
        <v>130</v>
      </c>
      <c r="B66" s="8" t="s">
        <v>133</v>
      </c>
      <c r="C66" s="9"/>
      <c r="D66" s="9" t="s">
        <v>68</v>
      </c>
      <c r="E66" s="9"/>
      <c r="F66" s="9"/>
      <c r="G66" s="9"/>
      <c r="H66" s="9"/>
      <c r="I66" s="9"/>
      <c r="J66" s="10" t="n">
        <f aca="false">COUNTIF(Fields!$A$2:$A$1001,B66)</f>
        <v>0</v>
      </c>
      <c r="K66" s="10" t="n">
        <f aca="false">COUNTIFS(Fields!$A$2:$A$1001,B66,Fields!$T$2:$T$1001,"vetted")</f>
        <v>0</v>
      </c>
      <c r="L66" s="10" t="n">
        <f aca="false">COUNTIFS(Fields!$A$2:$A$1001,B66,Fields!$Z$2:$Z$1001,"A")</f>
        <v>0</v>
      </c>
      <c r="M66" s="10" t="n">
        <f aca="false">COUNTIFS(Fields!$A$2:$A$1001,B66,Fields!$Z$2:$Z$1001,"B")</f>
        <v>0</v>
      </c>
      <c r="N66" s="10" t="n">
        <f aca="false">COUNTIFS(Fields!$A$2:$A$1001,B66,Fields!$Z$2:$Z$1001,"C")</f>
        <v>0</v>
      </c>
      <c r="O66" s="10" t="n">
        <f aca="false">COUNTIFS(Fields!$A$2:$A$1001,B66,Fields!$Z$2:$Z$1001,"A",Fields!$W$2:$W$1001,"Yes")+COUNTIFS(Fields!$A$2:$A$1001,B66,Fields!$Z$2:$Z$1001,"B",Fields!$W$2:$W$1001,"Yes")</f>
        <v>0</v>
      </c>
      <c r="P66" s="11" t="str">
        <f aca="false">IF(L66&gt;0,"A",IF(M66&gt;0,"B",IF(N66&gt;0,"C","")))</f>
        <v/>
      </c>
    </row>
    <row r="67" customFormat="false" ht="15" hidden="false" customHeight="false" outlineLevel="0" collapsed="false">
      <c r="A67" s="8" t="s">
        <v>130</v>
      </c>
      <c r="B67" s="8" t="s">
        <v>134</v>
      </c>
      <c r="C67" s="9"/>
      <c r="D67" s="9" t="s">
        <v>68</v>
      </c>
      <c r="E67" s="9"/>
      <c r="F67" s="9"/>
      <c r="G67" s="9"/>
      <c r="H67" s="9"/>
      <c r="I67" s="9"/>
      <c r="J67" s="10" t="n">
        <f aca="false">COUNTIF(Fields!$A$2:$A$1001,B67)</f>
        <v>0</v>
      </c>
      <c r="K67" s="10" t="n">
        <f aca="false">COUNTIFS(Fields!$A$2:$A$1001,B67,Fields!$T$2:$T$1001,"vetted")</f>
        <v>0</v>
      </c>
      <c r="L67" s="10" t="n">
        <f aca="false">COUNTIFS(Fields!$A$2:$A$1001,B67,Fields!$Z$2:$Z$1001,"A")</f>
        <v>0</v>
      </c>
      <c r="M67" s="10" t="n">
        <f aca="false">COUNTIFS(Fields!$A$2:$A$1001,B67,Fields!$Z$2:$Z$1001,"B")</f>
        <v>0</v>
      </c>
      <c r="N67" s="10" t="n">
        <f aca="false">COUNTIFS(Fields!$A$2:$A$1001,B67,Fields!$Z$2:$Z$1001,"C")</f>
        <v>0</v>
      </c>
      <c r="O67" s="10" t="n">
        <f aca="false">COUNTIFS(Fields!$A$2:$A$1001,B67,Fields!$Z$2:$Z$1001,"A",Fields!$W$2:$W$1001,"Yes")+COUNTIFS(Fields!$A$2:$A$1001,B67,Fields!$Z$2:$Z$1001,"B",Fields!$W$2:$W$1001,"Yes")</f>
        <v>0</v>
      </c>
      <c r="P67" s="11" t="str">
        <f aca="false">IF(L67&gt;0,"A",IF(M67&gt;0,"B",IF(N67&gt;0,"C","")))</f>
        <v/>
      </c>
    </row>
    <row r="68" customFormat="false" ht="15" hidden="false" customHeight="false" outlineLevel="0" collapsed="false">
      <c r="A68" s="8" t="s">
        <v>130</v>
      </c>
      <c r="B68" s="8" t="s">
        <v>135</v>
      </c>
      <c r="C68" s="9"/>
      <c r="D68" s="9" t="s">
        <v>68</v>
      </c>
      <c r="E68" s="9"/>
      <c r="F68" s="9"/>
      <c r="G68" s="9"/>
      <c r="H68" s="9"/>
      <c r="I68" s="9"/>
      <c r="J68" s="10" t="n">
        <f aca="false">COUNTIF(Fields!$A$2:$A$1001,B68)</f>
        <v>0</v>
      </c>
      <c r="K68" s="10" t="n">
        <f aca="false">COUNTIFS(Fields!$A$2:$A$1001,B68,Fields!$T$2:$T$1001,"vetted")</f>
        <v>0</v>
      </c>
      <c r="L68" s="10" t="n">
        <f aca="false">COUNTIFS(Fields!$A$2:$A$1001,B68,Fields!$Z$2:$Z$1001,"A")</f>
        <v>0</v>
      </c>
      <c r="M68" s="10" t="n">
        <f aca="false">COUNTIFS(Fields!$A$2:$A$1001,B68,Fields!$Z$2:$Z$1001,"B")</f>
        <v>0</v>
      </c>
      <c r="N68" s="10" t="n">
        <f aca="false">COUNTIFS(Fields!$A$2:$A$1001,B68,Fields!$Z$2:$Z$1001,"C")</f>
        <v>0</v>
      </c>
      <c r="O68" s="10" t="n">
        <f aca="false">COUNTIFS(Fields!$A$2:$A$1001,B68,Fields!$Z$2:$Z$1001,"A",Fields!$W$2:$W$1001,"Yes")+COUNTIFS(Fields!$A$2:$A$1001,B68,Fields!$Z$2:$Z$1001,"B",Fields!$W$2:$W$1001,"Yes")</f>
        <v>0</v>
      </c>
      <c r="P68" s="11" t="str">
        <f aca="false">IF(L68&gt;0,"A",IF(M68&gt;0,"B",IF(N68&gt;0,"C","")))</f>
        <v/>
      </c>
    </row>
    <row r="69" customFormat="false" ht="15" hidden="false" customHeight="false" outlineLevel="0" collapsed="false">
      <c r="A69" s="8" t="s">
        <v>130</v>
      </c>
      <c r="B69" s="8" t="s">
        <v>136</v>
      </c>
      <c r="C69" s="9"/>
      <c r="D69" s="9" t="s">
        <v>68</v>
      </c>
      <c r="E69" s="9"/>
      <c r="F69" s="9"/>
      <c r="G69" s="9"/>
      <c r="H69" s="9"/>
      <c r="I69" s="9"/>
      <c r="J69" s="10" t="n">
        <f aca="false">COUNTIF(Fields!$A$2:$A$1001,B69)</f>
        <v>0</v>
      </c>
      <c r="K69" s="10" t="n">
        <f aca="false">COUNTIFS(Fields!$A$2:$A$1001,B69,Fields!$T$2:$T$1001,"vetted")</f>
        <v>0</v>
      </c>
      <c r="L69" s="10" t="n">
        <f aca="false">COUNTIFS(Fields!$A$2:$A$1001,B69,Fields!$Z$2:$Z$1001,"A")</f>
        <v>0</v>
      </c>
      <c r="M69" s="10" t="n">
        <f aca="false">COUNTIFS(Fields!$A$2:$A$1001,B69,Fields!$Z$2:$Z$1001,"B")</f>
        <v>0</v>
      </c>
      <c r="N69" s="10" t="n">
        <f aca="false">COUNTIFS(Fields!$A$2:$A$1001,B69,Fields!$Z$2:$Z$1001,"C")</f>
        <v>0</v>
      </c>
      <c r="O69" s="10" t="n">
        <f aca="false">COUNTIFS(Fields!$A$2:$A$1001,B69,Fields!$Z$2:$Z$1001,"A",Fields!$W$2:$W$1001,"Yes")+COUNTIFS(Fields!$A$2:$A$1001,B69,Fields!$Z$2:$Z$1001,"B",Fields!$W$2:$W$1001,"Yes")</f>
        <v>0</v>
      </c>
      <c r="P69" s="11" t="str">
        <f aca="false">IF(L69&gt;0,"A",IF(M69&gt;0,"B",IF(N69&gt;0,"C","")))</f>
        <v/>
      </c>
    </row>
    <row r="70" customFormat="false" ht="15" hidden="false" customHeight="false" outlineLevel="0" collapsed="false">
      <c r="A70" s="8" t="s">
        <v>130</v>
      </c>
      <c r="B70" s="8" t="s">
        <v>137</v>
      </c>
      <c r="C70" s="9"/>
      <c r="D70" s="9" t="s">
        <v>68</v>
      </c>
      <c r="E70" s="9"/>
      <c r="F70" s="9"/>
      <c r="G70" s="9"/>
      <c r="H70" s="9"/>
      <c r="I70" s="9"/>
      <c r="J70" s="10" t="n">
        <f aca="false">COUNTIF(Fields!$A$2:$A$1001,B70)</f>
        <v>0</v>
      </c>
      <c r="K70" s="10" t="n">
        <f aca="false">COUNTIFS(Fields!$A$2:$A$1001,B70,Fields!$T$2:$T$1001,"vetted")</f>
        <v>0</v>
      </c>
      <c r="L70" s="10" t="n">
        <f aca="false">COUNTIFS(Fields!$A$2:$A$1001,B70,Fields!$Z$2:$Z$1001,"A")</f>
        <v>0</v>
      </c>
      <c r="M70" s="10" t="n">
        <f aca="false">COUNTIFS(Fields!$A$2:$A$1001,B70,Fields!$Z$2:$Z$1001,"B")</f>
        <v>0</v>
      </c>
      <c r="N70" s="10" t="n">
        <f aca="false">COUNTIFS(Fields!$A$2:$A$1001,B70,Fields!$Z$2:$Z$1001,"C")</f>
        <v>0</v>
      </c>
      <c r="O70" s="10" t="n">
        <f aca="false">COUNTIFS(Fields!$A$2:$A$1001,B70,Fields!$Z$2:$Z$1001,"A",Fields!$W$2:$W$1001,"Yes")+COUNTIFS(Fields!$A$2:$A$1001,B70,Fields!$Z$2:$Z$1001,"B",Fields!$W$2:$W$1001,"Yes")</f>
        <v>0</v>
      </c>
      <c r="P70" s="11" t="str">
        <f aca="false">IF(L70&gt;0,"A",IF(M70&gt;0,"B",IF(N70&gt;0,"C","")))</f>
        <v/>
      </c>
    </row>
    <row r="71" customFormat="false" ht="15" hidden="false" customHeight="false" outlineLevel="0" collapsed="false">
      <c r="A71" s="8" t="s">
        <v>130</v>
      </c>
      <c r="B71" s="8" t="s">
        <v>138</v>
      </c>
      <c r="C71" s="9"/>
      <c r="D71" s="9" t="s">
        <v>68</v>
      </c>
      <c r="E71" s="9"/>
      <c r="F71" s="9"/>
      <c r="G71" s="9"/>
      <c r="H71" s="9"/>
      <c r="I71" s="9"/>
      <c r="J71" s="10" t="n">
        <f aca="false">COUNTIF(Fields!$A$2:$A$1001,B71)</f>
        <v>0</v>
      </c>
      <c r="K71" s="10" t="n">
        <f aca="false">COUNTIFS(Fields!$A$2:$A$1001,B71,Fields!$T$2:$T$1001,"vetted")</f>
        <v>0</v>
      </c>
      <c r="L71" s="10" t="n">
        <f aca="false">COUNTIFS(Fields!$A$2:$A$1001,B71,Fields!$Z$2:$Z$1001,"A")</f>
        <v>0</v>
      </c>
      <c r="M71" s="10" t="n">
        <f aca="false">COUNTIFS(Fields!$A$2:$A$1001,B71,Fields!$Z$2:$Z$1001,"B")</f>
        <v>0</v>
      </c>
      <c r="N71" s="10" t="n">
        <f aca="false">COUNTIFS(Fields!$A$2:$A$1001,B71,Fields!$Z$2:$Z$1001,"C")</f>
        <v>0</v>
      </c>
      <c r="O71" s="10" t="n">
        <f aca="false">COUNTIFS(Fields!$A$2:$A$1001,B71,Fields!$Z$2:$Z$1001,"A",Fields!$W$2:$W$1001,"Yes")+COUNTIFS(Fields!$A$2:$A$1001,B71,Fields!$Z$2:$Z$1001,"B",Fields!$W$2:$W$1001,"Yes")</f>
        <v>0</v>
      </c>
      <c r="P71" s="11" t="str">
        <f aca="false">IF(L71&gt;0,"A",IF(M71&gt;0,"B",IF(N71&gt;0,"C","")))</f>
        <v/>
      </c>
    </row>
    <row r="72" customFormat="false" ht="15" hidden="false" customHeight="false" outlineLevel="0" collapsed="false">
      <c r="A72" s="8" t="s">
        <v>130</v>
      </c>
      <c r="B72" s="8" t="s">
        <v>139</v>
      </c>
      <c r="C72" s="9"/>
      <c r="D72" s="9" t="s">
        <v>68</v>
      </c>
      <c r="E72" s="9"/>
      <c r="F72" s="9"/>
      <c r="G72" s="9"/>
      <c r="H72" s="9"/>
      <c r="I72" s="9"/>
      <c r="J72" s="10" t="n">
        <f aca="false">COUNTIF(Fields!$A$2:$A$1001,B72)</f>
        <v>0</v>
      </c>
      <c r="K72" s="10" t="n">
        <f aca="false">COUNTIFS(Fields!$A$2:$A$1001,B72,Fields!$T$2:$T$1001,"vetted")</f>
        <v>0</v>
      </c>
      <c r="L72" s="10" t="n">
        <f aca="false">COUNTIFS(Fields!$A$2:$A$1001,B72,Fields!$Z$2:$Z$1001,"A")</f>
        <v>0</v>
      </c>
      <c r="M72" s="10" t="n">
        <f aca="false">COUNTIFS(Fields!$A$2:$A$1001,B72,Fields!$Z$2:$Z$1001,"B")</f>
        <v>0</v>
      </c>
      <c r="N72" s="10" t="n">
        <f aca="false">COUNTIFS(Fields!$A$2:$A$1001,B72,Fields!$Z$2:$Z$1001,"C")</f>
        <v>0</v>
      </c>
      <c r="O72" s="10" t="n">
        <f aca="false">COUNTIFS(Fields!$A$2:$A$1001,B72,Fields!$Z$2:$Z$1001,"A",Fields!$W$2:$W$1001,"Yes")+COUNTIFS(Fields!$A$2:$A$1001,B72,Fields!$Z$2:$Z$1001,"B",Fields!$W$2:$W$1001,"Yes")</f>
        <v>0</v>
      </c>
      <c r="P72" s="11" t="str">
        <f aca="false">IF(L72&gt;0,"A",IF(M72&gt;0,"B",IF(N72&gt;0,"C","")))</f>
        <v/>
      </c>
    </row>
    <row r="73" customFormat="false" ht="15" hidden="false" customHeight="false" outlineLevel="0" collapsed="false">
      <c r="A73" s="8" t="s">
        <v>130</v>
      </c>
      <c r="B73" s="8" t="s">
        <v>140</v>
      </c>
      <c r="C73" s="9"/>
      <c r="D73" s="9" t="s">
        <v>68</v>
      </c>
      <c r="E73" s="9"/>
      <c r="F73" s="9"/>
      <c r="G73" s="9"/>
      <c r="H73" s="9"/>
      <c r="I73" s="9"/>
      <c r="J73" s="10" t="n">
        <f aca="false">COUNTIF(Fields!$A$2:$A$1001,B73)</f>
        <v>0</v>
      </c>
      <c r="K73" s="10" t="n">
        <f aca="false">COUNTIFS(Fields!$A$2:$A$1001,B73,Fields!$T$2:$T$1001,"vetted")</f>
        <v>0</v>
      </c>
      <c r="L73" s="10" t="n">
        <f aca="false">COUNTIFS(Fields!$A$2:$A$1001,B73,Fields!$Z$2:$Z$1001,"A")</f>
        <v>0</v>
      </c>
      <c r="M73" s="10" t="n">
        <f aca="false">COUNTIFS(Fields!$A$2:$A$1001,B73,Fields!$Z$2:$Z$1001,"B")</f>
        <v>0</v>
      </c>
      <c r="N73" s="10" t="n">
        <f aca="false">COUNTIFS(Fields!$A$2:$A$1001,B73,Fields!$Z$2:$Z$1001,"C")</f>
        <v>0</v>
      </c>
      <c r="O73" s="10" t="n">
        <f aca="false">COUNTIFS(Fields!$A$2:$A$1001,B73,Fields!$Z$2:$Z$1001,"A",Fields!$W$2:$W$1001,"Yes")+COUNTIFS(Fields!$A$2:$A$1001,B73,Fields!$Z$2:$Z$1001,"B",Fields!$W$2:$W$1001,"Yes")</f>
        <v>0</v>
      </c>
      <c r="P73" s="11" t="str">
        <f aca="false">IF(L73&gt;0,"A",IF(M73&gt;0,"B",IF(N73&gt;0,"C","")))</f>
        <v/>
      </c>
    </row>
    <row r="74" customFormat="false" ht="15" hidden="false" customHeight="false" outlineLevel="0" collapsed="false">
      <c r="A74" s="8" t="s">
        <v>130</v>
      </c>
      <c r="B74" s="8" t="s">
        <v>141</v>
      </c>
      <c r="C74" s="9"/>
      <c r="D74" s="9" t="s">
        <v>68</v>
      </c>
      <c r="E74" s="9"/>
      <c r="F74" s="9"/>
      <c r="G74" s="9"/>
      <c r="H74" s="9"/>
      <c r="I74" s="9"/>
      <c r="J74" s="10" t="n">
        <f aca="false">COUNTIF(Fields!$A$2:$A$1001,B74)</f>
        <v>0</v>
      </c>
      <c r="K74" s="10" t="n">
        <f aca="false">COUNTIFS(Fields!$A$2:$A$1001,B74,Fields!$T$2:$T$1001,"vetted")</f>
        <v>0</v>
      </c>
      <c r="L74" s="10" t="n">
        <f aca="false">COUNTIFS(Fields!$A$2:$A$1001,B74,Fields!$Z$2:$Z$1001,"A")</f>
        <v>0</v>
      </c>
      <c r="M74" s="10" t="n">
        <f aca="false">COUNTIFS(Fields!$A$2:$A$1001,B74,Fields!$Z$2:$Z$1001,"B")</f>
        <v>0</v>
      </c>
      <c r="N74" s="10" t="n">
        <f aca="false">COUNTIFS(Fields!$A$2:$A$1001,B74,Fields!$Z$2:$Z$1001,"C")</f>
        <v>0</v>
      </c>
      <c r="O74" s="10" t="n">
        <f aca="false">COUNTIFS(Fields!$A$2:$A$1001,B74,Fields!$Z$2:$Z$1001,"A",Fields!$W$2:$W$1001,"Yes")+COUNTIFS(Fields!$A$2:$A$1001,B74,Fields!$Z$2:$Z$1001,"B",Fields!$W$2:$W$1001,"Yes")</f>
        <v>0</v>
      </c>
      <c r="P74" s="11" t="str">
        <f aca="false">IF(L74&gt;0,"A",IF(M74&gt;0,"B",IF(N74&gt;0,"C","")))</f>
        <v/>
      </c>
    </row>
    <row r="75" customFormat="false" ht="15" hidden="false" customHeight="false" outlineLevel="0" collapsed="false">
      <c r="A75" s="8" t="s">
        <v>130</v>
      </c>
      <c r="B75" s="8" t="s">
        <v>142</v>
      </c>
      <c r="C75" s="9"/>
      <c r="D75" s="9" t="s">
        <v>68</v>
      </c>
      <c r="E75" s="9"/>
      <c r="F75" s="9"/>
      <c r="G75" s="9"/>
      <c r="H75" s="9"/>
      <c r="I75" s="9"/>
      <c r="J75" s="10" t="n">
        <f aca="false">COUNTIF(Fields!$A$2:$A$1001,B75)</f>
        <v>0</v>
      </c>
      <c r="K75" s="10" t="n">
        <f aca="false">COUNTIFS(Fields!$A$2:$A$1001,B75,Fields!$T$2:$T$1001,"vetted")</f>
        <v>0</v>
      </c>
      <c r="L75" s="10" t="n">
        <f aca="false">COUNTIFS(Fields!$A$2:$A$1001,B75,Fields!$Z$2:$Z$1001,"A")</f>
        <v>0</v>
      </c>
      <c r="M75" s="10" t="n">
        <f aca="false">COUNTIFS(Fields!$A$2:$A$1001,B75,Fields!$Z$2:$Z$1001,"B")</f>
        <v>0</v>
      </c>
      <c r="N75" s="10" t="n">
        <f aca="false">COUNTIFS(Fields!$A$2:$A$1001,B75,Fields!$Z$2:$Z$1001,"C")</f>
        <v>0</v>
      </c>
      <c r="O75" s="10" t="n">
        <f aca="false">COUNTIFS(Fields!$A$2:$A$1001,B75,Fields!$Z$2:$Z$1001,"A",Fields!$W$2:$W$1001,"Yes")+COUNTIFS(Fields!$A$2:$A$1001,B75,Fields!$Z$2:$Z$1001,"B",Fields!$W$2:$W$1001,"Yes")</f>
        <v>0</v>
      </c>
      <c r="P75" s="11" t="str">
        <f aca="false">IF(L75&gt;0,"A",IF(M75&gt;0,"B",IF(N75&gt;0,"C","")))</f>
        <v/>
      </c>
    </row>
    <row r="76" customFormat="false" ht="15" hidden="false" customHeight="false" outlineLevel="0" collapsed="false">
      <c r="A76" s="8" t="s">
        <v>130</v>
      </c>
      <c r="B76" s="8" t="s">
        <v>143</v>
      </c>
      <c r="C76" s="9"/>
      <c r="D76" s="9" t="s">
        <v>68</v>
      </c>
      <c r="E76" s="9"/>
      <c r="F76" s="9"/>
      <c r="G76" s="9"/>
      <c r="H76" s="9"/>
      <c r="I76" s="9"/>
      <c r="J76" s="10" t="n">
        <f aca="false">COUNTIF(Fields!$A$2:$A$1001,B76)</f>
        <v>0</v>
      </c>
      <c r="K76" s="10" t="n">
        <f aca="false">COUNTIFS(Fields!$A$2:$A$1001,B76,Fields!$T$2:$T$1001,"vetted")</f>
        <v>0</v>
      </c>
      <c r="L76" s="10" t="n">
        <f aca="false">COUNTIFS(Fields!$A$2:$A$1001,B76,Fields!$Z$2:$Z$1001,"A")</f>
        <v>0</v>
      </c>
      <c r="M76" s="10" t="n">
        <f aca="false">COUNTIFS(Fields!$A$2:$A$1001,B76,Fields!$Z$2:$Z$1001,"B")</f>
        <v>0</v>
      </c>
      <c r="N76" s="10" t="n">
        <f aca="false">COUNTIFS(Fields!$A$2:$A$1001,B76,Fields!$Z$2:$Z$1001,"C")</f>
        <v>0</v>
      </c>
      <c r="O76" s="10" t="n">
        <f aca="false">COUNTIFS(Fields!$A$2:$A$1001,B76,Fields!$Z$2:$Z$1001,"A",Fields!$W$2:$W$1001,"Yes")+COUNTIFS(Fields!$A$2:$A$1001,B76,Fields!$Z$2:$Z$1001,"B",Fields!$W$2:$W$1001,"Yes")</f>
        <v>0</v>
      </c>
      <c r="P76" s="11" t="str">
        <f aca="false">IF(L76&gt;0,"A",IF(M76&gt;0,"B",IF(N76&gt;0,"C","")))</f>
        <v/>
      </c>
    </row>
    <row r="77" customFormat="false" ht="15" hidden="false" customHeight="false" outlineLevel="0" collapsed="false">
      <c r="A77" s="8" t="s">
        <v>130</v>
      </c>
      <c r="B77" s="8" t="s">
        <v>144</v>
      </c>
      <c r="C77" s="9"/>
      <c r="D77" s="9" t="s">
        <v>68</v>
      </c>
      <c r="E77" s="9"/>
      <c r="F77" s="9"/>
      <c r="G77" s="9"/>
      <c r="H77" s="9"/>
      <c r="I77" s="9"/>
      <c r="J77" s="10" t="n">
        <f aca="false">COUNTIF(Fields!$A$2:$A$1001,B77)</f>
        <v>0</v>
      </c>
      <c r="K77" s="10" t="n">
        <f aca="false">COUNTIFS(Fields!$A$2:$A$1001,B77,Fields!$T$2:$T$1001,"vetted")</f>
        <v>0</v>
      </c>
      <c r="L77" s="10" t="n">
        <f aca="false">COUNTIFS(Fields!$A$2:$A$1001,B77,Fields!$Z$2:$Z$1001,"A")</f>
        <v>0</v>
      </c>
      <c r="M77" s="10" t="n">
        <f aca="false">COUNTIFS(Fields!$A$2:$A$1001,B77,Fields!$Z$2:$Z$1001,"B")</f>
        <v>0</v>
      </c>
      <c r="N77" s="10" t="n">
        <f aca="false">COUNTIFS(Fields!$A$2:$A$1001,B77,Fields!$Z$2:$Z$1001,"C")</f>
        <v>0</v>
      </c>
      <c r="O77" s="10" t="n">
        <f aca="false">COUNTIFS(Fields!$A$2:$A$1001,B77,Fields!$Z$2:$Z$1001,"A",Fields!$W$2:$W$1001,"Yes")+COUNTIFS(Fields!$A$2:$A$1001,B77,Fields!$Z$2:$Z$1001,"B",Fields!$W$2:$W$1001,"Yes")</f>
        <v>0</v>
      </c>
      <c r="P77" s="11" t="str">
        <f aca="false">IF(L77&gt;0,"A",IF(M77&gt;0,"B",IF(N77&gt;0,"C","")))</f>
        <v/>
      </c>
    </row>
    <row r="78" customFormat="false" ht="15" hidden="false" customHeight="false" outlineLevel="0" collapsed="false">
      <c r="A78" s="8" t="s">
        <v>130</v>
      </c>
      <c r="B78" s="8" t="s">
        <v>35</v>
      </c>
      <c r="C78" s="9"/>
      <c r="D78" s="9" t="s">
        <v>68</v>
      </c>
      <c r="E78" s="9"/>
      <c r="F78" s="9"/>
      <c r="G78" s="9"/>
      <c r="H78" s="9"/>
      <c r="I78" s="9"/>
      <c r="J78" s="10" t="n">
        <f aca="false">COUNTIF(Fields!$A$2:$A$1001,B78)</f>
        <v>8</v>
      </c>
      <c r="K78" s="10" t="n">
        <f aca="false">COUNTIFS(Fields!$A$2:$A$1001,B78,Fields!$T$2:$T$1001,"vetted")</f>
        <v>0</v>
      </c>
      <c r="L78" s="10" t="n">
        <f aca="false">COUNTIFS(Fields!$A$2:$A$1001,B78,Fields!$Z$2:$Z$1001,"A")</f>
        <v>0</v>
      </c>
      <c r="M78" s="10" t="n">
        <f aca="false">COUNTIFS(Fields!$A$2:$A$1001,B78,Fields!$Z$2:$Z$1001,"B")</f>
        <v>0</v>
      </c>
      <c r="N78" s="10" t="n">
        <f aca="false">COUNTIFS(Fields!$A$2:$A$1001,B78,Fields!$Z$2:$Z$1001,"C")</f>
        <v>0</v>
      </c>
      <c r="O78" s="10" t="n">
        <f aca="false">COUNTIFS(Fields!$A$2:$A$1001,B78,Fields!$Z$2:$Z$1001,"A",Fields!$W$2:$W$1001,"Yes")+COUNTIFS(Fields!$A$2:$A$1001,B78,Fields!$Z$2:$Z$1001,"B",Fields!$W$2:$W$1001,"Yes")</f>
        <v>0</v>
      </c>
      <c r="P78" s="11" t="str">
        <f aca="false">IF(L78&gt;0,"A",IF(M78&gt;0,"B",IF(N78&gt;0,"C","")))</f>
        <v/>
      </c>
    </row>
    <row r="79" customFormat="false" ht="15" hidden="false" customHeight="false" outlineLevel="0" collapsed="false">
      <c r="A79" s="8" t="s">
        <v>130</v>
      </c>
      <c r="B79" s="8" t="s">
        <v>145</v>
      </c>
      <c r="C79" s="9"/>
      <c r="D79" s="9" t="s">
        <v>68</v>
      </c>
      <c r="E79" s="9"/>
      <c r="F79" s="9"/>
      <c r="G79" s="9"/>
      <c r="H79" s="9"/>
      <c r="I79" s="9"/>
      <c r="J79" s="10" t="n">
        <f aca="false">COUNTIF(Fields!$A$2:$A$1001,B79)</f>
        <v>0</v>
      </c>
      <c r="K79" s="10" t="n">
        <f aca="false">COUNTIFS(Fields!$A$2:$A$1001,B79,Fields!$T$2:$T$1001,"vetted")</f>
        <v>0</v>
      </c>
      <c r="L79" s="10" t="n">
        <f aca="false">COUNTIFS(Fields!$A$2:$A$1001,B79,Fields!$Z$2:$Z$1001,"A")</f>
        <v>0</v>
      </c>
      <c r="M79" s="10" t="n">
        <f aca="false">COUNTIFS(Fields!$A$2:$A$1001,B79,Fields!$Z$2:$Z$1001,"B")</f>
        <v>0</v>
      </c>
      <c r="N79" s="10" t="n">
        <f aca="false">COUNTIFS(Fields!$A$2:$A$1001,B79,Fields!$Z$2:$Z$1001,"C")</f>
        <v>0</v>
      </c>
      <c r="O79" s="10" t="n">
        <f aca="false">COUNTIFS(Fields!$A$2:$A$1001,B79,Fields!$Z$2:$Z$1001,"A",Fields!$W$2:$W$1001,"Yes")+COUNTIFS(Fields!$A$2:$A$1001,B79,Fields!$Z$2:$Z$1001,"B",Fields!$W$2:$W$1001,"Yes")</f>
        <v>0</v>
      </c>
      <c r="P79" s="11" t="str">
        <f aca="false">IF(L79&gt;0,"A",IF(M79&gt;0,"B",IF(N79&gt;0,"C","")))</f>
        <v/>
      </c>
    </row>
    <row r="80" customFormat="false" ht="15" hidden="false" customHeight="false" outlineLevel="0" collapsed="false">
      <c r="A80" s="8" t="s">
        <v>130</v>
      </c>
      <c r="B80" s="8" t="s">
        <v>146</v>
      </c>
      <c r="C80" s="9"/>
      <c r="D80" s="9" t="s">
        <v>68</v>
      </c>
      <c r="E80" s="9"/>
      <c r="F80" s="9"/>
      <c r="G80" s="9"/>
      <c r="H80" s="9"/>
      <c r="I80" s="9"/>
      <c r="J80" s="10" t="n">
        <f aca="false">COUNTIF(Fields!$A$2:$A$1001,B80)</f>
        <v>0</v>
      </c>
      <c r="K80" s="10" t="n">
        <f aca="false">COUNTIFS(Fields!$A$2:$A$1001,B80,Fields!$T$2:$T$1001,"vetted")</f>
        <v>0</v>
      </c>
      <c r="L80" s="10" t="n">
        <f aca="false">COUNTIFS(Fields!$A$2:$A$1001,B80,Fields!$Z$2:$Z$1001,"A")</f>
        <v>0</v>
      </c>
      <c r="M80" s="10" t="n">
        <f aca="false">COUNTIFS(Fields!$A$2:$A$1001,B80,Fields!$Z$2:$Z$1001,"B")</f>
        <v>0</v>
      </c>
      <c r="N80" s="10" t="n">
        <f aca="false">COUNTIFS(Fields!$A$2:$A$1001,B80,Fields!$Z$2:$Z$1001,"C")</f>
        <v>0</v>
      </c>
      <c r="O80" s="10" t="n">
        <f aca="false">COUNTIFS(Fields!$A$2:$A$1001,B80,Fields!$Z$2:$Z$1001,"A",Fields!$W$2:$W$1001,"Yes")+COUNTIFS(Fields!$A$2:$A$1001,B80,Fields!$Z$2:$Z$1001,"B",Fields!$W$2:$W$1001,"Yes")</f>
        <v>0</v>
      </c>
      <c r="P80" s="11" t="str">
        <f aca="false">IF(L80&gt;0,"A",IF(M80&gt;0,"B",IF(N80&gt;0,"C","")))</f>
        <v/>
      </c>
    </row>
    <row r="81" customFormat="false" ht="15" hidden="false" customHeight="false" outlineLevel="0" collapsed="false">
      <c r="A81" s="8" t="s">
        <v>130</v>
      </c>
      <c r="B81" s="8" t="s">
        <v>147</v>
      </c>
      <c r="C81" s="9"/>
      <c r="D81" s="9" t="s">
        <v>68</v>
      </c>
      <c r="E81" s="9"/>
      <c r="F81" s="9"/>
      <c r="G81" s="9"/>
      <c r="H81" s="9"/>
      <c r="I81" s="9"/>
      <c r="J81" s="10" t="n">
        <f aca="false">COUNTIF(Fields!$A$2:$A$1001,B81)</f>
        <v>0</v>
      </c>
      <c r="K81" s="10" t="n">
        <f aca="false">COUNTIFS(Fields!$A$2:$A$1001,B81,Fields!$T$2:$T$1001,"vetted")</f>
        <v>0</v>
      </c>
      <c r="L81" s="10" t="n">
        <f aca="false">COUNTIFS(Fields!$A$2:$A$1001,B81,Fields!$Z$2:$Z$1001,"A")</f>
        <v>0</v>
      </c>
      <c r="M81" s="10" t="n">
        <f aca="false">COUNTIFS(Fields!$A$2:$A$1001,B81,Fields!$Z$2:$Z$1001,"B")</f>
        <v>0</v>
      </c>
      <c r="N81" s="10" t="n">
        <f aca="false">COUNTIFS(Fields!$A$2:$A$1001,B81,Fields!$Z$2:$Z$1001,"C")</f>
        <v>0</v>
      </c>
      <c r="O81" s="10" t="n">
        <f aca="false">COUNTIFS(Fields!$A$2:$A$1001,B81,Fields!$Z$2:$Z$1001,"A",Fields!$W$2:$W$1001,"Yes")+COUNTIFS(Fields!$A$2:$A$1001,B81,Fields!$Z$2:$Z$1001,"B",Fields!$W$2:$W$1001,"Yes")</f>
        <v>0</v>
      </c>
      <c r="P81" s="11" t="str">
        <f aca="false">IF(L81&gt;0,"A",IF(M81&gt;0,"B",IF(N81&gt;0,"C","")))</f>
        <v/>
      </c>
    </row>
    <row r="82" customFormat="false" ht="15" hidden="false" customHeight="false" outlineLevel="0" collapsed="false">
      <c r="A82" s="8" t="s">
        <v>130</v>
      </c>
      <c r="B82" s="8" t="s">
        <v>148</v>
      </c>
      <c r="C82" s="9"/>
      <c r="D82" s="9" t="s">
        <v>68</v>
      </c>
      <c r="E82" s="9"/>
      <c r="F82" s="9"/>
      <c r="G82" s="9"/>
      <c r="H82" s="9"/>
      <c r="I82" s="9"/>
      <c r="J82" s="10" t="n">
        <f aca="false">COUNTIF(Fields!$A$2:$A$1001,B82)</f>
        <v>0</v>
      </c>
      <c r="K82" s="10" t="n">
        <f aca="false">COUNTIFS(Fields!$A$2:$A$1001,B82,Fields!$T$2:$T$1001,"vetted")</f>
        <v>0</v>
      </c>
      <c r="L82" s="10" t="n">
        <f aca="false">COUNTIFS(Fields!$A$2:$A$1001,B82,Fields!$Z$2:$Z$1001,"A")</f>
        <v>0</v>
      </c>
      <c r="M82" s="10" t="n">
        <f aca="false">COUNTIFS(Fields!$A$2:$A$1001,B82,Fields!$Z$2:$Z$1001,"B")</f>
        <v>0</v>
      </c>
      <c r="N82" s="10" t="n">
        <f aca="false">COUNTIFS(Fields!$A$2:$A$1001,B82,Fields!$Z$2:$Z$1001,"C")</f>
        <v>0</v>
      </c>
      <c r="O82" s="10" t="n">
        <f aca="false">COUNTIFS(Fields!$A$2:$A$1001,B82,Fields!$Z$2:$Z$1001,"A",Fields!$W$2:$W$1001,"Yes")+COUNTIFS(Fields!$A$2:$A$1001,B82,Fields!$Z$2:$Z$1001,"B",Fields!$W$2:$W$1001,"Yes")</f>
        <v>0</v>
      </c>
      <c r="P82" s="11" t="str">
        <f aca="false">IF(L82&gt;0,"A",IF(M82&gt;0,"B",IF(N82&gt;0,"C","")))</f>
        <v/>
      </c>
    </row>
    <row r="83" customFormat="false" ht="15" hidden="false" customHeight="false" outlineLevel="0" collapsed="false">
      <c r="A83" s="8" t="s">
        <v>130</v>
      </c>
      <c r="B83" s="8" t="s">
        <v>149</v>
      </c>
      <c r="C83" s="9"/>
      <c r="D83" s="9" t="s">
        <v>68</v>
      </c>
      <c r="E83" s="9"/>
      <c r="F83" s="9"/>
      <c r="G83" s="9"/>
      <c r="H83" s="9"/>
      <c r="I83" s="9"/>
      <c r="J83" s="10" t="n">
        <f aca="false">COUNTIF(Fields!$A$2:$A$1001,B83)</f>
        <v>0</v>
      </c>
      <c r="K83" s="10" t="n">
        <f aca="false">COUNTIFS(Fields!$A$2:$A$1001,B83,Fields!$T$2:$T$1001,"vetted")</f>
        <v>0</v>
      </c>
      <c r="L83" s="10" t="n">
        <f aca="false">COUNTIFS(Fields!$A$2:$A$1001,B83,Fields!$Z$2:$Z$1001,"A")</f>
        <v>0</v>
      </c>
      <c r="M83" s="10" t="n">
        <f aca="false">COUNTIFS(Fields!$A$2:$A$1001,B83,Fields!$Z$2:$Z$1001,"B")</f>
        <v>0</v>
      </c>
      <c r="N83" s="10" t="n">
        <f aca="false">COUNTIFS(Fields!$A$2:$A$1001,B83,Fields!$Z$2:$Z$1001,"C")</f>
        <v>0</v>
      </c>
      <c r="O83" s="10" t="n">
        <f aca="false">COUNTIFS(Fields!$A$2:$A$1001,B83,Fields!$Z$2:$Z$1001,"A",Fields!$W$2:$W$1001,"Yes")+COUNTIFS(Fields!$A$2:$A$1001,B83,Fields!$Z$2:$Z$1001,"B",Fields!$W$2:$W$1001,"Yes")</f>
        <v>0</v>
      </c>
      <c r="P83" s="11" t="str">
        <f aca="false">IF(L83&gt;0,"A",IF(M83&gt;0,"B",IF(N83&gt;0,"C","")))</f>
        <v/>
      </c>
    </row>
    <row r="84" customFormat="false" ht="15" hidden="false" customHeight="false" outlineLevel="0" collapsed="false">
      <c r="A84" s="8" t="s">
        <v>130</v>
      </c>
      <c r="B84" s="8" t="s">
        <v>150</v>
      </c>
      <c r="C84" s="9"/>
      <c r="D84" s="9" t="s">
        <v>68</v>
      </c>
      <c r="E84" s="9"/>
      <c r="F84" s="9"/>
      <c r="G84" s="9"/>
      <c r="H84" s="9"/>
      <c r="I84" s="9"/>
      <c r="J84" s="10" t="n">
        <f aca="false">COUNTIF(Fields!$A$2:$A$1001,B84)</f>
        <v>0</v>
      </c>
      <c r="K84" s="10" t="n">
        <f aca="false">COUNTIFS(Fields!$A$2:$A$1001,B84,Fields!$T$2:$T$1001,"vetted")</f>
        <v>0</v>
      </c>
      <c r="L84" s="10" t="n">
        <f aca="false">COUNTIFS(Fields!$A$2:$A$1001,B84,Fields!$Z$2:$Z$1001,"A")</f>
        <v>0</v>
      </c>
      <c r="M84" s="10" t="n">
        <f aca="false">COUNTIFS(Fields!$A$2:$A$1001,B84,Fields!$Z$2:$Z$1001,"B")</f>
        <v>0</v>
      </c>
      <c r="N84" s="10" t="n">
        <f aca="false">COUNTIFS(Fields!$A$2:$A$1001,B84,Fields!$Z$2:$Z$1001,"C")</f>
        <v>0</v>
      </c>
      <c r="O84" s="10" t="n">
        <f aca="false">COUNTIFS(Fields!$A$2:$A$1001,B84,Fields!$Z$2:$Z$1001,"A",Fields!$W$2:$W$1001,"Yes")+COUNTIFS(Fields!$A$2:$A$1001,B84,Fields!$Z$2:$Z$1001,"B",Fields!$W$2:$W$1001,"Yes")</f>
        <v>0</v>
      </c>
      <c r="P84" s="11" t="str">
        <f aca="false">IF(L84&gt;0,"A",IF(M84&gt;0,"B",IF(N84&gt;0,"C","")))</f>
        <v/>
      </c>
    </row>
    <row r="85" customFormat="false" ht="15" hidden="false" customHeight="false" outlineLevel="0" collapsed="false">
      <c r="A85" s="8" t="s">
        <v>130</v>
      </c>
      <c r="B85" s="8" t="s">
        <v>151</v>
      </c>
      <c r="C85" s="9"/>
      <c r="D85" s="9" t="s">
        <v>68</v>
      </c>
      <c r="E85" s="9"/>
      <c r="F85" s="9"/>
      <c r="G85" s="9"/>
      <c r="H85" s="9"/>
      <c r="I85" s="9"/>
      <c r="J85" s="10" t="n">
        <f aca="false">COUNTIF(Fields!$A$2:$A$1001,B85)</f>
        <v>0</v>
      </c>
      <c r="K85" s="10" t="n">
        <f aca="false">COUNTIFS(Fields!$A$2:$A$1001,B85,Fields!$T$2:$T$1001,"vetted")</f>
        <v>0</v>
      </c>
      <c r="L85" s="10" t="n">
        <f aca="false">COUNTIFS(Fields!$A$2:$A$1001,B85,Fields!$Z$2:$Z$1001,"A")</f>
        <v>0</v>
      </c>
      <c r="M85" s="10" t="n">
        <f aca="false">COUNTIFS(Fields!$A$2:$A$1001,B85,Fields!$Z$2:$Z$1001,"B")</f>
        <v>0</v>
      </c>
      <c r="N85" s="10" t="n">
        <f aca="false">COUNTIFS(Fields!$A$2:$A$1001,B85,Fields!$Z$2:$Z$1001,"C")</f>
        <v>0</v>
      </c>
      <c r="O85" s="10" t="n">
        <f aca="false">COUNTIFS(Fields!$A$2:$A$1001,B85,Fields!$Z$2:$Z$1001,"A",Fields!$W$2:$W$1001,"Yes")+COUNTIFS(Fields!$A$2:$A$1001,B85,Fields!$Z$2:$Z$1001,"B",Fields!$W$2:$W$1001,"Yes")</f>
        <v>0</v>
      </c>
      <c r="P85" s="11" t="str">
        <f aca="false">IF(L85&gt;0,"A",IF(M85&gt;0,"B",IF(N85&gt;0,"C","")))</f>
        <v/>
      </c>
    </row>
    <row r="86" customFormat="false" ht="15" hidden="false" customHeight="false" outlineLevel="0" collapsed="false">
      <c r="A86" s="8" t="s">
        <v>130</v>
      </c>
      <c r="B86" s="8" t="s">
        <v>152</v>
      </c>
      <c r="C86" s="9"/>
      <c r="D86" s="9" t="s">
        <v>68</v>
      </c>
      <c r="E86" s="9"/>
      <c r="F86" s="9"/>
      <c r="G86" s="9"/>
      <c r="H86" s="9"/>
      <c r="I86" s="9"/>
      <c r="J86" s="10" t="n">
        <f aca="false">COUNTIF(Fields!$A$2:$A$1001,B86)</f>
        <v>0</v>
      </c>
      <c r="K86" s="10" t="n">
        <f aca="false">COUNTIFS(Fields!$A$2:$A$1001,B86,Fields!$T$2:$T$1001,"vetted")</f>
        <v>0</v>
      </c>
      <c r="L86" s="10" t="n">
        <f aca="false">COUNTIFS(Fields!$A$2:$A$1001,B86,Fields!$Z$2:$Z$1001,"A")</f>
        <v>0</v>
      </c>
      <c r="M86" s="10" t="n">
        <f aca="false">COUNTIFS(Fields!$A$2:$A$1001,B86,Fields!$Z$2:$Z$1001,"B")</f>
        <v>0</v>
      </c>
      <c r="N86" s="10" t="n">
        <f aca="false">COUNTIFS(Fields!$A$2:$A$1001,B86,Fields!$Z$2:$Z$1001,"C")</f>
        <v>0</v>
      </c>
      <c r="O86" s="10" t="n">
        <f aca="false">COUNTIFS(Fields!$A$2:$A$1001,B86,Fields!$Z$2:$Z$1001,"A",Fields!$W$2:$W$1001,"Yes")+COUNTIFS(Fields!$A$2:$A$1001,B86,Fields!$Z$2:$Z$1001,"B",Fields!$W$2:$W$1001,"Yes")</f>
        <v>0</v>
      </c>
      <c r="P86" s="11" t="str">
        <f aca="false">IF(L86&gt;0,"A",IF(M86&gt;0,"B",IF(N86&gt;0,"C","")))</f>
        <v/>
      </c>
    </row>
    <row r="87" customFormat="false" ht="15" hidden="false" customHeight="false" outlineLevel="0" collapsed="false">
      <c r="A87" s="8" t="s">
        <v>130</v>
      </c>
      <c r="B87" s="8" t="s">
        <v>153</v>
      </c>
      <c r="C87" s="9"/>
      <c r="D87" s="9" t="s">
        <v>68</v>
      </c>
      <c r="E87" s="9"/>
      <c r="F87" s="9"/>
      <c r="G87" s="9"/>
      <c r="H87" s="9"/>
      <c r="I87" s="9"/>
      <c r="J87" s="10" t="n">
        <f aca="false">COUNTIF(Fields!$A$2:$A$1001,B87)</f>
        <v>0</v>
      </c>
      <c r="K87" s="10" t="n">
        <f aca="false">COUNTIFS(Fields!$A$2:$A$1001,B87,Fields!$T$2:$T$1001,"vetted")</f>
        <v>0</v>
      </c>
      <c r="L87" s="10" t="n">
        <f aca="false">COUNTIFS(Fields!$A$2:$A$1001,B87,Fields!$Z$2:$Z$1001,"A")</f>
        <v>0</v>
      </c>
      <c r="M87" s="10" t="n">
        <f aca="false">COUNTIFS(Fields!$A$2:$A$1001,B87,Fields!$Z$2:$Z$1001,"B")</f>
        <v>0</v>
      </c>
      <c r="N87" s="10" t="n">
        <f aca="false">COUNTIFS(Fields!$A$2:$A$1001,B87,Fields!$Z$2:$Z$1001,"C")</f>
        <v>0</v>
      </c>
      <c r="O87" s="10" t="n">
        <f aca="false">COUNTIFS(Fields!$A$2:$A$1001,B87,Fields!$Z$2:$Z$1001,"A",Fields!$W$2:$W$1001,"Yes")+COUNTIFS(Fields!$A$2:$A$1001,B87,Fields!$Z$2:$Z$1001,"B",Fields!$W$2:$W$1001,"Yes")</f>
        <v>0</v>
      </c>
      <c r="P87" s="11" t="str">
        <f aca="false">IF(L87&gt;0,"A",IF(M87&gt;0,"B",IF(N87&gt;0,"C","")))</f>
        <v/>
      </c>
    </row>
    <row r="88" customFormat="false" ht="15" hidden="false" customHeight="false" outlineLevel="0" collapsed="false">
      <c r="A88" s="8" t="s">
        <v>130</v>
      </c>
      <c r="B88" s="8" t="s">
        <v>154</v>
      </c>
      <c r="C88" s="9"/>
      <c r="D88" s="9" t="s">
        <v>68</v>
      </c>
      <c r="E88" s="9"/>
      <c r="F88" s="9"/>
      <c r="G88" s="9"/>
      <c r="H88" s="9"/>
      <c r="I88" s="9"/>
      <c r="J88" s="10" t="n">
        <f aca="false">COUNTIF(Fields!$A$2:$A$1001,B88)</f>
        <v>0</v>
      </c>
      <c r="K88" s="10" t="n">
        <f aca="false">COUNTIFS(Fields!$A$2:$A$1001,B88,Fields!$T$2:$T$1001,"vetted")</f>
        <v>0</v>
      </c>
      <c r="L88" s="10" t="n">
        <f aca="false">COUNTIFS(Fields!$A$2:$A$1001,B88,Fields!$Z$2:$Z$1001,"A")</f>
        <v>0</v>
      </c>
      <c r="M88" s="10" t="n">
        <f aca="false">COUNTIFS(Fields!$A$2:$A$1001,B88,Fields!$Z$2:$Z$1001,"B")</f>
        <v>0</v>
      </c>
      <c r="N88" s="10" t="n">
        <f aca="false">COUNTIFS(Fields!$A$2:$A$1001,B88,Fields!$Z$2:$Z$1001,"C")</f>
        <v>0</v>
      </c>
      <c r="O88" s="10" t="n">
        <f aca="false">COUNTIFS(Fields!$A$2:$A$1001,B88,Fields!$Z$2:$Z$1001,"A",Fields!$W$2:$W$1001,"Yes")+COUNTIFS(Fields!$A$2:$A$1001,B88,Fields!$Z$2:$Z$1001,"B",Fields!$W$2:$W$1001,"Yes")</f>
        <v>0</v>
      </c>
      <c r="P88" s="11" t="str">
        <f aca="false">IF(L88&gt;0,"A",IF(M88&gt;0,"B",IF(N88&gt;0,"C","")))</f>
        <v/>
      </c>
    </row>
    <row r="89" customFormat="false" ht="15" hidden="false" customHeight="false" outlineLevel="0" collapsed="false">
      <c r="A89" s="8" t="s">
        <v>130</v>
      </c>
      <c r="B89" s="8" t="s">
        <v>155</v>
      </c>
      <c r="C89" s="9"/>
      <c r="D89" s="9" t="s">
        <v>68</v>
      </c>
      <c r="E89" s="9"/>
      <c r="F89" s="9"/>
      <c r="G89" s="9"/>
      <c r="H89" s="9"/>
      <c r="I89" s="9"/>
      <c r="J89" s="10" t="n">
        <f aca="false">COUNTIF(Fields!$A$2:$A$1001,B89)</f>
        <v>0</v>
      </c>
      <c r="K89" s="10" t="n">
        <f aca="false">COUNTIFS(Fields!$A$2:$A$1001,B89,Fields!$T$2:$T$1001,"vetted")</f>
        <v>0</v>
      </c>
      <c r="L89" s="10" t="n">
        <f aca="false">COUNTIFS(Fields!$A$2:$A$1001,B89,Fields!$Z$2:$Z$1001,"A")</f>
        <v>0</v>
      </c>
      <c r="M89" s="10" t="n">
        <f aca="false">COUNTIFS(Fields!$A$2:$A$1001,B89,Fields!$Z$2:$Z$1001,"B")</f>
        <v>0</v>
      </c>
      <c r="N89" s="10" t="n">
        <f aca="false">COUNTIFS(Fields!$A$2:$A$1001,B89,Fields!$Z$2:$Z$1001,"C")</f>
        <v>0</v>
      </c>
      <c r="O89" s="10" t="n">
        <f aca="false">COUNTIFS(Fields!$A$2:$A$1001,B89,Fields!$Z$2:$Z$1001,"A",Fields!$W$2:$W$1001,"Yes")+COUNTIFS(Fields!$A$2:$A$1001,B89,Fields!$Z$2:$Z$1001,"B",Fields!$W$2:$W$1001,"Yes")</f>
        <v>0</v>
      </c>
      <c r="P89" s="11" t="str">
        <f aca="false">IF(L89&gt;0,"A",IF(M89&gt;0,"B",IF(N89&gt;0,"C","")))</f>
        <v/>
      </c>
    </row>
    <row r="90" customFormat="false" ht="15" hidden="false" customHeight="false" outlineLevel="0" collapsed="false">
      <c r="A90" s="8" t="s">
        <v>130</v>
      </c>
      <c r="B90" s="8" t="s">
        <v>156</v>
      </c>
      <c r="C90" s="9"/>
      <c r="D90" s="9" t="s">
        <v>68</v>
      </c>
      <c r="E90" s="9"/>
      <c r="F90" s="9"/>
      <c r="G90" s="9"/>
      <c r="H90" s="9"/>
      <c r="I90" s="9"/>
      <c r="J90" s="10" t="n">
        <f aca="false">COUNTIF(Fields!$A$2:$A$1001,B90)</f>
        <v>0</v>
      </c>
      <c r="K90" s="10" t="n">
        <f aca="false">COUNTIFS(Fields!$A$2:$A$1001,B90,Fields!$T$2:$T$1001,"vetted")</f>
        <v>0</v>
      </c>
      <c r="L90" s="10" t="n">
        <f aca="false">COUNTIFS(Fields!$A$2:$A$1001,B90,Fields!$Z$2:$Z$1001,"A")</f>
        <v>0</v>
      </c>
      <c r="M90" s="10" t="n">
        <f aca="false">COUNTIFS(Fields!$A$2:$A$1001,B90,Fields!$Z$2:$Z$1001,"B")</f>
        <v>0</v>
      </c>
      <c r="N90" s="10" t="n">
        <f aca="false">COUNTIFS(Fields!$A$2:$A$1001,B90,Fields!$Z$2:$Z$1001,"C")</f>
        <v>0</v>
      </c>
      <c r="O90" s="10" t="n">
        <f aca="false">COUNTIFS(Fields!$A$2:$A$1001,B90,Fields!$Z$2:$Z$1001,"A",Fields!$W$2:$W$1001,"Yes")+COUNTIFS(Fields!$A$2:$A$1001,B90,Fields!$Z$2:$Z$1001,"B",Fields!$W$2:$W$1001,"Yes")</f>
        <v>0</v>
      </c>
      <c r="P90" s="11" t="str">
        <f aca="false">IF(L90&gt;0,"A",IF(M90&gt;0,"B",IF(N90&gt;0,"C","")))</f>
        <v/>
      </c>
    </row>
    <row r="91" customFormat="false" ht="15" hidden="false" customHeight="false" outlineLevel="0" collapsed="false">
      <c r="A91" s="8" t="s">
        <v>130</v>
      </c>
      <c r="B91" s="8" t="s">
        <v>157</v>
      </c>
      <c r="C91" s="9"/>
      <c r="D91" s="9" t="s">
        <v>68</v>
      </c>
      <c r="E91" s="9"/>
      <c r="F91" s="9"/>
      <c r="G91" s="9"/>
      <c r="H91" s="9"/>
      <c r="I91" s="9"/>
      <c r="J91" s="10" t="n">
        <f aca="false">COUNTIF(Fields!$A$2:$A$1001,B91)</f>
        <v>0</v>
      </c>
      <c r="K91" s="10" t="n">
        <f aca="false">COUNTIFS(Fields!$A$2:$A$1001,B91,Fields!$T$2:$T$1001,"vetted")</f>
        <v>0</v>
      </c>
      <c r="L91" s="10" t="n">
        <f aca="false">COUNTIFS(Fields!$A$2:$A$1001,B91,Fields!$Z$2:$Z$1001,"A")</f>
        <v>0</v>
      </c>
      <c r="M91" s="10" t="n">
        <f aca="false">COUNTIFS(Fields!$A$2:$A$1001,B91,Fields!$Z$2:$Z$1001,"B")</f>
        <v>0</v>
      </c>
      <c r="N91" s="10" t="n">
        <f aca="false">COUNTIFS(Fields!$A$2:$A$1001,B91,Fields!$Z$2:$Z$1001,"C")</f>
        <v>0</v>
      </c>
      <c r="O91" s="10" t="n">
        <f aca="false">COUNTIFS(Fields!$A$2:$A$1001,B91,Fields!$Z$2:$Z$1001,"A",Fields!$W$2:$W$1001,"Yes")+COUNTIFS(Fields!$A$2:$A$1001,B91,Fields!$Z$2:$Z$1001,"B",Fields!$W$2:$W$1001,"Yes")</f>
        <v>0</v>
      </c>
      <c r="P91" s="11" t="str">
        <f aca="false">IF(L91&gt;0,"A",IF(M91&gt;0,"B",IF(N91&gt;0,"C","")))</f>
        <v/>
      </c>
    </row>
    <row r="92" customFormat="false" ht="15" hidden="false" customHeight="false" outlineLevel="0" collapsed="false">
      <c r="A92" s="8" t="s">
        <v>130</v>
      </c>
      <c r="B92" s="8" t="s">
        <v>158</v>
      </c>
      <c r="C92" s="9"/>
      <c r="D92" s="9" t="s">
        <v>68</v>
      </c>
      <c r="E92" s="9"/>
      <c r="F92" s="9"/>
      <c r="G92" s="9"/>
      <c r="H92" s="9"/>
      <c r="I92" s="9"/>
      <c r="J92" s="10" t="n">
        <f aca="false">COUNTIF(Fields!$A$2:$A$1001,B92)</f>
        <v>0</v>
      </c>
      <c r="K92" s="10" t="n">
        <f aca="false">COUNTIFS(Fields!$A$2:$A$1001,B92,Fields!$T$2:$T$1001,"vetted")</f>
        <v>0</v>
      </c>
      <c r="L92" s="10" t="n">
        <f aca="false">COUNTIFS(Fields!$A$2:$A$1001,B92,Fields!$Z$2:$Z$1001,"A")</f>
        <v>0</v>
      </c>
      <c r="M92" s="10" t="n">
        <f aca="false">COUNTIFS(Fields!$A$2:$A$1001,B92,Fields!$Z$2:$Z$1001,"B")</f>
        <v>0</v>
      </c>
      <c r="N92" s="10" t="n">
        <f aca="false">COUNTIFS(Fields!$A$2:$A$1001,B92,Fields!$Z$2:$Z$1001,"C")</f>
        <v>0</v>
      </c>
      <c r="O92" s="10" t="n">
        <f aca="false">COUNTIFS(Fields!$A$2:$A$1001,B92,Fields!$Z$2:$Z$1001,"A",Fields!$W$2:$W$1001,"Yes")+COUNTIFS(Fields!$A$2:$A$1001,B92,Fields!$Z$2:$Z$1001,"B",Fields!$W$2:$W$1001,"Yes")</f>
        <v>0</v>
      </c>
      <c r="P92" s="11" t="str">
        <f aca="false">IF(L92&gt;0,"A",IF(M92&gt;0,"B",IF(N92&gt;0,"C","")))</f>
        <v/>
      </c>
    </row>
    <row r="93" customFormat="false" ht="15" hidden="false" customHeight="false" outlineLevel="0" collapsed="false">
      <c r="A93" s="8" t="s">
        <v>130</v>
      </c>
      <c r="B93" s="8" t="s">
        <v>159</v>
      </c>
      <c r="C93" s="9"/>
      <c r="D93" s="9" t="s">
        <v>68</v>
      </c>
      <c r="E93" s="9"/>
      <c r="F93" s="9"/>
      <c r="G93" s="9"/>
      <c r="H93" s="9"/>
      <c r="I93" s="9"/>
      <c r="J93" s="10" t="n">
        <f aca="false">COUNTIF(Fields!$A$2:$A$1001,B93)</f>
        <v>0</v>
      </c>
      <c r="K93" s="10" t="n">
        <f aca="false">COUNTIFS(Fields!$A$2:$A$1001,B93,Fields!$T$2:$T$1001,"vetted")</f>
        <v>0</v>
      </c>
      <c r="L93" s="10" t="n">
        <f aca="false">COUNTIFS(Fields!$A$2:$A$1001,B93,Fields!$Z$2:$Z$1001,"A")</f>
        <v>0</v>
      </c>
      <c r="M93" s="10" t="n">
        <f aca="false">COUNTIFS(Fields!$A$2:$A$1001,B93,Fields!$Z$2:$Z$1001,"B")</f>
        <v>0</v>
      </c>
      <c r="N93" s="10" t="n">
        <f aca="false">COUNTIFS(Fields!$A$2:$A$1001,B93,Fields!$Z$2:$Z$1001,"C")</f>
        <v>0</v>
      </c>
      <c r="O93" s="10" t="n">
        <f aca="false">COUNTIFS(Fields!$A$2:$A$1001,B93,Fields!$Z$2:$Z$1001,"A",Fields!$W$2:$W$1001,"Yes")+COUNTIFS(Fields!$A$2:$A$1001,B93,Fields!$Z$2:$Z$1001,"B",Fields!$W$2:$W$1001,"Yes")</f>
        <v>0</v>
      </c>
      <c r="P93" s="11" t="str">
        <f aca="false">IF(L93&gt;0,"A",IF(M93&gt;0,"B",IF(N93&gt;0,"C","")))</f>
        <v/>
      </c>
    </row>
    <row r="94" customFormat="false" ht="15" hidden="false" customHeight="false" outlineLevel="0" collapsed="false">
      <c r="A94" s="8" t="s">
        <v>130</v>
      </c>
      <c r="B94" s="8" t="s">
        <v>160</v>
      </c>
      <c r="C94" s="9"/>
      <c r="D94" s="9" t="s">
        <v>68</v>
      </c>
      <c r="E94" s="9"/>
      <c r="F94" s="9"/>
      <c r="G94" s="9"/>
      <c r="H94" s="9"/>
      <c r="I94" s="9"/>
      <c r="J94" s="10" t="n">
        <f aca="false">COUNTIF(Fields!$A$2:$A$1001,B94)</f>
        <v>0</v>
      </c>
      <c r="K94" s="10" t="n">
        <f aca="false">COUNTIFS(Fields!$A$2:$A$1001,B94,Fields!$T$2:$T$1001,"vetted")</f>
        <v>0</v>
      </c>
      <c r="L94" s="10" t="n">
        <f aca="false">COUNTIFS(Fields!$A$2:$A$1001,B94,Fields!$Z$2:$Z$1001,"A")</f>
        <v>0</v>
      </c>
      <c r="M94" s="10" t="n">
        <f aca="false">COUNTIFS(Fields!$A$2:$A$1001,B94,Fields!$Z$2:$Z$1001,"B")</f>
        <v>0</v>
      </c>
      <c r="N94" s="10" t="n">
        <f aca="false">COUNTIFS(Fields!$A$2:$A$1001,B94,Fields!$Z$2:$Z$1001,"C")</f>
        <v>0</v>
      </c>
      <c r="O94" s="10" t="n">
        <f aca="false">COUNTIFS(Fields!$A$2:$A$1001,B94,Fields!$Z$2:$Z$1001,"A",Fields!$W$2:$W$1001,"Yes")+COUNTIFS(Fields!$A$2:$A$1001,B94,Fields!$Z$2:$Z$1001,"B",Fields!$W$2:$W$1001,"Yes")</f>
        <v>0</v>
      </c>
      <c r="P94" s="11" t="str">
        <f aca="false">IF(L94&gt;0,"A",IF(M94&gt;0,"B",IF(N94&gt;0,"C","")))</f>
        <v/>
      </c>
    </row>
    <row r="95" customFormat="false" ht="15" hidden="false" customHeight="false" outlineLevel="0" collapsed="false">
      <c r="A95" s="8" t="s">
        <v>130</v>
      </c>
      <c r="B95" s="8" t="s">
        <v>161</v>
      </c>
      <c r="C95" s="9"/>
      <c r="D95" s="9" t="s">
        <v>68</v>
      </c>
      <c r="E95" s="9"/>
      <c r="F95" s="9"/>
      <c r="G95" s="9"/>
      <c r="H95" s="9"/>
      <c r="I95" s="9"/>
      <c r="J95" s="10" t="n">
        <f aca="false">COUNTIF(Fields!$A$2:$A$1001,B95)</f>
        <v>0</v>
      </c>
      <c r="K95" s="10" t="n">
        <f aca="false">COUNTIFS(Fields!$A$2:$A$1001,B95,Fields!$T$2:$T$1001,"vetted")</f>
        <v>0</v>
      </c>
      <c r="L95" s="10" t="n">
        <f aca="false">COUNTIFS(Fields!$A$2:$A$1001,B95,Fields!$Z$2:$Z$1001,"A")</f>
        <v>0</v>
      </c>
      <c r="M95" s="10" t="n">
        <f aca="false">COUNTIFS(Fields!$A$2:$A$1001,B95,Fields!$Z$2:$Z$1001,"B")</f>
        <v>0</v>
      </c>
      <c r="N95" s="10" t="n">
        <f aca="false">COUNTIFS(Fields!$A$2:$A$1001,B95,Fields!$Z$2:$Z$1001,"C")</f>
        <v>0</v>
      </c>
      <c r="O95" s="10" t="n">
        <f aca="false">COUNTIFS(Fields!$A$2:$A$1001,B95,Fields!$Z$2:$Z$1001,"A",Fields!$W$2:$W$1001,"Yes")+COUNTIFS(Fields!$A$2:$A$1001,B95,Fields!$Z$2:$Z$1001,"B",Fields!$W$2:$W$1001,"Yes")</f>
        <v>0</v>
      </c>
      <c r="P95" s="11" t="str">
        <f aca="false">IF(L95&gt;0,"A",IF(M95&gt;0,"B",IF(N95&gt;0,"C","")))</f>
        <v/>
      </c>
    </row>
    <row r="96" customFormat="false" ht="15" hidden="false" customHeight="false" outlineLevel="0" collapsed="false">
      <c r="A96" s="8" t="s">
        <v>130</v>
      </c>
      <c r="B96" s="8" t="s">
        <v>162</v>
      </c>
      <c r="C96" s="9"/>
      <c r="D96" s="9" t="s">
        <v>68</v>
      </c>
      <c r="E96" s="9"/>
      <c r="F96" s="9"/>
      <c r="G96" s="9"/>
      <c r="H96" s="9"/>
      <c r="I96" s="9"/>
      <c r="J96" s="10" t="n">
        <f aca="false">COUNTIF(Fields!$A$2:$A$1001,B96)</f>
        <v>0</v>
      </c>
      <c r="K96" s="10" t="n">
        <f aca="false">COUNTIFS(Fields!$A$2:$A$1001,B96,Fields!$T$2:$T$1001,"vetted")</f>
        <v>0</v>
      </c>
      <c r="L96" s="10" t="n">
        <f aca="false">COUNTIFS(Fields!$A$2:$A$1001,B96,Fields!$Z$2:$Z$1001,"A")</f>
        <v>0</v>
      </c>
      <c r="M96" s="10" t="n">
        <f aca="false">COUNTIFS(Fields!$A$2:$A$1001,B96,Fields!$Z$2:$Z$1001,"B")</f>
        <v>0</v>
      </c>
      <c r="N96" s="10" t="n">
        <f aca="false">COUNTIFS(Fields!$A$2:$A$1001,B96,Fields!$Z$2:$Z$1001,"C")</f>
        <v>0</v>
      </c>
      <c r="O96" s="10" t="n">
        <f aca="false">COUNTIFS(Fields!$A$2:$A$1001,B96,Fields!$Z$2:$Z$1001,"A",Fields!$W$2:$W$1001,"Yes")+COUNTIFS(Fields!$A$2:$A$1001,B96,Fields!$Z$2:$Z$1001,"B",Fields!$W$2:$W$1001,"Yes")</f>
        <v>0</v>
      </c>
      <c r="P96" s="11" t="str">
        <f aca="false">IF(L96&gt;0,"A",IF(M96&gt;0,"B",IF(N96&gt;0,"C","")))</f>
        <v/>
      </c>
    </row>
    <row r="97" customFormat="false" ht="15" hidden="false" customHeight="false" outlineLevel="0" collapsed="false">
      <c r="A97" s="8" t="s">
        <v>130</v>
      </c>
      <c r="B97" s="8" t="s">
        <v>163</v>
      </c>
      <c r="C97" s="9"/>
      <c r="D97" s="9" t="s">
        <v>68</v>
      </c>
      <c r="E97" s="9"/>
      <c r="F97" s="9"/>
      <c r="G97" s="9"/>
      <c r="H97" s="9"/>
      <c r="I97" s="9"/>
      <c r="J97" s="10" t="n">
        <f aca="false">COUNTIF(Fields!$A$2:$A$1001,B97)</f>
        <v>0</v>
      </c>
      <c r="K97" s="10" t="n">
        <f aca="false">COUNTIFS(Fields!$A$2:$A$1001,B97,Fields!$T$2:$T$1001,"vetted")</f>
        <v>0</v>
      </c>
      <c r="L97" s="10" t="n">
        <f aca="false">COUNTIFS(Fields!$A$2:$A$1001,B97,Fields!$Z$2:$Z$1001,"A")</f>
        <v>0</v>
      </c>
      <c r="M97" s="10" t="n">
        <f aca="false">COUNTIFS(Fields!$A$2:$A$1001,B97,Fields!$Z$2:$Z$1001,"B")</f>
        <v>0</v>
      </c>
      <c r="N97" s="10" t="n">
        <f aca="false">COUNTIFS(Fields!$A$2:$A$1001,B97,Fields!$Z$2:$Z$1001,"C")</f>
        <v>0</v>
      </c>
      <c r="O97" s="10" t="n">
        <f aca="false">COUNTIFS(Fields!$A$2:$A$1001,B97,Fields!$Z$2:$Z$1001,"A",Fields!$W$2:$W$1001,"Yes")+COUNTIFS(Fields!$A$2:$A$1001,B97,Fields!$Z$2:$Z$1001,"B",Fields!$W$2:$W$1001,"Yes")</f>
        <v>0</v>
      </c>
      <c r="P97" s="11" t="str">
        <f aca="false">IF(L97&gt;0,"A",IF(M97&gt;0,"B",IF(N97&gt;0,"C","")))</f>
        <v/>
      </c>
    </row>
    <row r="98" customFormat="false" ht="15" hidden="false" customHeight="false" outlineLevel="0" collapsed="false">
      <c r="A98" s="8" t="s">
        <v>130</v>
      </c>
      <c r="B98" s="8" t="s">
        <v>164</v>
      </c>
      <c r="C98" s="9"/>
      <c r="D98" s="9" t="s">
        <v>68</v>
      </c>
      <c r="E98" s="9"/>
      <c r="F98" s="9"/>
      <c r="G98" s="9"/>
      <c r="H98" s="9"/>
      <c r="I98" s="9"/>
      <c r="J98" s="10" t="n">
        <f aca="false">COUNTIF(Fields!$A$2:$A$1001,B98)</f>
        <v>0</v>
      </c>
      <c r="K98" s="10" t="n">
        <f aca="false">COUNTIFS(Fields!$A$2:$A$1001,B98,Fields!$T$2:$T$1001,"vetted")</f>
        <v>0</v>
      </c>
      <c r="L98" s="10" t="n">
        <f aca="false">COUNTIFS(Fields!$A$2:$A$1001,B98,Fields!$Z$2:$Z$1001,"A")</f>
        <v>0</v>
      </c>
      <c r="M98" s="10" t="n">
        <f aca="false">COUNTIFS(Fields!$A$2:$A$1001,B98,Fields!$Z$2:$Z$1001,"B")</f>
        <v>0</v>
      </c>
      <c r="N98" s="10" t="n">
        <f aca="false">COUNTIFS(Fields!$A$2:$A$1001,B98,Fields!$Z$2:$Z$1001,"C")</f>
        <v>0</v>
      </c>
      <c r="O98" s="10" t="n">
        <f aca="false">COUNTIFS(Fields!$A$2:$A$1001,B98,Fields!$Z$2:$Z$1001,"A",Fields!$W$2:$W$1001,"Yes")+COUNTIFS(Fields!$A$2:$A$1001,B98,Fields!$Z$2:$Z$1001,"B",Fields!$W$2:$W$1001,"Yes")</f>
        <v>0</v>
      </c>
      <c r="P98" s="11" t="str">
        <f aca="false">IF(L98&gt;0,"A",IF(M98&gt;0,"B",IF(N98&gt;0,"C","")))</f>
        <v/>
      </c>
    </row>
    <row r="99" customFormat="false" ht="15" hidden="false" customHeight="false" outlineLevel="0" collapsed="false">
      <c r="A99" s="8" t="s">
        <v>130</v>
      </c>
      <c r="B99" s="8" t="s">
        <v>165</v>
      </c>
      <c r="C99" s="9"/>
      <c r="D99" s="9" t="s">
        <v>68</v>
      </c>
      <c r="E99" s="9"/>
      <c r="F99" s="9"/>
      <c r="G99" s="9"/>
      <c r="H99" s="9"/>
      <c r="I99" s="9"/>
      <c r="J99" s="10" t="n">
        <f aca="false">COUNTIF(Fields!$A$2:$A$1001,B99)</f>
        <v>0</v>
      </c>
      <c r="K99" s="10" t="n">
        <f aca="false">COUNTIFS(Fields!$A$2:$A$1001,B99,Fields!$T$2:$T$1001,"vetted")</f>
        <v>0</v>
      </c>
      <c r="L99" s="10" t="n">
        <f aca="false">COUNTIFS(Fields!$A$2:$A$1001,B99,Fields!$Z$2:$Z$1001,"A")</f>
        <v>0</v>
      </c>
      <c r="M99" s="10" t="n">
        <f aca="false">COUNTIFS(Fields!$A$2:$A$1001,B99,Fields!$Z$2:$Z$1001,"B")</f>
        <v>0</v>
      </c>
      <c r="N99" s="10" t="n">
        <f aca="false">COUNTIFS(Fields!$A$2:$A$1001,B99,Fields!$Z$2:$Z$1001,"C")</f>
        <v>0</v>
      </c>
      <c r="O99" s="10" t="n">
        <f aca="false">COUNTIFS(Fields!$A$2:$A$1001,B99,Fields!$Z$2:$Z$1001,"A",Fields!$W$2:$W$1001,"Yes")+COUNTIFS(Fields!$A$2:$A$1001,B99,Fields!$Z$2:$Z$1001,"B",Fields!$W$2:$W$1001,"Yes")</f>
        <v>0</v>
      </c>
      <c r="P99" s="11" t="str">
        <f aca="false">IF(L99&gt;0,"A",IF(M99&gt;0,"B",IF(N99&gt;0,"C","")))</f>
        <v/>
      </c>
    </row>
    <row r="100" customFormat="false" ht="15" hidden="false" customHeight="false" outlineLevel="0" collapsed="false">
      <c r="A100" s="8" t="s">
        <v>130</v>
      </c>
      <c r="B100" s="8" t="s">
        <v>166</v>
      </c>
      <c r="C100" s="9"/>
      <c r="D100" s="9" t="s">
        <v>68</v>
      </c>
      <c r="E100" s="9"/>
      <c r="F100" s="9"/>
      <c r="G100" s="9"/>
      <c r="H100" s="9"/>
      <c r="I100" s="9"/>
      <c r="J100" s="10" t="n">
        <f aca="false">COUNTIF(Fields!$A$2:$A$1001,B100)</f>
        <v>0</v>
      </c>
      <c r="K100" s="10" t="n">
        <f aca="false">COUNTIFS(Fields!$A$2:$A$1001,B100,Fields!$T$2:$T$1001,"vetted")</f>
        <v>0</v>
      </c>
      <c r="L100" s="10" t="n">
        <f aca="false">COUNTIFS(Fields!$A$2:$A$1001,B100,Fields!$Z$2:$Z$1001,"A")</f>
        <v>0</v>
      </c>
      <c r="M100" s="10" t="n">
        <f aca="false">COUNTIFS(Fields!$A$2:$A$1001,B100,Fields!$Z$2:$Z$1001,"B")</f>
        <v>0</v>
      </c>
      <c r="N100" s="10" t="n">
        <f aca="false">COUNTIFS(Fields!$A$2:$A$1001,B100,Fields!$Z$2:$Z$1001,"C")</f>
        <v>0</v>
      </c>
      <c r="O100" s="10" t="n">
        <f aca="false">COUNTIFS(Fields!$A$2:$A$1001,B100,Fields!$Z$2:$Z$1001,"A",Fields!$W$2:$W$1001,"Yes")+COUNTIFS(Fields!$A$2:$A$1001,B100,Fields!$Z$2:$Z$1001,"B",Fields!$W$2:$W$1001,"Yes")</f>
        <v>0</v>
      </c>
      <c r="P100" s="11" t="str">
        <f aca="false">IF(L100&gt;0,"A",IF(M100&gt;0,"B",IF(N100&gt;0,"C","")))</f>
        <v/>
      </c>
    </row>
    <row r="101" customFormat="false" ht="15" hidden="false" customHeight="false" outlineLevel="0" collapsed="false">
      <c r="A101" s="8" t="s">
        <v>130</v>
      </c>
      <c r="B101" s="8" t="s">
        <v>167</v>
      </c>
      <c r="C101" s="9"/>
      <c r="D101" s="9" t="s">
        <v>68</v>
      </c>
      <c r="E101" s="9"/>
      <c r="F101" s="9"/>
      <c r="G101" s="9"/>
      <c r="H101" s="9"/>
      <c r="I101" s="9"/>
      <c r="J101" s="10" t="n">
        <f aca="false">COUNTIF(Fields!$A$2:$A$1001,B101)</f>
        <v>0</v>
      </c>
      <c r="K101" s="10" t="n">
        <f aca="false">COUNTIFS(Fields!$A$2:$A$1001,B101,Fields!$T$2:$T$1001,"vetted")</f>
        <v>0</v>
      </c>
      <c r="L101" s="10" t="n">
        <f aca="false">COUNTIFS(Fields!$A$2:$A$1001,B101,Fields!$Z$2:$Z$1001,"A")</f>
        <v>0</v>
      </c>
      <c r="M101" s="10" t="n">
        <f aca="false">COUNTIFS(Fields!$A$2:$A$1001,B101,Fields!$Z$2:$Z$1001,"B")</f>
        <v>0</v>
      </c>
      <c r="N101" s="10" t="n">
        <f aca="false">COUNTIFS(Fields!$A$2:$A$1001,B101,Fields!$Z$2:$Z$1001,"C")</f>
        <v>0</v>
      </c>
      <c r="O101" s="10" t="n">
        <f aca="false">COUNTIFS(Fields!$A$2:$A$1001,B101,Fields!$Z$2:$Z$1001,"A",Fields!$W$2:$W$1001,"Yes")+COUNTIFS(Fields!$A$2:$A$1001,B101,Fields!$Z$2:$Z$1001,"B",Fields!$W$2:$W$1001,"Yes")</f>
        <v>0</v>
      </c>
      <c r="P101" s="11" t="str">
        <f aca="false">IF(L101&gt;0,"A",IF(M101&gt;0,"B",IF(N101&gt;0,"C","")))</f>
        <v/>
      </c>
    </row>
    <row r="102" customFormat="false" ht="15" hidden="false" customHeight="false" outlineLevel="0" collapsed="false">
      <c r="A102" s="8" t="s">
        <v>130</v>
      </c>
      <c r="B102" s="8" t="s">
        <v>168</v>
      </c>
      <c r="C102" s="9"/>
      <c r="D102" s="9" t="s">
        <v>68</v>
      </c>
      <c r="E102" s="9"/>
      <c r="F102" s="9"/>
      <c r="G102" s="9"/>
      <c r="H102" s="9"/>
      <c r="I102" s="9"/>
      <c r="J102" s="10" t="n">
        <f aca="false">COUNTIF(Fields!$A$2:$A$1001,B102)</f>
        <v>0</v>
      </c>
      <c r="K102" s="10" t="n">
        <f aca="false">COUNTIFS(Fields!$A$2:$A$1001,B102,Fields!$T$2:$T$1001,"vetted")</f>
        <v>0</v>
      </c>
      <c r="L102" s="10" t="n">
        <f aca="false">COUNTIFS(Fields!$A$2:$A$1001,B102,Fields!$Z$2:$Z$1001,"A")</f>
        <v>0</v>
      </c>
      <c r="M102" s="10" t="n">
        <f aca="false">COUNTIFS(Fields!$A$2:$A$1001,B102,Fields!$Z$2:$Z$1001,"B")</f>
        <v>0</v>
      </c>
      <c r="N102" s="10" t="n">
        <f aca="false">COUNTIFS(Fields!$A$2:$A$1001,B102,Fields!$Z$2:$Z$1001,"C")</f>
        <v>0</v>
      </c>
      <c r="O102" s="10" t="n">
        <f aca="false">COUNTIFS(Fields!$A$2:$A$1001,B102,Fields!$Z$2:$Z$1001,"A",Fields!$W$2:$W$1001,"Yes")+COUNTIFS(Fields!$A$2:$A$1001,B102,Fields!$Z$2:$Z$1001,"B",Fields!$W$2:$W$1001,"Yes")</f>
        <v>0</v>
      </c>
      <c r="P102" s="11" t="str">
        <f aca="false">IF(L102&gt;0,"A",IF(M102&gt;0,"B",IF(N102&gt;0,"C","")))</f>
        <v/>
      </c>
    </row>
    <row r="103" customFormat="false" ht="15" hidden="false" customHeight="false" outlineLevel="0" collapsed="false">
      <c r="A103" s="8" t="s">
        <v>130</v>
      </c>
      <c r="B103" s="8" t="s">
        <v>169</v>
      </c>
      <c r="C103" s="9"/>
      <c r="D103" s="9" t="s">
        <v>68</v>
      </c>
      <c r="E103" s="9"/>
      <c r="F103" s="9"/>
      <c r="G103" s="9"/>
      <c r="H103" s="9"/>
      <c r="I103" s="9"/>
      <c r="J103" s="10" t="n">
        <f aca="false">COUNTIF(Fields!$A$2:$A$1001,B103)</f>
        <v>0</v>
      </c>
      <c r="K103" s="10" t="n">
        <f aca="false">COUNTIFS(Fields!$A$2:$A$1001,B103,Fields!$T$2:$T$1001,"vetted")</f>
        <v>0</v>
      </c>
      <c r="L103" s="10" t="n">
        <f aca="false">COUNTIFS(Fields!$A$2:$A$1001,B103,Fields!$Z$2:$Z$1001,"A")</f>
        <v>0</v>
      </c>
      <c r="M103" s="10" t="n">
        <f aca="false">COUNTIFS(Fields!$A$2:$A$1001,B103,Fields!$Z$2:$Z$1001,"B")</f>
        <v>0</v>
      </c>
      <c r="N103" s="10" t="n">
        <f aca="false">COUNTIFS(Fields!$A$2:$A$1001,B103,Fields!$Z$2:$Z$1001,"C")</f>
        <v>0</v>
      </c>
      <c r="O103" s="10" t="n">
        <f aca="false">COUNTIFS(Fields!$A$2:$A$1001,B103,Fields!$Z$2:$Z$1001,"A",Fields!$W$2:$W$1001,"Yes")+COUNTIFS(Fields!$A$2:$A$1001,B103,Fields!$Z$2:$Z$1001,"B",Fields!$W$2:$W$1001,"Yes")</f>
        <v>0</v>
      </c>
      <c r="P103" s="11" t="str">
        <f aca="false">IF(L103&gt;0,"A",IF(M103&gt;0,"B",IF(N103&gt;0,"C","")))</f>
        <v/>
      </c>
    </row>
    <row r="104" customFormat="false" ht="15" hidden="false" customHeight="false" outlineLevel="0" collapsed="false">
      <c r="A104" s="8" t="s">
        <v>130</v>
      </c>
      <c r="B104" s="8" t="s">
        <v>170</v>
      </c>
      <c r="C104" s="9"/>
      <c r="D104" s="9" t="s">
        <v>68</v>
      </c>
      <c r="E104" s="9"/>
      <c r="F104" s="9"/>
      <c r="G104" s="9"/>
      <c r="H104" s="9"/>
      <c r="I104" s="9"/>
      <c r="J104" s="10" t="n">
        <f aca="false">COUNTIF(Fields!$A$2:$A$1001,B104)</f>
        <v>0</v>
      </c>
      <c r="K104" s="10" t="n">
        <f aca="false">COUNTIFS(Fields!$A$2:$A$1001,B104,Fields!$T$2:$T$1001,"vetted")</f>
        <v>0</v>
      </c>
      <c r="L104" s="10" t="n">
        <f aca="false">COUNTIFS(Fields!$A$2:$A$1001,B104,Fields!$Z$2:$Z$1001,"A")</f>
        <v>0</v>
      </c>
      <c r="M104" s="10" t="n">
        <f aca="false">COUNTIFS(Fields!$A$2:$A$1001,B104,Fields!$Z$2:$Z$1001,"B")</f>
        <v>0</v>
      </c>
      <c r="N104" s="10" t="n">
        <f aca="false">COUNTIFS(Fields!$A$2:$A$1001,B104,Fields!$Z$2:$Z$1001,"C")</f>
        <v>0</v>
      </c>
      <c r="O104" s="10" t="n">
        <f aca="false">COUNTIFS(Fields!$A$2:$A$1001,B104,Fields!$Z$2:$Z$1001,"A",Fields!$W$2:$W$1001,"Yes")+COUNTIFS(Fields!$A$2:$A$1001,B104,Fields!$Z$2:$Z$1001,"B",Fields!$W$2:$W$1001,"Yes")</f>
        <v>0</v>
      </c>
      <c r="P104" s="11" t="str">
        <f aca="false">IF(L104&gt;0,"A",IF(M104&gt;0,"B",IF(N104&gt;0,"C","")))</f>
        <v/>
      </c>
    </row>
    <row r="105" customFormat="false" ht="15" hidden="false" customHeight="false" outlineLevel="0" collapsed="false">
      <c r="A105" s="8" t="s">
        <v>130</v>
      </c>
      <c r="B105" s="8" t="s">
        <v>171</v>
      </c>
      <c r="C105" s="9"/>
      <c r="D105" s="9" t="s">
        <v>68</v>
      </c>
      <c r="E105" s="9"/>
      <c r="F105" s="9"/>
      <c r="G105" s="9"/>
      <c r="H105" s="9"/>
      <c r="I105" s="9"/>
      <c r="J105" s="10" t="n">
        <f aca="false">COUNTIF(Fields!$A$2:$A$1001,B105)</f>
        <v>0</v>
      </c>
      <c r="K105" s="10" t="n">
        <f aca="false">COUNTIFS(Fields!$A$2:$A$1001,B105,Fields!$T$2:$T$1001,"vetted")</f>
        <v>0</v>
      </c>
      <c r="L105" s="10" t="n">
        <f aca="false">COUNTIFS(Fields!$A$2:$A$1001,B105,Fields!$Z$2:$Z$1001,"A")</f>
        <v>0</v>
      </c>
      <c r="M105" s="10" t="n">
        <f aca="false">COUNTIFS(Fields!$A$2:$A$1001,B105,Fields!$Z$2:$Z$1001,"B")</f>
        <v>0</v>
      </c>
      <c r="N105" s="10" t="n">
        <f aca="false">COUNTIFS(Fields!$A$2:$A$1001,B105,Fields!$Z$2:$Z$1001,"C")</f>
        <v>0</v>
      </c>
      <c r="O105" s="10" t="n">
        <f aca="false">COUNTIFS(Fields!$A$2:$A$1001,B105,Fields!$Z$2:$Z$1001,"A",Fields!$W$2:$W$1001,"Yes")+COUNTIFS(Fields!$A$2:$A$1001,B105,Fields!$Z$2:$Z$1001,"B",Fields!$W$2:$W$1001,"Yes")</f>
        <v>0</v>
      </c>
      <c r="P105" s="11" t="str">
        <f aca="false">IF(L105&gt;0,"A",IF(M105&gt;0,"B",IF(N105&gt;0,"C","")))</f>
        <v/>
      </c>
    </row>
    <row r="106" customFormat="false" ht="15" hidden="false" customHeight="false" outlineLevel="0" collapsed="false">
      <c r="A106" s="8" t="s">
        <v>130</v>
      </c>
      <c r="B106" s="8" t="s">
        <v>172</v>
      </c>
      <c r="C106" s="9"/>
      <c r="D106" s="9" t="s">
        <v>68</v>
      </c>
      <c r="E106" s="9"/>
      <c r="F106" s="9"/>
      <c r="G106" s="9"/>
      <c r="H106" s="9"/>
      <c r="I106" s="9"/>
      <c r="J106" s="10" t="n">
        <f aca="false">COUNTIF(Fields!$A$2:$A$1001,B106)</f>
        <v>0</v>
      </c>
      <c r="K106" s="10" t="n">
        <f aca="false">COUNTIFS(Fields!$A$2:$A$1001,B106,Fields!$T$2:$T$1001,"vetted")</f>
        <v>0</v>
      </c>
      <c r="L106" s="10" t="n">
        <f aca="false">COUNTIFS(Fields!$A$2:$A$1001,B106,Fields!$Z$2:$Z$1001,"A")</f>
        <v>0</v>
      </c>
      <c r="M106" s="10" t="n">
        <f aca="false">COUNTIFS(Fields!$A$2:$A$1001,B106,Fields!$Z$2:$Z$1001,"B")</f>
        <v>0</v>
      </c>
      <c r="N106" s="10" t="n">
        <f aca="false">COUNTIFS(Fields!$A$2:$A$1001,B106,Fields!$Z$2:$Z$1001,"C")</f>
        <v>0</v>
      </c>
      <c r="O106" s="10" t="n">
        <f aca="false">COUNTIFS(Fields!$A$2:$A$1001,B106,Fields!$Z$2:$Z$1001,"A",Fields!$W$2:$W$1001,"Yes")+COUNTIFS(Fields!$A$2:$A$1001,B106,Fields!$Z$2:$Z$1001,"B",Fields!$W$2:$W$1001,"Yes")</f>
        <v>0</v>
      </c>
      <c r="P106" s="11" t="str">
        <f aca="false">IF(L106&gt;0,"A",IF(M106&gt;0,"B",IF(N106&gt;0,"C","")))</f>
        <v/>
      </c>
    </row>
    <row r="107" customFormat="false" ht="15" hidden="false" customHeight="false" outlineLevel="0" collapsed="false">
      <c r="A107" s="8" t="s">
        <v>130</v>
      </c>
      <c r="B107" s="8" t="s">
        <v>173</v>
      </c>
      <c r="C107" s="9"/>
      <c r="D107" s="9" t="s">
        <v>68</v>
      </c>
      <c r="E107" s="9"/>
      <c r="F107" s="9"/>
      <c r="G107" s="9"/>
      <c r="H107" s="9"/>
      <c r="I107" s="9"/>
      <c r="J107" s="10" t="n">
        <f aca="false">COUNTIF(Fields!$A$2:$A$1001,B107)</f>
        <v>0</v>
      </c>
      <c r="K107" s="10" t="n">
        <f aca="false">COUNTIFS(Fields!$A$2:$A$1001,B107,Fields!$T$2:$T$1001,"vetted")</f>
        <v>0</v>
      </c>
      <c r="L107" s="10" t="n">
        <f aca="false">COUNTIFS(Fields!$A$2:$A$1001,B107,Fields!$Z$2:$Z$1001,"A")</f>
        <v>0</v>
      </c>
      <c r="M107" s="10" t="n">
        <f aca="false">COUNTIFS(Fields!$A$2:$A$1001,B107,Fields!$Z$2:$Z$1001,"B")</f>
        <v>0</v>
      </c>
      <c r="N107" s="10" t="n">
        <f aca="false">COUNTIFS(Fields!$A$2:$A$1001,B107,Fields!$Z$2:$Z$1001,"C")</f>
        <v>0</v>
      </c>
      <c r="O107" s="10" t="n">
        <f aca="false">COUNTIFS(Fields!$A$2:$A$1001,B107,Fields!$Z$2:$Z$1001,"A",Fields!$W$2:$W$1001,"Yes")+COUNTIFS(Fields!$A$2:$A$1001,B107,Fields!$Z$2:$Z$1001,"B",Fields!$W$2:$W$1001,"Yes")</f>
        <v>0</v>
      </c>
      <c r="P107" s="11" t="str">
        <f aca="false">IF(L107&gt;0,"A",IF(M107&gt;0,"B",IF(N107&gt;0,"C","")))</f>
        <v/>
      </c>
    </row>
    <row r="108" customFormat="false" ht="15" hidden="false" customHeight="false" outlineLevel="0" collapsed="false">
      <c r="A108" s="8" t="s">
        <v>130</v>
      </c>
      <c r="B108" s="8" t="s">
        <v>174</v>
      </c>
      <c r="C108" s="9"/>
      <c r="D108" s="9" t="s">
        <v>68</v>
      </c>
      <c r="E108" s="9"/>
      <c r="F108" s="9"/>
      <c r="G108" s="9"/>
      <c r="H108" s="9"/>
      <c r="I108" s="9"/>
      <c r="J108" s="10" t="n">
        <f aca="false">COUNTIF(Fields!$A$2:$A$1001,B108)</f>
        <v>0</v>
      </c>
      <c r="K108" s="10" t="n">
        <f aca="false">COUNTIFS(Fields!$A$2:$A$1001,B108,Fields!$T$2:$T$1001,"vetted")</f>
        <v>0</v>
      </c>
      <c r="L108" s="10" t="n">
        <f aca="false">COUNTIFS(Fields!$A$2:$A$1001,B108,Fields!$Z$2:$Z$1001,"A")</f>
        <v>0</v>
      </c>
      <c r="M108" s="10" t="n">
        <f aca="false">COUNTIFS(Fields!$A$2:$A$1001,B108,Fields!$Z$2:$Z$1001,"B")</f>
        <v>0</v>
      </c>
      <c r="N108" s="10" t="n">
        <f aca="false">COUNTIFS(Fields!$A$2:$A$1001,B108,Fields!$Z$2:$Z$1001,"C")</f>
        <v>0</v>
      </c>
      <c r="O108" s="10" t="n">
        <f aca="false">COUNTIFS(Fields!$A$2:$A$1001,B108,Fields!$Z$2:$Z$1001,"A",Fields!$W$2:$W$1001,"Yes")+COUNTIFS(Fields!$A$2:$A$1001,B108,Fields!$Z$2:$Z$1001,"B",Fields!$W$2:$W$1001,"Yes")</f>
        <v>0</v>
      </c>
      <c r="P108" s="11" t="str">
        <f aca="false">IF(L108&gt;0,"A",IF(M108&gt;0,"B",IF(N108&gt;0,"C","")))</f>
        <v/>
      </c>
    </row>
    <row r="109" customFormat="false" ht="15" hidden="false" customHeight="false" outlineLevel="0" collapsed="false">
      <c r="A109" s="8" t="s">
        <v>130</v>
      </c>
      <c r="B109" s="8" t="s">
        <v>175</v>
      </c>
      <c r="C109" s="9"/>
      <c r="D109" s="9" t="s">
        <v>68</v>
      </c>
      <c r="E109" s="9"/>
      <c r="F109" s="9"/>
      <c r="G109" s="9"/>
      <c r="H109" s="9"/>
      <c r="I109" s="9"/>
      <c r="J109" s="10" t="n">
        <f aca="false">COUNTIF(Fields!$A$2:$A$1001,B109)</f>
        <v>0</v>
      </c>
      <c r="K109" s="10" t="n">
        <f aca="false">COUNTIFS(Fields!$A$2:$A$1001,B109,Fields!$T$2:$T$1001,"vetted")</f>
        <v>0</v>
      </c>
      <c r="L109" s="10" t="n">
        <f aca="false">COUNTIFS(Fields!$A$2:$A$1001,B109,Fields!$Z$2:$Z$1001,"A")</f>
        <v>0</v>
      </c>
      <c r="M109" s="10" t="n">
        <f aca="false">COUNTIFS(Fields!$A$2:$A$1001,B109,Fields!$Z$2:$Z$1001,"B")</f>
        <v>0</v>
      </c>
      <c r="N109" s="10" t="n">
        <f aca="false">COUNTIFS(Fields!$A$2:$A$1001,B109,Fields!$Z$2:$Z$1001,"C")</f>
        <v>0</v>
      </c>
      <c r="O109" s="10" t="n">
        <f aca="false">COUNTIFS(Fields!$A$2:$A$1001,B109,Fields!$Z$2:$Z$1001,"A",Fields!$W$2:$W$1001,"Yes")+COUNTIFS(Fields!$A$2:$A$1001,B109,Fields!$Z$2:$Z$1001,"B",Fields!$W$2:$W$1001,"Yes")</f>
        <v>0</v>
      </c>
      <c r="P109" s="11" t="str">
        <f aca="false">IF(L109&gt;0,"A",IF(M109&gt;0,"B",IF(N109&gt;0,"C","")))</f>
        <v/>
      </c>
    </row>
    <row r="110" customFormat="false" ht="15" hidden="false" customHeight="false" outlineLevel="0" collapsed="false">
      <c r="A110" s="8" t="s">
        <v>130</v>
      </c>
      <c r="B110" s="8" t="s">
        <v>176</v>
      </c>
      <c r="C110" s="9"/>
      <c r="D110" s="9" t="s">
        <v>68</v>
      </c>
      <c r="E110" s="9"/>
      <c r="F110" s="9"/>
      <c r="G110" s="9"/>
      <c r="H110" s="9"/>
      <c r="I110" s="9"/>
      <c r="J110" s="10" t="n">
        <f aca="false">COUNTIF(Fields!$A$2:$A$1001,B110)</f>
        <v>0</v>
      </c>
      <c r="K110" s="10" t="n">
        <f aca="false">COUNTIFS(Fields!$A$2:$A$1001,B110,Fields!$T$2:$T$1001,"vetted")</f>
        <v>0</v>
      </c>
      <c r="L110" s="10" t="n">
        <f aca="false">COUNTIFS(Fields!$A$2:$A$1001,B110,Fields!$Z$2:$Z$1001,"A")</f>
        <v>0</v>
      </c>
      <c r="M110" s="10" t="n">
        <f aca="false">COUNTIFS(Fields!$A$2:$A$1001,B110,Fields!$Z$2:$Z$1001,"B")</f>
        <v>0</v>
      </c>
      <c r="N110" s="10" t="n">
        <f aca="false">COUNTIFS(Fields!$A$2:$A$1001,B110,Fields!$Z$2:$Z$1001,"C")</f>
        <v>0</v>
      </c>
      <c r="O110" s="10" t="n">
        <f aca="false">COUNTIFS(Fields!$A$2:$A$1001,B110,Fields!$Z$2:$Z$1001,"A",Fields!$W$2:$W$1001,"Yes")+COUNTIFS(Fields!$A$2:$A$1001,B110,Fields!$Z$2:$Z$1001,"B",Fields!$W$2:$W$1001,"Yes")</f>
        <v>0</v>
      </c>
      <c r="P110" s="11" t="str">
        <f aca="false">IF(L110&gt;0,"A",IF(M110&gt;0,"B",IF(N110&gt;0,"C","")))</f>
        <v/>
      </c>
    </row>
    <row r="111" customFormat="false" ht="15" hidden="false" customHeight="false" outlineLevel="0" collapsed="false">
      <c r="A111" s="8" t="s">
        <v>130</v>
      </c>
      <c r="B111" s="8" t="s">
        <v>177</v>
      </c>
      <c r="C111" s="9"/>
      <c r="D111" s="9" t="s">
        <v>68</v>
      </c>
      <c r="E111" s="9"/>
      <c r="F111" s="9"/>
      <c r="G111" s="9"/>
      <c r="H111" s="9"/>
      <c r="I111" s="9"/>
      <c r="J111" s="10" t="n">
        <f aca="false">COUNTIF(Fields!$A$2:$A$1001,B111)</f>
        <v>0</v>
      </c>
      <c r="K111" s="10" t="n">
        <f aca="false">COUNTIFS(Fields!$A$2:$A$1001,B111,Fields!$T$2:$T$1001,"vetted")</f>
        <v>0</v>
      </c>
      <c r="L111" s="10" t="n">
        <f aca="false">COUNTIFS(Fields!$A$2:$A$1001,B111,Fields!$Z$2:$Z$1001,"A")</f>
        <v>0</v>
      </c>
      <c r="M111" s="10" t="n">
        <f aca="false">COUNTIFS(Fields!$A$2:$A$1001,B111,Fields!$Z$2:$Z$1001,"B")</f>
        <v>0</v>
      </c>
      <c r="N111" s="10" t="n">
        <f aca="false">COUNTIFS(Fields!$A$2:$A$1001,B111,Fields!$Z$2:$Z$1001,"C")</f>
        <v>0</v>
      </c>
      <c r="O111" s="10" t="n">
        <f aca="false">COUNTIFS(Fields!$A$2:$A$1001,B111,Fields!$Z$2:$Z$1001,"A",Fields!$W$2:$W$1001,"Yes")+COUNTIFS(Fields!$A$2:$A$1001,B111,Fields!$Z$2:$Z$1001,"B",Fields!$W$2:$W$1001,"Yes")</f>
        <v>0</v>
      </c>
      <c r="P111" s="11" t="str">
        <f aca="false">IF(L111&gt;0,"A",IF(M111&gt;0,"B",IF(N111&gt;0,"C","")))</f>
        <v/>
      </c>
    </row>
    <row r="112" customFormat="false" ht="15" hidden="false" customHeight="false" outlineLevel="0" collapsed="false">
      <c r="A112" s="8" t="s">
        <v>130</v>
      </c>
      <c r="B112" s="8" t="s">
        <v>178</v>
      </c>
      <c r="C112" s="9"/>
      <c r="D112" s="9" t="s">
        <v>68</v>
      </c>
      <c r="E112" s="9"/>
      <c r="F112" s="9"/>
      <c r="G112" s="9"/>
      <c r="H112" s="9"/>
      <c r="I112" s="9"/>
      <c r="J112" s="10" t="n">
        <f aca="false">COUNTIF(Fields!$A$2:$A$1001,B112)</f>
        <v>0</v>
      </c>
      <c r="K112" s="10" t="n">
        <f aca="false">COUNTIFS(Fields!$A$2:$A$1001,B112,Fields!$T$2:$T$1001,"vetted")</f>
        <v>0</v>
      </c>
      <c r="L112" s="10" t="n">
        <f aca="false">COUNTIFS(Fields!$A$2:$A$1001,B112,Fields!$Z$2:$Z$1001,"A")</f>
        <v>0</v>
      </c>
      <c r="M112" s="10" t="n">
        <f aca="false">COUNTIFS(Fields!$A$2:$A$1001,B112,Fields!$Z$2:$Z$1001,"B")</f>
        <v>0</v>
      </c>
      <c r="N112" s="10" t="n">
        <f aca="false">COUNTIFS(Fields!$A$2:$A$1001,B112,Fields!$Z$2:$Z$1001,"C")</f>
        <v>0</v>
      </c>
      <c r="O112" s="10" t="n">
        <f aca="false">COUNTIFS(Fields!$A$2:$A$1001,B112,Fields!$Z$2:$Z$1001,"A",Fields!$W$2:$W$1001,"Yes")+COUNTIFS(Fields!$A$2:$A$1001,B112,Fields!$Z$2:$Z$1001,"B",Fields!$W$2:$W$1001,"Yes")</f>
        <v>0</v>
      </c>
      <c r="P112" s="11" t="str">
        <f aca="false">IF(L112&gt;0,"A",IF(M112&gt;0,"B",IF(N112&gt;0,"C","")))</f>
        <v/>
      </c>
    </row>
    <row r="113" customFormat="false" ht="15" hidden="false" customHeight="false" outlineLevel="0" collapsed="false">
      <c r="A113" s="8" t="s">
        <v>130</v>
      </c>
      <c r="B113" s="8" t="s">
        <v>179</v>
      </c>
      <c r="C113" s="9"/>
      <c r="D113" s="9" t="s">
        <v>68</v>
      </c>
      <c r="E113" s="9"/>
      <c r="F113" s="9"/>
      <c r="G113" s="9"/>
      <c r="H113" s="9"/>
      <c r="I113" s="9"/>
      <c r="J113" s="10" t="n">
        <f aca="false">COUNTIF(Fields!$A$2:$A$1001,B113)</f>
        <v>0</v>
      </c>
      <c r="K113" s="10" t="n">
        <f aca="false">COUNTIFS(Fields!$A$2:$A$1001,B113,Fields!$T$2:$T$1001,"vetted")</f>
        <v>0</v>
      </c>
      <c r="L113" s="10" t="n">
        <f aca="false">COUNTIFS(Fields!$A$2:$A$1001,B113,Fields!$Z$2:$Z$1001,"A")</f>
        <v>0</v>
      </c>
      <c r="M113" s="10" t="n">
        <f aca="false">COUNTIFS(Fields!$A$2:$A$1001,B113,Fields!$Z$2:$Z$1001,"B")</f>
        <v>0</v>
      </c>
      <c r="N113" s="10" t="n">
        <f aca="false">COUNTIFS(Fields!$A$2:$A$1001,B113,Fields!$Z$2:$Z$1001,"C")</f>
        <v>0</v>
      </c>
      <c r="O113" s="10" t="n">
        <f aca="false">COUNTIFS(Fields!$A$2:$A$1001,B113,Fields!$Z$2:$Z$1001,"A",Fields!$W$2:$W$1001,"Yes")+COUNTIFS(Fields!$A$2:$A$1001,B113,Fields!$Z$2:$Z$1001,"B",Fields!$W$2:$W$1001,"Yes")</f>
        <v>0</v>
      </c>
      <c r="P113" s="11" t="str">
        <f aca="false">IF(L113&gt;0,"A",IF(M113&gt;0,"B",IF(N113&gt;0,"C","")))</f>
        <v/>
      </c>
    </row>
    <row r="114" customFormat="false" ht="15" hidden="false" customHeight="false" outlineLevel="0" collapsed="false">
      <c r="A114" s="8" t="s">
        <v>130</v>
      </c>
      <c r="B114" s="8" t="s">
        <v>180</v>
      </c>
      <c r="C114" s="9"/>
      <c r="D114" s="9" t="s">
        <v>68</v>
      </c>
      <c r="E114" s="9"/>
      <c r="F114" s="9"/>
      <c r="G114" s="9"/>
      <c r="H114" s="9"/>
      <c r="I114" s="9"/>
      <c r="J114" s="10" t="n">
        <f aca="false">COUNTIF(Fields!$A$2:$A$1001,B114)</f>
        <v>0</v>
      </c>
      <c r="K114" s="10" t="n">
        <f aca="false">COUNTIFS(Fields!$A$2:$A$1001,B114,Fields!$T$2:$T$1001,"vetted")</f>
        <v>0</v>
      </c>
      <c r="L114" s="10" t="n">
        <f aca="false">COUNTIFS(Fields!$A$2:$A$1001,B114,Fields!$Z$2:$Z$1001,"A")</f>
        <v>0</v>
      </c>
      <c r="M114" s="10" t="n">
        <f aca="false">COUNTIFS(Fields!$A$2:$A$1001,B114,Fields!$Z$2:$Z$1001,"B")</f>
        <v>0</v>
      </c>
      <c r="N114" s="10" t="n">
        <f aca="false">COUNTIFS(Fields!$A$2:$A$1001,B114,Fields!$Z$2:$Z$1001,"C")</f>
        <v>0</v>
      </c>
      <c r="O114" s="10" t="n">
        <f aca="false">COUNTIFS(Fields!$A$2:$A$1001,B114,Fields!$Z$2:$Z$1001,"A",Fields!$W$2:$W$1001,"Yes")+COUNTIFS(Fields!$A$2:$A$1001,B114,Fields!$Z$2:$Z$1001,"B",Fields!$W$2:$W$1001,"Yes")</f>
        <v>0</v>
      </c>
      <c r="P114" s="11" t="str">
        <f aca="false">IF(L114&gt;0,"A",IF(M114&gt;0,"B",IF(N114&gt;0,"C","")))</f>
        <v/>
      </c>
    </row>
    <row r="115" customFormat="false" ht="15" hidden="false" customHeight="false" outlineLevel="0" collapsed="false">
      <c r="A115" s="8" t="s">
        <v>130</v>
      </c>
      <c r="B115" s="8" t="s">
        <v>181</v>
      </c>
      <c r="C115" s="9"/>
      <c r="D115" s="9" t="s">
        <v>68</v>
      </c>
      <c r="E115" s="9"/>
      <c r="F115" s="9"/>
      <c r="G115" s="9"/>
      <c r="H115" s="9"/>
      <c r="I115" s="9"/>
      <c r="J115" s="10" t="n">
        <f aca="false">COUNTIF(Fields!$A$2:$A$1001,B115)</f>
        <v>0</v>
      </c>
      <c r="K115" s="10" t="n">
        <f aca="false">COUNTIFS(Fields!$A$2:$A$1001,B115,Fields!$T$2:$T$1001,"vetted")</f>
        <v>0</v>
      </c>
      <c r="L115" s="10" t="n">
        <f aca="false">COUNTIFS(Fields!$A$2:$A$1001,B115,Fields!$Z$2:$Z$1001,"A")</f>
        <v>0</v>
      </c>
      <c r="M115" s="10" t="n">
        <f aca="false">COUNTIFS(Fields!$A$2:$A$1001,B115,Fields!$Z$2:$Z$1001,"B")</f>
        <v>0</v>
      </c>
      <c r="N115" s="10" t="n">
        <f aca="false">COUNTIFS(Fields!$A$2:$A$1001,B115,Fields!$Z$2:$Z$1001,"C")</f>
        <v>0</v>
      </c>
      <c r="O115" s="10" t="n">
        <f aca="false">COUNTIFS(Fields!$A$2:$A$1001,B115,Fields!$Z$2:$Z$1001,"A",Fields!$W$2:$W$1001,"Yes")+COUNTIFS(Fields!$A$2:$A$1001,B115,Fields!$Z$2:$Z$1001,"B",Fields!$W$2:$W$1001,"Yes")</f>
        <v>0</v>
      </c>
      <c r="P115" s="11" t="str">
        <f aca="false">IF(L115&gt;0,"A",IF(M115&gt;0,"B",IF(N115&gt;0,"C","")))</f>
        <v/>
      </c>
    </row>
    <row r="116" customFormat="false" ht="15" hidden="false" customHeight="false" outlineLevel="0" collapsed="false">
      <c r="A116" s="8" t="s">
        <v>130</v>
      </c>
      <c r="B116" s="8" t="s">
        <v>182</v>
      </c>
      <c r="C116" s="9"/>
      <c r="D116" s="9" t="s">
        <v>68</v>
      </c>
      <c r="E116" s="9"/>
      <c r="F116" s="9"/>
      <c r="G116" s="9"/>
      <c r="H116" s="9"/>
      <c r="I116" s="9"/>
      <c r="J116" s="10" t="n">
        <f aca="false">COUNTIF(Fields!$A$2:$A$1001,B116)</f>
        <v>0</v>
      </c>
      <c r="K116" s="10" t="n">
        <f aca="false">COUNTIFS(Fields!$A$2:$A$1001,B116,Fields!$T$2:$T$1001,"vetted")</f>
        <v>0</v>
      </c>
      <c r="L116" s="10" t="n">
        <f aca="false">COUNTIFS(Fields!$A$2:$A$1001,B116,Fields!$Z$2:$Z$1001,"A")</f>
        <v>0</v>
      </c>
      <c r="M116" s="10" t="n">
        <f aca="false">COUNTIFS(Fields!$A$2:$A$1001,B116,Fields!$Z$2:$Z$1001,"B")</f>
        <v>0</v>
      </c>
      <c r="N116" s="10" t="n">
        <f aca="false">COUNTIFS(Fields!$A$2:$A$1001,B116,Fields!$Z$2:$Z$1001,"C")</f>
        <v>0</v>
      </c>
      <c r="O116" s="10" t="n">
        <f aca="false">COUNTIFS(Fields!$A$2:$A$1001,B116,Fields!$Z$2:$Z$1001,"A",Fields!$W$2:$W$1001,"Yes")+COUNTIFS(Fields!$A$2:$A$1001,B116,Fields!$Z$2:$Z$1001,"B",Fields!$W$2:$W$1001,"Yes")</f>
        <v>0</v>
      </c>
      <c r="P116" s="11" t="str">
        <f aca="false">IF(L116&gt;0,"A",IF(M116&gt;0,"B",IF(N116&gt;0,"C","")))</f>
        <v/>
      </c>
    </row>
    <row r="117" customFormat="false" ht="15" hidden="false" customHeight="false" outlineLevel="0" collapsed="false">
      <c r="A117" s="8" t="s">
        <v>130</v>
      </c>
      <c r="B117" s="8" t="s">
        <v>183</v>
      </c>
      <c r="C117" s="9"/>
      <c r="D117" s="9" t="s">
        <v>68</v>
      </c>
      <c r="E117" s="9"/>
      <c r="F117" s="9"/>
      <c r="G117" s="9"/>
      <c r="H117" s="9"/>
      <c r="I117" s="9"/>
      <c r="J117" s="10" t="n">
        <f aca="false">COUNTIF(Fields!$A$2:$A$1001,B117)</f>
        <v>0</v>
      </c>
      <c r="K117" s="10" t="n">
        <f aca="false">COUNTIFS(Fields!$A$2:$A$1001,B117,Fields!$T$2:$T$1001,"vetted")</f>
        <v>0</v>
      </c>
      <c r="L117" s="10" t="n">
        <f aca="false">COUNTIFS(Fields!$A$2:$A$1001,B117,Fields!$Z$2:$Z$1001,"A")</f>
        <v>0</v>
      </c>
      <c r="M117" s="10" t="n">
        <f aca="false">COUNTIFS(Fields!$A$2:$A$1001,B117,Fields!$Z$2:$Z$1001,"B")</f>
        <v>0</v>
      </c>
      <c r="N117" s="10" t="n">
        <f aca="false">COUNTIFS(Fields!$A$2:$A$1001,B117,Fields!$Z$2:$Z$1001,"C")</f>
        <v>0</v>
      </c>
      <c r="O117" s="10" t="n">
        <f aca="false">COUNTIFS(Fields!$A$2:$A$1001,B117,Fields!$Z$2:$Z$1001,"A",Fields!$W$2:$W$1001,"Yes")+COUNTIFS(Fields!$A$2:$A$1001,B117,Fields!$Z$2:$Z$1001,"B",Fields!$W$2:$W$1001,"Yes")</f>
        <v>0</v>
      </c>
      <c r="P117" s="11" t="str">
        <f aca="false">IF(L117&gt;0,"A",IF(M117&gt;0,"B",IF(N117&gt;0,"C","")))</f>
        <v/>
      </c>
    </row>
    <row r="118" customFormat="false" ht="15" hidden="false" customHeight="false" outlineLevel="0" collapsed="false">
      <c r="A118" s="8" t="s">
        <v>130</v>
      </c>
      <c r="B118" s="8" t="s">
        <v>184</v>
      </c>
      <c r="C118" s="9"/>
      <c r="D118" s="9" t="s">
        <v>68</v>
      </c>
      <c r="E118" s="9"/>
      <c r="F118" s="9"/>
      <c r="G118" s="9"/>
      <c r="H118" s="9"/>
      <c r="I118" s="9"/>
      <c r="J118" s="10" t="n">
        <f aca="false">COUNTIF(Fields!$A$2:$A$1001,B118)</f>
        <v>0</v>
      </c>
      <c r="K118" s="10" t="n">
        <f aca="false">COUNTIFS(Fields!$A$2:$A$1001,B118,Fields!$T$2:$T$1001,"vetted")</f>
        <v>0</v>
      </c>
      <c r="L118" s="10" t="n">
        <f aca="false">COUNTIFS(Fields!$A$2:$A$1001,B118,Fields!$Z$2:$Z$1001,"A")</f>
        <v>0</v>
      </c>
      <c r="M118" s="10" t="n">
        <f aca="false">COUNTIFS(Fields!$A$2:$A$1001,B118,Fields!$Z$2:$Z$1001,"B")</f>
        <v>0</v>
      </c>
      <c r="N118" s="10" t="n">
        <f aca="false">COUNTIFS(Fields!$A$2:$A$1001,B118,Fields!$Z$2:$Z$1001,"C")</f>
        <v>0</v>
      </c>
      <c r="O118" s="10" t="n">
        <f aca="false">COUNTIFS(Fields!$A$2:$A$1001,B118,Fields!$Z$2:$Z$1001,"A",Fields!$W$2:$W$1001,"Yes")+COUNTIFS(Fields!$A$2:$A$1001,B118,Fields!$Z$2:$Z$1001,"B",Fields!$W$2:$W$1001,"Yes")</f>
        <v>0</v>
      </c>
      <c r="P118" s="11" t="str">
        <f aca="false">IF(L118&gt;0,"A",IF(M118&gt;0,"B",IF(N118&gt;0,"C","")))</f>
        <v/>
      </c>
    </row>
    <row r="119" customFormat="false" ht="15" hidden="false" customHeight="false" outlineLevel="0" collapsed="false">
      <c r="A119" s="8" t="s">
        <v>130</v>
      </c>
      <c r="B119" s="8" t="s">
        <v>185</v>
      </c>
      <c r="C119" s="9"/>
      <c r="D119" s="9" t="s">
        <v>68</v>
      </c>
      <c r="E119" s="9"/>
      <c r="F119" s="9"/>
      <c r="G119" s="9"/>
      <c r="H119" s="9"/>
      <c r="I119" s="9"/>
      <c r="J119" s="10" t="n">
        <f aca="false">COUNTIF(Fields!$A$2:$A$1001,B119)</f>
        <v>0</v>
      </c>
      <c r="K119" s="10" t="n">
        <f aca="false">COUNTIFS(Fields!$A$2:$A$1001,B119,Fields!$T$2:$T$1001,"vetted")</f>
        <v>0</v>
      </c>
      <c r="L119" s="10" t="n">
        <f aca="false">COUNTIFS(Fields!$A$2:$A$1001,B119,Fields!$Z$2:$Z$1001,"A")</f>
        <v>0</v>
      </c>
      <c r="M119" s="10" t="n">
        <f aca="false">COUNTIFS(Fields!$A$2:$A$1001,B119,Fields!$Z$2:$Z$1001,"B")</f>
        <v>0</v>
      </c>
      <c r="N119" s="10" t="n">
        <f aca="false">COUNTIFS(Fields!$A$2:$A$1001,B119,Fields!$Z$2:$Z$1001,"C")</f>
        <v>0</v>
      </c>
      <c r="O119" s="10" t="n">
        <f aca="false">COUNTIFS(Fields!$A$2:$A$1001,B119,Fields!$Z$2:$Z$1001,"A",Fields!$W$2:$W$1001,"Yes")+COUNTIFS(Fields!$A$2:$A$1001,B119,Fields!$Z$2:$Z$1001,"B",Fields!$W$2:$W$1001,"Yes")</f>
        <v>0</v>
      </c>
      <c r="P119" s="11" t="str">
        <f aca="false">IF(L119&gt;0,"A",IF(M119&gt;0,"B",IF(N119&gt;0,"C","")))</f>
        <v/>
      </c>
    </row>
    <row r="120" customFormat="false" ht="15" hidden="false" customHeight="false" outlineLevel="0" collapsed="false">
      <c r="A120" s="8" t="s">
        <v>130</v>
      </c>
      <c r="B120" s="8" t="s">
        <v>186</v>
      </c>
      <c r="C120" s="9"/>
      <c r="D120" s="9" t="s">
        <v>68</v>
      </c>
      <c r="E120" s="9"/>
      <c r="F120" s="9"/>
      <c r="G120" s="9"/>
      <c r="H120" s="9"/>
      <c r="I120" s="9"/>
      <c r="J120" s="10" t="n">
        <f aca="false">COUNTIF(Fields!$A$2:$A$1001,B120)</f>
        <v>0</v>
      </c>
      <c r="K120" s="10" t="n">
        <f aca="false">COUNTIFS(Fields!$A$2:$A$1001,B120,Fields!$T$2:$T$1001,"vetted")</f>
        <v>0</v>
      </c>
      <c r="L120" s="10" t="n">
        <f aca="false">COUNTIFS(Fields!$A$2:$A$1001,B120,Fields!$Z$2:$Z$1001,"A")</f>
        <v>0</v>
      </c>
      <c r="M120" s="10" t="n">
        <f aca="false">COUNTIFS(Fields!$A$2:$A$1001,B120,Fields!$Z$2:$Z$1001,"B")</f>
        <v>0</v>
      </c>
      <c r="N120" s="10" t="n">
        <f aca="false">COUNTIFS(Fields!$A$2:$A$1001,B120,Fields!$Z$2:$Z$1001,"C")</f>
        <v>0</v>
      </c>
      <c r="O120" s="10" t="n">
        <f aca="false">COUNTIFS(Fields!$A$2:$A$1001,B120,Fields!$Z$2:$Z$1001,"A",Fields!$W$2:$W$1001,"Yes")+COUNTIFS(Fields!$A$2:$A$1001,B120,Fields!$Z$2:$Z$1001,"B",Fields!$W$2:$W$1001,"Yes")</f>
        <v>0</v>
      </c>
      <c r="P120" s="11" t="str">
        <f aca="false">IF(L120&gt;0,"A",IF(M120&gt;0,"B",IF(N120&gt;0,"C","")))</f>
        <v/>
      </c>
    </row>
    <row r="121" customFormat="false" ht="15" hidden="false" customHeight="false" outlineLevel="0" collapsed="false">
      <c r="A121" s="8" t="s">
        <v>130</v>
      </c>
      <c r="B121" s="8" t="s">
        <v>187</v>
      </c>
      <c r="C121" s="9"/>
      <c r="D121" s="9" t="s">
        <v>68</v>
      </c>
      <c r="E121" s="9"/>
      <c r="F121" s="9"/>
      <c r="G121" s="9"/>
      <c r="H121" s="9"/>
      <c r="I121" s="9"/>
      <c r="J121" s="10" t="n">
        <f aca="false">COUNTIF(Fields!$A$2:$A$1001,B121)</f>
        <v>0</v>
      </c>
      <c r="K121" s="10" t="n">
        <f aca="false">COUNTIFS(Fields!$A$2:$A$1001,B121,Fields!$T$2:$T$1001,"vetted")</f>
        <v>0</v>
      </c>
      <c r="L121" s="10" t="n">
        <f aca="false">COUNTIFS(Fields!$A$2:$A$1001,B121,Fields!$Z$2:$Z$1001,"A")</f>
        <v>0</v>
      </c>
      <c r="M121" s="10" t="n">
        <f aca="false">COUNTIFS(Fields!$A$2:$A$1001,B121,Fields!$Z$2:$Z$1001,"B")</f>
        <v>0</v>
      </c>
      <c r="N121" s="10" t="n">
        <f aca="false">COUNTIFS(Fields!$A$2:$A$1001,B121,Fields!$Z$2:$Z$1001,"C")</f>
        <v>0</v>
      </c>
      <c r="O121" s="10" t="n">
        <f aca="false">COUNTIFS(Fields!$A$2:$A$1001,B121,Fields!$Z$2:$Z$1001,"A",Fields!$W$2:$W$1001,"Yes")+COUNTIFS(Fields!$A$2:$A$1001,B121,Fields!$Z$2:$Z$1001,"B",Fields!$W$2:$W$1001,"Yes")</f>
        <v>0</v>
      </c>
      <c r="P121" s="11" t="str">
        <f aca="false">IF(L121&gt;0,"A",IF(M121&gt;0,"B",IF(N121&gt;0,"C","")))</f>
        <v/>
      </c>
    </row>
    <row r="122" customFormat="false" ht="15" hidden="false" customHeight="false" outlineLevel="0" collapsed="false">
      <c r="A122" s="8" t="s">
        <v>130</v>
      </c>
      <c r="B122" s="8" t="s">
        <v>188</v>
      </c>
      <c r="C122" s="9"/>
      <c r="D122" s="9" t="s">
        <v>68</v>
      </c>
      <c r="E122" s="9"/>
      <c r="F122" s="9"/>
      <c r="G122" s="9"/>
      <c r="H122" s="9"/>
      <c r="I122" s="9"/>
      <c r="J122" s="10" t="n">
        <f aca="false">COUNTIF(Fields!$A$2:$A$1001,B122)</f>
        <v>0</v>
      </c>
      <c r="K122" s="10" t="n">
        <f aca="false">COUNTIFS(Fields!$A$2:$A$1001,B122,Fields!$T$2:$T$1001,"vetted")</f>
        <v>0</v>
      </c>
      <c r="L122" s="10" t="n">
        <f aca="false">COUNTIFS(Fields!$A$2:$A$1001,B122,Fields!$Z$2:$Z$1001,"A")</f>
        <v>0</v>
      </c>
      <c r="M122" s="10" t="n">
        <f aca="false">COUNTIFS(Fields!$A$2:$A$1001,B122,Fields!$Z$2:$Z$1001,"B")</f>
        <v>0</v>
      </c>
      <c r="N122" s="10" t="n">
        <f aca="false">COUNTIFS(Fields!$A$2:$A$1001,B122,Fields!$Z$2:$Z$1001,"C")</f>
        <v>0</v>
      </c>
      <c r="O122" s="10" t="n">
        <f aca="false">COUNTIFS(Fields!$A$2:$A$1001,B122,Fields!$Z$2:$Z$1001,"A",Fields!$W$2:$W$1001,"Yes")+COUNTIFS(Fields!$A$2:$A$1001,B122,Fields!$Z$2:$Z$1001,"B",Fields!$W$2:$W$1001,"Yes")</f>
        <v>0</v>
      </c>
      <c r="P122" s="11" t="str">
        <f aca="false">IF(L122&gt;0,"A",IF(M122&gt;0,"B",IF(N122&gt;0,"C","")))</f>
        <v/>
      </c>
    </row>
    <row r="123" customFormat="false" ht="15" hidden="false" customHeight="false" outlineLevel="0" collapsed="false">
      <c r="A123" s="8" t="s">
        <v>130</v>
      </c>
      <c r="B123" s="8" t="s">
        <v>189</v>
      </c>
      <c r="C123" s="9"/>
      <c r="D123" s="9" t="s">
        <v>68</v>
      </c>
      <c r="E123" s="9"/>
      <c r="F123" s="9"/>
      <c r="G123" s="9"/>
      <c r="H123" s="9"/>
      <c r="I123" s="9"/>
      <c r="J123" s="10" t="n">
        <f aca="false">COUNTIF(Fields!$A$2:$A$1001,B123)</f>
        <v>0</v>
      </c>
      <c r="K123" s="10" t="n">
        <f aca="false">COUNTIFS(Fields!$A$2:$A$1001,B123,Fields!$T$2:$T$1001,"vetted")</f>
        <v>0</v>
      </c>
      <c r="L123" s="10" t="n">
        <f aca="false">COUNTIFS(Fields!$A$2:$A$1001,B123,Fields!$Z$2:$Z$1001,"A")</f>
        <v>0</v>
      </c>
      <c r="M123" s="10" t="n">
        <f aca="false">COUNTIFS(Fields!$A$2:$A$1001,B123,Fields!$Z$2:$Z$1001,"B")</f>
        <v>0</v>
      </c>
      <c r="N123" s="10" t="n">
        <f aca="false">COUNTIFS(Fields!$A$2:$A$1001,B123,Fields!$Z$2:$Z$1001,"C")</f>
        <v>0</v>
      </c>
      <c r="O123" s="10" t="n">
        <f aca="false">COUNTIFS(Fields!$A$2:$A$1001,B123,Fields!$Z$2:$Z$1001,"A",Fields!$W$2:$W$1001,"Yes")+COUNTIFS(Fields!$A$2:$A$1001,B123,Fields!$Z$2:$Z$1001,"B",Fields!$W$2:$W$1001,"Yes")</f>
        <v>0</v>
      </c>
      <c r="P123" s="11" t="str">
        <f aca="false">IF(L123&gt;0,"A",IF(M123&gt;0,"B",IF(N123&gt;0,"C","")))</f>
        <v/>
      </c>
    </row>
    <row r="124" customFormat="false" ht="15" hidden="false" customHeight="false" outlineLevel="0" collapsed="false">
      <c r="A124" s="8" t="s">
        <v>130</v>
      </c>
      <c r="B124" s="8" t="s">
        <v>190</v>
      </c>
      <c r="C124" s="9"/>
      <c r="D124" s="9" t="s">
        <v>68</v>
      </c>
      <c r="E124" s="9"/>
      <c r="F124" s="9"/>
      <c r="G124" s="9"/>
      <c r="H124" s="9"/>
      <c r="I124" s="9"/>
      <c r="J124" s="10" t="n">
        <f aca="false">COUNTIF(Fields!$A$2:$A$1001,B124)</f>
        <v>0</v>
      </c>
      <c r="K124" s="10" t="n">
        <f aca="false">COUNTIFS(Fields!$A$2:$A$1001,B124,Fields!$T$2:$T$1001,"vetted")</f>
        <v>0</v>
      </c>
      <c r="L124" s="10" t="n">
        <f aca="false">COUNTIFS(Fields!$A$2:$A$1001,B124,Fields!$Z$2:$Z$1001,"A")</f>
        <v>0</v>
      </c>
      <c r="M124" s="10" t="n">
        <f aca="false">COUNTIFS(Fields!$A$2:$A$1001,B124,Fields!$Z$2:$Z$1001,"B")</f>
        <v>0</v>
      </c>
      <c r="N124" s="10" t="n">
        <f aca="false">COUNTIFS(Fields!$A$2:$A$1001,B124,Fields!$Z$2:$Z$1001,"C")</f>
        <v>0</v>
      </c>
      <c r="O124" s="10" t="n">
        <f aca="false">COUNTIFS(Fields!$A$2:$A$1001,B124,Fields!$Z$2:$Z$1001,"A",Fields!$W$2:$W$1001,"Yes")+COUNTIFS(Fields!$A$2:$A$1001,B124,Fields!$Z$2:$Z$1001,"B",Fields!$W$2:$W$1001,"Yes")</f>
        <v>0</v>
      </c>
      <c r="P124" s="11" t="str">
        <f aca="false">IF(L124&gt;0,"A",IF(M124&gt;0,"B",IF(N124&gt;0,"C","")))</f>
        <v/>
      </c>
    </row>
    <row r="125" customFormat="false" ht="15" hidden="false" customHeight="false" outlineLevel="0" collapsed="false">
      <c r="A125" s="8" t="s">
        <v>130</v>
      </c>
      <c r="B125" s="8" t="s">
        <v>191</v>
      </c>
      <c r="C125" s="9"/>
      <c r="D125" s="9" t="s">
        <v>68</v>
      </c>
      <c r="E125" s="9"/>
      <c r="F125" s="9"/>
      <c r="G125" s="9"/>
      <c r="H125" s="9"/>
      <c r="I125" s="9"/>
      <c r="J125" s="10" t="n">
        <f aca="false">COUNTIF(Fields!$A$2:$A$1001,B125)</f>
        <v>0</v>
      </c>
      <c r="K125" s="10" t="n">
        <f aca="false">COUNTIFS(Fields!$A$2:$A$1001,B125,Fields!$T$2:$T$1001,"vetted")</f>
        <v>0</v>
      </c>
      <c r="L125" s="10" t="n">
        <f aca="false">COUNTIFS(Fields!$A$2:$A$1001,B125,Fields!$Z$2:$Z$1001,"A")</f>
        <v>0</v>
      </c>
      <c r="M125" s="10" t="n">
        <f aca="false">COUNTIFS(Fields!$A$2:$A$1001,B125,Fields!$Z$2:$Z$1001,"B")</f>
        <v>0</v>
      </c>
      <c r="N125" s="10" t="n">
        <f aca="false">COUNTIFS(Fields!$A$2:$A$1001,B125,Fields!$Z$2:$Z$1001,"C")</f>
        <v>0</v>
      </c>
      <c r="O125" s="10" t="n">
        <f aca="false">COUNTIFS(Fields!$A$2:$A$1001,B125,Fields!$Z$2:$Z$1001,"A",Fields!$W$2:$W$1001,"Yes")+COUNTIFS(Fields!$A$2:$A$1001,B125,Fields!$Z$2:$Z$1001,"B",Fields!$W$2:$W$1001,"Yes")</f>
        <v>0</v>
      </c>
      <c r="P125" s="11" t="str">
        <f aca="false">IF(L125&gt;0,"A",IF(M125&gt;0,"B",IF(N125&gt;0,"C","")))</f>
        <v/>
      </c>
    </row>
    <row r="126" customFormat="false" ht="15" hidden="false" customHeight="false" outlineLevel="0" collapsed="false">
      <c r="A126" s="8" t="s">
        <v>192</v>
      </c>
      <c r="B126" s="8" t="s">
        <v>193</v>
      </c>
      <c r="C126" s="9"/>
      <c r="D126" s="9" t="s">
        <v>68</v>
      </c>
      <c r="E126" s="9"/>
      <c r="F126" s="9"/>
      <c r="G126" s="9"/>
      <c r="H126" s="9"/>
      <c r="I126" s="9"/>
      <c r="J126" s="10" t="n">
        <f aca="false">COUNTIF(Fields!$A$2:$A$1001,B126)</f>
        <v>0</v>
      </c>
      <c r="K126" s="10" t="n">
        <f aca="false">COUNTIFS(Fields!$A$2:$A$1001,B126,Fields!$T$2:$T$1001,"vetted")</f>
        <v>0</v>
      </c>
      <c r="L126" s="10" t="n">
        <f aca="false">COUNTIFS(Fields!$A$2:$A$1001,B126,Fields!$Z$2:$Z$1001,"A")</f>
        <v>0</v>
      </c>
      <c r="M126" s="10" t="n">
        <f aca="false">COUNTIFS(Fields!$A$2:$A$1001,B126,Fields!$Z$2:$Z$1001,"B")</f>
        <v>0</v>
      </c>
      <c r="N126" s="10" t="n">
        <f aca="false">COUNTIFS(Fields!$A$2:$A$1001,B126,Fields!$Z$2:$Z$1001,"C")</f>
        <v>0</v>
      </c>
      <c r="O126" s="10" t="n">
        <f aca="false">COUNTIFS(Fields!$A$2:$A$1001,B126,Fields!$Z$2:$Z$1001,"A",Fields!$W$2:$W$1001,"Yes")+COUNTIFS(Fields!$A$2:$A$1001,B126,Fields!$Z$2:$Z$1001,"B",Fields!$W$2:$W$1001,"Yes")</f>
        <v>0</v>
      </c>
      <c r="P126" s="11" t="str">
        <f aca="false">IF(L126&gt;0,"A",IF(M126&gt;0,"B",IF(N126&gt;0,"C","")))</f>
        <v/>
      </c>
    </row>
    <row r="127" customFormat="false" ht="15" hidden="false" customHeight="false" outlineLevel="0" collapsed="false">
      <c r="A127" s="8" t="s">
        <v>192</v>
      </c>
      <c r="B127" s="8" t="s">
        <v>194</v>
      </c>
      <c r="C127" s="9"/>
      <c r="D127" s="9" t="s">
        <v>68</v>
      </c>
      <c r="E127" s="9"/>
      <c r="F127" s="9"/>
      <c r="G127" s="9"/>
      <c r="H127" s="9"/>
      <c r="I127" s="9"/>
      <c r="J127" s="10" t="n">
        <f aca="false">COUNTIF(Fields!$A$2:$A$1001,B127)</f>
        <v>0</v>
      </c>
      <c r="K127" s="10" t="n">
        <f aca="false">COUNTIFS(Fields!$A$2:$A$1001,B127,Fields!$T$2:$T$1001,"vetted")</f>
        <v>0</v>
      </c>
      <c r="L127" s="10" t="n">
        <f aca="false">COUNTIFS(Fields!$A$2:$A$1001,B127,Fields!$Z$2:$Z$1001,"A")</f>
        <v>0</v>
      </c>
      <c r="M127" s="10" t="n">
        <f aca="false">COUNTIFS(Fields!$A$2:$A$1001,B127,Fields!$Z$2:$Z$1001,"B")</f>
        <v>0</v>
      </c>
      <c r="N127" s="10" t="n">
        <f aca="false">COUNTIFS(Fields!$A$2:$A$1001,B127,Fields!$Z$2:$Z$1001,"C")</f>
        <v>0</v>
      </c>
      <c r="O127" s="10" t="n">
        <f aca="false">COUNTIFS(Fields!$A$2:$A$1001,B127,Fields!$Z$2:$Z$1001,"A",Fields!$W$2:$W$1001,"Yes")+COUNTIFS(Fields!$A$2:$A$1001,B127,Fields!$Z$2:$Z$1001,"B",Fields!$W$2:$W$1001,"Yes")</f>
        <v>0</v>
      </c>
      <c r="P127" s="11" t="str">
        <f aca="false">IF(L127&gt;0,"A",IF(M127&gt;0,"B",IF(N127&gt;0,"C","")))</f>
        <v/>
      </c>
    </row>
    <row r="128" customFormat="false" ht="15" hidden="false" customHeight="false" outlineLevel="0" collapsed="false">
      <c r="A128" s="8" t="s">
        <v>192</v>
      </c>
      <c r="B128" s="8" t="s">
        <v>195</v>
      </c>
      <c r="C128" s="9"/>
      <c r="D128" s="9" t="s">
        <v>68</v>
      </c>
      <c r="E128" s="9"/>
      <c r="F128" s="9"/>
      <c r="G128" s="9"/>
      <c r="H128" s="9"/>
      <c r="I128" s="9"/>
      <c r="J128" s="10" t="n">
        <f aca="false">COUNTIF(Fields!$A$2:$A$1001,B128)</f>
        <v>0</v>
      </c>
      <c r="K128" s="10" t="n">
        <f aca="false">COUNTIFS(Fields!$A$2:$A$1001,B128,Fields!$T$2:$T$1001,"vetted")</f>
        <v>0</v>
      </c>
      <c r="L128" s="10" t="n">
        <f aca="false">COUNTIFS(Fields!$A$2:$A$1001,B128,Fields!$Z$2:$Z$1001,"A")</f>
        <v>0</v>
      </c>
      <c r="M128" s="10" t="n">
        <f aca="false">COUNTIFS(Fields!$A$2:$A$1001,B128,Fields!$Z$2:$Z$1001,"B")</f>
        <v>0</v>
      </c>
      <c r="N128" s="10" t="n">
        <f aca="false">COUNTIFS(Fields!$A$2:$A$1001,B128,Fields!$Z$2:$Z$1001,"C")</f>
        <v>0</v>
      </c>
      <c r="O128" s="10" t="n">
        <f aca="false">COUNTIFS(Fields!$A$2:$A$1001,B128,Fields!$Z$2:$Z$1001,"A",Fields!$W$2:$W$1001,"Yes")+COUNTIFS(Fields!$A$2:$A$1001,B128,Fields!$Z$2:$Z$1001,"B",Fields!$W$2:$W$1001,"Yes")</f>
        <v>0</v>
      </c>
      <c r="P128" s="11" t="str">
        <f aca="false">IF(L128&gt;0,"A",IF(M128&gt;0,"B",IF(N128&gt;0,"C","")))</f>
        <v/>
      </c>
    </row>
    <row r="129" customFormat="false" ht="15" hidden="false" customHeight="false" outlineLevel="0" collapsed="false">
      <c r="A129" s="8" t="s">
        <v>192</v>
      </c>
      <c r="B129" s="8" t="s">
        <v>196</v>
      </c>
      <c r="C129" s="9"/>
      <c r="D129" s="9" t="s">
        <v>68</v>
      </c>
      <c r="E129" s="9"/>
      <c r="F129" s="9"/>
      <c r="G129" s="9"/>
      <c r="H129" s="9"/>
      <c r="I129" s="9"/>
      <c r="J129" s="10" t="n">
        <f aca="false">COUNTIF(Fields!$A$2:$A$1001,B129)</f>
        <v>0</v>
      </c>
      <c r="K129" s="10" t="n">
        <f aca="false">COUNTIFS(Fields!$A$2:$A$1001,B129,Fields!$T$2:$T$1001,"vetted")</f>
        <v>0</v>
      </c>
      <c r="L129" s="10" t="n">
        <f aca="false">COUNTIFS(Fields!$A$2:$A$1001,B129,Fields!$Z$2:$Z$1001,"A")</f>
        <v>0</v>
      </c>
      <c r="M129" s="10" t="n">
        <f aca="false">COUNTIFS(Fields!$A$2:$A$1001,B129,Fields!$Z$2:$Z$1001,"B")</f>
        <v>0</v>
      </c>
      <c r="N129" s="10" t="n">
        <f aca="false">COUNTIFS(Fields!$A$2:$A$1001,B129,Fields!$Z$2:$Z$1001,"C")</f>
        <v>0</v>
      </c>
      <c r="O129" s="10" t="n">
        <f aca="false">COUNTIFS(Fields!$A$2:$A$1001,B129,Fields!$Z$2:$Z$1001,"A",Fields!$W$2:$W$1001,"Yes")+COUNTIFS(Fields!$A$2:$A$1001,B129,Fields!$Z$2:$Z$1001,"B",Fields!$W$2:$W$1001,"Yes")</f>
        <v>0</v>
      </c>
      <c r="P129" s="11" t="str">
        <f aca="false">IF(L129&gt;0,"A",IF(M129&gt;0,"B",IF(N129&gt;0,"C","")))</f>
        <v/>
      </c>
    </row>
    <row r="130" customFormat="false" ht="15" hidden="false" customHeight="false" outlineLevel="0" collapsed="false">
      <c r="A130" s="8" t="s">
        <v>192</v>
      </c>
      <c r="B130" s="8" t="s">
        <v>197</v>
      </c>
      <c r="C130" s="9"/>
      <c r="D130" s="9" t="s">
        <v>68</v>
      </c>
      <c r="E130" s="9"/>
      <c r="F130" s="9"/>
      <c r="G130" s="9"/>
      <c r="H130" s="9"/>
      <c r="I130" s="9"/>
      <c r="J130" s="10" t="n">
        <f aca="false">COUNTIF(Fields!$A$2:$A$1001,B130)</f>
        <v>0</v>
      </c>
      <c r="K130" s="10" t="n">
        <f aca="false">COUNTIFS(Fields!$A$2:$A$1001,B130,Fields!$T$2:$T$1001,"vetted")</f>
        <v>0</v>
      </c>
      <c r="L130" s="10" t="n">
        <f aca="false">COUNTIFS(Fields!$A$2:$A$1001,B130,Fields!$Z$2:$Z$1001,"A")</f>
        <v>0</v>
      </c>
      <c r="M130" s="10" t="n">
        <f aca="false">COUNTIFS(Fields!$A$2:$A$1001,B130,Fields!$Z$2:$Z$1001,"B")</f>
        <v>0</v>
      </c>
      <c r="N130" s="10" t="n">
        <f aca="false">COUNTIFS(Fields!$A$2:$A$1001,B130,Fields!$Z$2:$Z$1001,"C")</f>
        <v>0</v>
      </c>
      <c r="O130" s="10" t="n">
        <f aca="false">COUNTIFS(Fields!$A$2:$A$1001,B130,Fields!$Z$2:$Z$1001,"A",Fields!$W$2:$W$1001,"Yes")+COUNTIFS(Fields!$A$2:$A$1001,B130,Fields!$Z$2:$Z$1001,"B",Fields!$W$2:$W$1001,"Yes")</f>
        <v>0</v>
      </c>
      <c r="P130" s="11" t="str">
        <f aca="false">IF(L130&gt;0,"A",IF(M130&gt;0,"B",IF(N130&gt;0,"C","")))</f>
        <v/>
      </c>
    </row>
    <row r="131" customFormat="false" ht="15" hidden="false" customHeight="false" outlineLevel="0" collapsed="false">
      <c r="A131" s="8" t="s">
        <v>192</v>
      </c>
      <c r="B131" s="8" t="s">
        <v>198</v>
      </c>
      <c r="C131" s="9"/>
      <c r="D131" s="9" t="s">
        <v>68</v>
      </c>
      <c r="E131" s="9"/>
      <c r="F131" s="9"/>
      <c r="G131" s="9"/>
      <c r="H131" s="9"/>
      <c r="I131" s="9"/>
      <c r="J131" s="10" t="n">
        <f aca="false">COUNTIF(Fields!$A$2:$A$1001,B131)</f>
        <v>0</v>
      </c>
      <c r="K131" s="10" t="n">
        <f aca="false">COUNTIFS(Fields!$A$2:$A$1001,B131,Fields!$T$2:$T$1001,"vetted")</f>
        <v>0</v>
      </c>
      <c r="L131" s="10" t="n">
        <f aca="false">COUNTIFS(Fields!$A$2:$A$1001,B131,Fields!$Z$2:$Z$1001,"A")</f>
        <v>0</v>
      </c>
      <c r="M131" s="10" t="n">
        <f aca="false">COUNTIFS(Fields!$A$2:$A$1001,B131,Fields!$Z$2:$Z$1001,"B")</f>
        <v>0</v>
      </c>
      <c r="N131" s="10" t="n">
        <f aca="false">COUNTIFS(Fields!$A$2:$A$1001,B131,Fields!$Z$2:$Z$1001,"C")</f>
        <v>0</v>
      </c>
      <c r="O131" s="10" t="n">
        <f aca="false">COUNTIFS(Fields!$A$2:$A$1001,B131,Fields!$Z$2:$Z$1001,"A",Fields!$W$2:$W$1001,"Yes")+COUNTIFS(Fields!$A$2:$A$1001,B131,Fields!$Z$2:$Z$1001,"B",Fields!$W$2:$W$1001,"Yes")</f>
        <v>0</v>
      </c>
      <c r="P131" s="11" t="str">
        <f aca="false">IF(L131&gt;0,"A",IF(M131&gt;0,"B",IF(N131&gt;0,"C","")))</f>
        <v/>
      </c>
    </row>
    <row r="132" customFormat="false" ht="15" hidden="false" customHeight="false" outlineLevel="0" collapsed="false">
      <c r="A132" s="8" t="s">
        <v>192</v>
      </c>
      <c r="B132" s="8" t="s">
        <v>199</v>
      </c>
      <c r="C132" s="9"/>
      <c r="D132" s="9" t="s">
        <v>68</v>
      </c>
      <c r="E132" s="9"/>
      <c r="F132" s="9"/>
      <c r="G132" s="9"/>
      <c r="H132" s="9"/>
      <c r="I132" s="9"/>
      <c r="J132" s="10" t="n">
        <f aca="false">COUNTIF(Fields!$A$2:$A$1001,B132)</f>
        <v>0</v>
      </c>
      <c r="K132" s="10" t="n">
        <f aca="false">COUNTIFS(Fields!$A$2:$A$1001,B132,Fields!$T$2:$T$1001,"vetted")</f>
        <v>0</v>
      </c>
      <c r="L132" s="10" t="n">
        <f aca="false">COUNTIFS(Fields!$A$2:$A$1001,B132,Fields!$Z$2:$Z$1001,"A")</f>
        <v>0</v>
      </c>
      <c r="M132" s="10" t="n">
        <f aca="false">COUNTIFS(Fields!$A$2:$A$1001,B132,Fields!$Z$2:$Z$1001,"B")</f>
        <v>0</v>
      </c>
      <c r="N132" s="10" t="n">
        <f aca="false">COUNTIFS(Fields!$A$2:$A$1001,B132,Fields!$Z$2:$Z$1001,"C")</f>
        <v>0</v>
      </c>
      <c r="O132" s="10" t="n">
        <f aca="false">COUNTIFS(Fields!$A$2:$A$1001,B132,Fields!$Z$2:$Z$1001,"A",Fields!$W$2:$W$1001,"Yes")+COUNTIFS(Fields!$A$2:$A$1001,B132,Fields!$Z$2:$Z$1001,"B",Fields!$W$2:$W$1001,"Yes")</f>
        <v>0</v>
      </c>
      <c r="P132" s="11" t="str">
        <f aca="false">IF(L132&gt;0,"A",IF(M132&gt;0,"B",IF(N132&gt;0,"C","")))</f>
        <v/>
      </c>
    </row>
    <row r="133" customFormat="false" ht="15" hidden="false" customHeight="false" outlineLevel="0" collapsed="false">
      <c r="A133" s="8" t="s">
        <v>192</v>
      </c>
      <c r="B133" s="8" t="s">
        <v>200</v>
      </c>
      <c r="C133" s="9"/>
      <c r="D133" s="9" t="s">
        <v>68</v>
      </c>
      <c r="E133" s="9"/>
      <c r="F133" s="9"/>
      <c r="G133" s="9"/>
      <c r="H133" s="9"/>
      <c r="I133" s="9"/>
      <c r="J133" s="10" t="n">
        <f aca="false">COUNTIF(Fields!$A$2:$A$1001,B133)</f>
        <v>0</v>
      </c>
      <c r="K133" s="10" t="n">
        <f aca="false">COUNTIFS(Fields!$A$2:$A$1001,B133,Fields!$T$2:$T$1001,"vetted")</f>
        <v>0</v>
      </c>
      <c r="L133" s="10" t="n">
        <f aca="false">COUNTIFS(Fields!$A$2:$A$1001,B133,Fields!$Z$2:$Z$1001,"A")</f>
        <v>0</v>
      </c>
      <c r="M133" s="10" t="n">
        <f aca="false">COUNTIFS(Fields!$A$2:$A$1001,B133,Fields!$Z$2:$Z$1001,"B")</f>
        <v>0</v>
      </c>
      <c r="N133" s="10" t="n">
        <f aca="false">COUNTIFS(Fields!$A$2:$A$1001,B133,Fields!$Z$2:$Z$1001,"C")</f>
        <v>0</v>
      </c>
      <c r="O133" s="10" t="n">
        <f aca="false">COUNTIFS(Fields!$A$2:$A$1001,B133,Fields!$Z$2:$Z$1001,"A",Fields!$W$2:$W$1001,"Yes")+COUNTIFS(Fields!$A$2:$A$1001,B133,Fields!$Z$2:$Z$1001,"B",Fields!$W$2:$W$1001,"Yes")</f>
        <v>0</v>
      </c>
      <c r="P133" s="11" t="str">
        <f aca="false">IF(L133&gt;0,"A",IF(M133&gt;0,"B",IF(N133&gt;0,"C","")))</f>
        <v/>
      </c>
    </row>
    <row r="134" customFormat="false" ht="15" hidden="false" customHeight="false" outlineLevel="0" collapsed="false">
      <c r="A134" s="8" t="s">
        <v>192</v>
      </c>
      <c r="B134" s="8" t="s">
        <v>201</v>
      </c>
      <c r="C134" s="9"/>
      <c r="D134" s="9" t="s">
        <v>68</v>
      </c>
      <c r="E134" s="9"/>
      <c r="F134" s="9"/>
      <c r="G134" s="9"/>
      <c r="H134" s="9"/>
      <c r="I134" s="9"/>
      <c r="J134" s="10" t="n">
        <f aca="false">COUNTIF(Fields!$A$2:$A$1001,B134)</f>
        <v>0</v>
      </c>
      <c r="K134" s="10" t="n">
        <f aca="false">COUNTIFS(Fields!$A$2:$A$1001,B134,Fields!$T$2:$T$1001,"vetted")</f>
        <v>0</v>
      </c>
      <c r="L134" s="10" t="n">
        <f aca="false">COUNTIFS(Fields!$A$2:$A$1001,B134,Fields!$Z$2:$Z$1001,"A")</f>
        <v>0</v>
      </c>
      <c r="M134" s="10" t="n">
        <f aca="false">COUNTIFS(Fields!$A$2:$A$1001,B134,Fields!$Z$2:$Z$1001,"B")</f>
        <v>0</v>
      </c>
      <c r="N134" s="10" t="n">
        <f aca="false">COUNTIFS(Fields!$A$2:$A$1001,B134,Fields!$Z$2:$Z$1001,"C")</f>
        <v>0</v>
      </c>
      <c r="O134" s="10" t="n">
        <f aca="false">COUNTIFS(Fields!$A$2:$A$1001,B134,Fields!$Z$2:$Z$1001,"A",Fields!$W$2:$W$1001,"Yes")+COUNTIFS(Fields!$A$2:$A$1001,B134,Fields!$Z$2:$Z$1001,"B",Fields!$W$2:$W$1001,"Yes")</f>
        <v>0</v>
      </c>
      <c r="P134" s="11" t="str">
        <f aca="false">IF(L134&gt;0,"A",IF(M134&gt;0,"B",IF(N134&gt;0,"C","")))</f>
        <v/>
      </c>
    </row>
    <row r="135" customFormat="false" ht="15" hidden="false" customHeight="false" outlineLevel="0" collapsed="false">
      <c r="A135" s="8" t="s">
        <v>192</v>
      </c>
      <c r="B135" s="8" t="s">
        <v>202</v>
      </c>
      <c r="C135" s="9"/>
      <c r="D135" s="9" t="s">
        <v>68</v>
      </c>
      <c r="E135" s="9"/>
      <c r="F135" s="9"/>
      <c r="G135" s="9"/>
      <c r="H135" s="9"/>
      <c r="I135" s="9"/>
      <c r="J135" s="10" t="n">
        <f aca="false">COUNTIF(Fields!$A$2:$A$1001,B135)</f>
        <v>0</v>
      </c>
      <c r="K135" s="10" t="n">
        <f aca="false">COUNTIFS(Fields!$A$2:$A$1001,B135,Fields!$T$2:$T$1001,"vetted")</f>
        <v>0</v>
      </c>
      <c r="L135" s="10" t="n">
        <f aca="false">COUNTIFS(Fields!$A$2:$A$1001,B135,Fields!$Z$2:$Z$1001,"A")</f>
        <v>0</v>
      </c>
      <c r="M135" s="10" t="n">
        <f aca="false">COUNTIFS(Fields!$A$2:$A$1001,B135,Fields!$Z$2:$Z$1001,"B")</f>
        <v>0</v>
      </c>
      <c r="N135" s="10" t="n">
        <f aca="false">COUNTIFS(Fields!$A$2:$A$1001,B135,Fields!$Z$2:$Z$1001,"C")</f>
        <v>0</v>
      </c>
      <c r="O135" s="10" t="n">
        <f aca="false">COUNTIFS(Fields!$A$2:$A$1001,B135,Fields!$Z$2:$Z$1001,"A",Fields!$W$2:$W$1001,"Yes")+COUNTIFS(Fields!$A$2:$A$1001,B135,Fields!$Z$2:$Z$1001,"B",Fields!$W$2:$W$1001,"Yes")</f>
        <v>0</v>
      </c>
      <c r="P135" s="11" t="str">
        <f aca="false">IF(L135&gt;0,"A",IF(M135&gt;0,"B",IF(N135&gt;0,"C","")))</f>
        <v/>
      </c>
    </row>
    <row r="136" customFormat="false" ht="15" hidden="false" customHeight="false" outlineLevel="0" collapsed="false">
      <c r="A136" s="8" t="s">
        <v>192</v>
      </c>
      <c r="B136" s="8" t="s">
        <v>203</v>
      </c>
      <c r="C136" s="9"/>
      <c r="D136" s="9" t="s">
        <v>68</v>
      </c>
      <c r="E136" s="9"/>
      <c r="F136" s="9"/>
      <c r="G136" s="9"/>
      <c r="H136" s="9"/>
      <c r="I136" s="9"/>
      <c r="J136" s="10" t="n">
        <f aca="false">COUNTIF(Fields!$A$2:$A$1001,B136)</f>
        <v>0</v>
      </c>
      <c r="K136" s="10" t="n">
        <f aca="false">COUNTIFS(Fields!$A$2:$A$1001,B136,Fields!$T$2:$T$1001,"vetted")</f>
        <v>0</v>
      </c>
      <c r="L136" s="10" t="n">
        <f aca="false">COUNTIFS(Fields!$A$2:$A$1001,B136,Fields!$Z$2:$Z$1001,"A")</f>
        <v>0</v>
      </c>
      <c r="M136" s="10" t="n">
        <f aca="false">COUNTIFS(Fields!$A$2:$A$1001,B136,Fields!$Z$2:$Z$1001,"B")</f>
        <v>0</v>
      </c>
      <c r="N136" s="10" t="n">
        <f aca="false">COUNTIFS(Fields!$A$2:$A$1001,B136,Fields!$Z$2:$Z$1001,"C")</f>
        <v>0</v>
      </c>
      <c r="O136" s="10" t="n">
        <f aca="false">COUNTIFS(Fields!$A$2:$A$1001,B136,Fields!$Z$2:$Z$1001,"A",Fields!$W$2:$W$1001,"Yes")+COUNTIFS(Fields!$A$2:$A$1001,B136,Fields!$Z$2:$Z$1001,"B",Fields!$W$2:$W$1001,"Yes")</f>
        <v>0</v>
      </c>
      <c r="P136" s="11" t="str">
        <f aca="false">IF(L136&gt;0,"A",IF(M136&gt;0,"B",IF(N136&gt;0,"C","")))</f>
        <v/>
      </c>
    </row>
    <row r="137" customFormat="false" ht="15" hidden="false" customHeight="false" outlineLevel="0" collapsed="false">
      <c r="A137" s="8" t="s">
        <v>192</v>
      </c>
      <c r="B137" s="8" t="s">
        <v>204</v>
      </c>
      <c r="C137" s="9"/>
      <c r="D137" s="9" t="s">
        <v>68</v>
      </c>
      <c r="E137" s="9"/>
      <c r="F137" s="9"/>
      <c r="G137" s="9"/>
      <c r="H137" s="9"/>
      <c r="I137" s="9"/>
      <c r="J137" s="10" t="n">
        <f aca="false">COUNTIF(Fields!$A$2:$A$1001,B137)</f>
        <v>0</v>
      </c>
      <c r="K137" s="10" t="n">
        <f aca="false">COUNTIFS(Fields!$A$2:$A$1001,B137,Fields!$T$2:$T$1001,"vetted")</f>
        <v>0</v>
      </c>
      <c r="L137" s="10" t="n">
        <f aca="false">COUNTIFS(Fields!$A$2:$A$1001,B137,Fields!$Z$2:$Z$1001,"A")</f>
        <v>0</v>
      </c>
      <c r="M137" s="10" t="n">
        <f aca="false">COUNTIFS(Fields!$A$2:$A$1001,B137,Fields!$Z$2:$Z$1001,"B")</f>
        <v>0</v>
      </c>
      <c r="N137" s="10" t="n">
        <f aca="false">COUNTIFS(Fields!$A$2:$A$1001,B137,Fields!$Z$2:$Z$1001,"C")</f>
        <v>0</v>
      </c>
      <c r="O137" s="10" t="n">
        <f aca="false">COUNTIFS(Fields!$A$2:$A$1001,B137,Fields!$Z$2:$Z$1001,"A",Fields!$W$2:$W$1001,"Yes")+COUNTIFS(Fields!$A$2:$A$1001,B137,Fields!$Z$2:$Z$1001,"B",Fields!$W$2:$W$1001,"Yes")</f>
        <v>0</v>
      </c>
      <c r="P137" s="11" t="str">
        <f aca="false">IF(L137&gt;0,"A",IF(M137&gt;0,"B",IF(N137&gt;0,"C","")))</f>
        <v/>
      </c>
    </row>
    <row r="138" customFormat="false" ht="15" hidden="false" customHeight="false" outlineLevel="0" collapsed="false">
      <c r="A138" s="8" t="s">
        <v>192</v>
      </c>
      <c r="B138" s="8" t="s">
        <v>205</v>
      </c>
      <c r="C138" s="9"/>
      <c r="D138" s="9" t="s">
        <v>68</v>
      </c>
      <c r="E138" s="9"/>
      <c r="F138" s="9"/>
      <c r="G138" s="9"/>
      <c r="H138" s="9"/>
      <c r="I138" s="9"/>
      <c r="J138" s="10" t="n">
        <f aca="false">COUNTIF(Fields!$A$2:$A$1001,B138)</f>
        <v>0</v>
      </c>
      <c r="K138" s="10" t="n">
        <f aca="false">COUNTIFS(Fields!$A$2:$A$1001,B138,Fields!$T$2:$T$1001,"vetted")</f>
        <v>0</v>
      </c>
      <c r="L138" s="10" t="n">
        <f aca="false">COUNTIFS(Fields!$A$2:$A$1001,B138,Fields!$Z$2:$Z$1001,"A")</f>
        <v>0</v>
      </c>
      <c r="M138" s="10" t="n">
        <f aca="false">COUNTIFS(Fields!$A$2:$A$1001,B138,Fields!$Z$2:$Z$1001,"B")</f>
        <v>0</v>
      </c>
      <c r="N138" s="10" t="n">
        <f aca="false">COUNTIFS(Fields!$A$2:$A$1001,B138,Fields!$Z$2:$Z$1001,"C")</f>
        <v>0</v>
      </c>
      <c r="O138" s="10" t="n">
        <f aca="false">COUNTIFS(Fields!$A$2:$A$1001,B138,Fields!$Z$2:$Z$1001,"A",Fields!$W$2:$W$1001,"Yes")+COUNTIFS(Fields!$A$2:$A$1001,B138,Fields!$Z$2:$Z$1001,"B",Fields!$W$2:$W$1001,"Yes")</f>
        <v>0</v>
      </c>
      <c r="P138" s="11" t="str">
        <f aca="false">IF(L138&gt;0,"A",IF(M138&gt;0,"B",IF(N138&gt;0,"C","")))</f>
        <v/>
      </c>
    </row>
    <row r="139" customFormat="false" ht="15" hidden="false" customHeight="false" outlineLevel="0" collapsed="false">
      <c r="A139" s="8" t="s">
        <v>192</v>
      </c>
      <c r="B139" s="8" t="s">
        <v>206</v>
      </c>
      <c r="C139" s="9"/>
      <c r="D139" s="9" t="s">
        <v>68</v>
      </c>
      <c r="E139" s="9"/>
      <c r="F139" s="9"/>
      <c r="G139" s="9"/>
      <c r="H139" s="9"/>
      <c r="I139" s="9"/>
      <c r="J139" s="10" t="n">
        <f aca="false">COUNTIF(Fields!$A$2:$A$1001,B139)</f>
        <v>0</v>
      </c>
      <c r="K139" s="10" t="n">
        <f aca="false">COUNTIFS(Fields!$A$2:$A$1001,B139,Fields!$T$2:$T$1001,"vetted")</f>
        <v>0</v>
      </c>
      <c r="L139" s="10" t="n">
        <f aca="false">COUNTIFS(Fields!$A$2:$A$1001,B139,Fields!$Z$2:$Z$1001,"A")</f>
        <v>0</v>
      </c>
      <c r="M139" s="10" t="n">
        <f aca="false">COUNTIFS(Fields!$A$2:$A$1001,B139,Fields!$Z$2:$Z$1001,"B")</f>
        <v>0</v>
      </c>
      <c r="N139" s="10" t="n">
        <f aca="false">COUNTIFS(Fields!$A$2:$A$1001,B139,Fields!$Z$2:$Z$1001,"C")</f>
        <v>0</v>
      </c>
      <c r="O139" s="10" t="n">
        <f aca="false">COUNTIFS(Fields!$A$2:$A$1001,B139,Fields!$Z$2:$Z$1001,"A",Fields!$W$2:$W$1001,"Yes")+COUNTIFS(Fields!$A$2:$A$1001,B139,Fields!$Z$2:$Z$1001,"B",Fields!$W$2:$W$1001,"Yes")</f>
        <v>0</v>
      </c>
      <c r="P139" s="11" t="str">
        <f aca="false">IF(L139&gt;0,"A",IF(M139&gt;0,"B",IF(N139&gt;0,"C","")))</f>
        <v/>
      </c>
    </row>
    <row r="140" customFormat="false" ht="15" hidden="false" customHeight="false" outlineLevel="0" collapsed="false">
      <c r="A140" s="8" t="s">
        <v>192</v>
      </c>
      <c r="B140" s="8" t="s">
        <v>207</v>
      </c>
      <c r="C140" s="9"/>
      <c r="D140" s="9" t="s">
        <v>68</v>
      </c>
      <c r="E140" s="9"/>
      <c r="F140" s="9"/>
      <c r="G140" s="9"/>
      <c r="H140" s="9"/>
      <c r="I140" s="9"/>
      <c r="J140" s="10" t="n">
        <f aca="false">COUNTIF(Fields!$A$2:$A$1001,B140)</f>
        <v>0</v>
      </c>
      <c r="K140" s="10" t="n">
        <f aca="false">COUNTIFS(Fields!$A$2:$A$1001,B140,Fields!$T$2:$T$1001,"vetted")</f>
        <v>0</v>
      </c>
      <c r="L140" s="10" t="n">
        <f aca="false">COUNTIFS(Fields!$A$2:$A$1001,B140,Fields!$Z$2:$Z$1001,"A")</f>
        <v>0</v>
      </c>
      <c r="M140" s="10" t="n">
        <f aca="false">COUNTIFS(Fields!$A$2:$A$1001,B140,Fields!$Z$2:$Z$1001,"B")</f>
        <v>0</v>
      </c>
      <c r="N140" s="10" t="n">
        <f aca="false">COUNTIFS(Fields!$A$2:$A$1001,B140,Fields!$Z$2:$Z$1001,"C")</f>
        <v>0</v>
      </c>
      <c r="O140" s="10" t="n">
        <f aca="false">COUNTIFS(Fields!$A$2:$A$1001,B140,Fields!$Z$2:$Z$1001,"A",Fields!$W$2:$W$1001,"Yes")+COUNTIFS(Fields!$A$2:$A$1001,B140,Fields!$Z$2:$Z$1001,"B",Fields!$W$2:$W$1001,"Yes")</f>
        <v>0</v>
      </c>
      <c r="P140" s="11" t="str">
        <f aca="false">IF(L140&gt;0,"A",IF(M140&gt;0,"B",IF(N140&gt;0,"C","")))</f>
        <v/>
      </c>
    </row>
    <row r="141" customFormat="false" ht="15" hidden="false" customHeight="false" outlineLevel="0" collapsed="false">
      <c r="A141" s="8" t="s">
        <v>192</v>
      </c>
      <c r="B141" s="8" t="s">
        <v>208</v>
      </c>
      <c r="C141" s="9"/>
      <c r="D141" s="9" t="s">
        <v>68</v>
      </c>
      <c r="E141" s="9"/>
      <c r="F141" s="9"/>
      <c r="G141" s="9"/>
      <c r="H141" s="9"/>
      <c r="I141" s="9"/>
      <c r="J141" s="10" t="n">
        <f aca="false">COUNTIF(Fields!$A$2:$A$1001,B141)</f>
        <v>0</v>
      </c>
      <c r="K141" s="10" t="n">
        <f aca="false">COUNTIFS(Fields!$A$2:$A$1001,B141,Fields!$T$2:$T$1001,"vetted")</f>
        <v>0</v>
      </c>
      <c r="L141" s="10" t="n">
        <f aca="false">COUNTIFS(Fields!$A$2:$A$1001,B141,Fields!$Z$2:$Z$1001,"A")</f>
        <v>0</v>
      </c>
      <c r="M141" s="10" t="n">
        <f aca="false">COUNTIFS(Fields!$A$2:$A$1001,B141,Fields!$Z$2:$Z$1001,"B")</f>
        <v>0</v>
      </c>
      <c r="N141" s="10" t="n">
        <f aca="false">COUNTIFS(Fields!$A$2:$A$1001,B141,Fields!$Z$2:$Z$1001,"C")</f>
        <v>0</v>
      </c>
      <c r="O141" s="10" t="n">
        <f aca="false">COUNTIFS(Fields!$A$2:$A$1001,B141,Fields!$Z$2:$Z$1001,"A",Fields!$W$2:$W$1001,"Yes")+COUNTIFS(Fields!$A$2:$A$1001,B141,Fields!$Z$2:$Z$1001,"B",Fields!$W$2:$W$1001,"Yes")</f>
        <v>0</v>
      </c>
      <c r="P141" s="11" t="str">
        <f aca="false">IF(L141&gt;0,"A",IF(M141&gt;0,"B",IF(N141&gt;0,"C","")))</f>
        <v/>
      </c>
    </row>
    <row r="142" customFormat="false" ht="15" hidden="false" customHeight="false" outlineLevel="0" collapsed="false">
      <c r="A142" s="8" t="s">
        <v>192</v>
      </c>
      <c r="B142" s="8" t="s">
        <v>209</v>
      </c>
      <c r="C142" s="9"/>
      <c r="D142" s="9" t="s">
        <v>68</v>
      </c>
      <c r="E142" s="9"/>
      <c r="F142" s="9"/>
      <c r="G142" s="9"/>
      <c r="H142" s="9"/>
      <c r="I142" s="9"/>
      <c r="J142" s="10" t="n">
        <f aca="false">COUNTIF(Fields!$A$2:$A$1001,B142)</f>
        <v>0</v>
      </c>
      <c r="K142" s="10" t="n">
        <f aca="false">COUNTIFS(Fields!$A$2:$A$1001,B142,Fields!$T$2:$T$1001,"vetted")</f>
        <v>0</v>
      </c>
      <c r="L142" s="10" t="n">
        <f aca="false">COUNTIFS(Fields!$A$2:$A$1001,B142,Fields!$Z$2:$Z$1001,"A")</f>
        <v>0</v>
      </c>
      <c r="M142" s="10" t="n">
        <f aca="false">COUNTIFS(Fields!$A$2:$A$1001,B142,Fields!$Z$2:$Z$1001,"B")</f>
        <v>0</v>
      </c>
      <c r="N142" s="10" t="n">
        <f aca="false">COUNTIFS(Fields!$A$2:$A$1001,B142,Fields!$Z$2:$Z$1001,"C")</f>
        <v>0</v>
      </c>
      <c r="O142" s="10" t="n">
        <f aca="false">COUNTIFS(Fields!$A$2:$A$1001,B142,Fields!$Z$2:$Z$1001,"A",Fields!$W$2:$W$1001,"Yes")+COUNTIFS(Fields!$A$2:$A$1001,B142,Fields!$Z$2:$Z$1001,"B",Fields!$W$2:$W$1001,"Yes")</f>
        <v>0</v>
      </c>
      <c r="P142" s="11" t="str">
        <f aca="false">IF(L142&gt;0,"A",IF(M142&gt;0,"B",IF(N142&gt;0,"C","")))</f>
        <v/>
      </c>
    </row>
    <row r="143" customFormat="false" ht="15" hidden="false" customHeight="false" outlineLevel="0" collapsed="false">
      <c r="A143" s="8" t="s">
        <v>192</v>
      </c>
      <c r="B143" s="8" t="s">
        <v>210</v>
      </c>
      <c r="C143" s="9"/>
      <c r="D143" s="9" t="s">
        <v>68</v>
      </c>
      <c r="E143" s="9"/>
      <c r="F143" s="9"/>
      <c r="G143" s="9"/>
      <c r="H143" s="9"/>
      <c r="I143" s="9"/>
      <c r="J143" s="10" t="n">
        <f aca="false">COUNTIF(Fields!$A$2:$A$1001,B143)</f>
        <v>0</v>
      </c>
      <c r="K143" s="10" t="n">
        <f aca="false">COUNTIFS(Fields!$A$2:$A$1001,B143,Fields!$T$2:$T$1001,"vetted")</f>
        <v>0</v>
      </c>
      <c r="L143" s="10" t="n">
        <f aca="false">COUNTIFS(Fields!$A$2:$A$1001,B143,Fields!$Z$2:$Z$1001,"A")</f>
        <v>0</v>
      </c>
      <c r="M143" s="10" t="n">
        <f aca="false">COUNTIFS(Fields!$A$2:$A$1001,B143,Fields!$Z$2:$Z$1001,"B")</f>
        <v>0</v>
      </c>
      <c r="N143" s="10" t="n">
        <f aca="false">COUNTIFS(Fields!$A$2:$A$1001,B143,Fields!$Z$2:$Z$1001,"C")</f>
        <v>0</v>
      </c>
      <c r="O143" s="10" t="n">
        <f aca="false">COUNTIFS(Fields!$A$2:$A$1001,B143,Fields!$Z$2:$Z$1001,"A",Fields!$W$2:$W$1001,"Yes")+COUNTIFS(Fields!$A$2:$A$1001,B143,Fields!$Z$2:$Z$1001,"B",Fields!$W$2:$W$1001,"Yes")</f>
        <v>0</v>
      </c>
      <c r="P143" s="11" t="str">
        <f aca="false">IF(L143&gt;0,"A",IF(M143&gt;0,"B",IF(N143&gt;0,"C","")))</f>
        <v/>
      </c>
    </row>
    <row r="144" customFormat="false" ht="15" hidden="false" customHeight="false" outlineLevel="0" collapsed="false">
      <c r="A144" s="8" t="s">
        <v>192</v>
      </c>
      <c r="B144" s="8" t="s">
        <v>211</v>
      </c>
      <c r="C144" s="9"/>
      <c r="D144" s="9" t="s">
        <v>68</v>
      </c>
      <c r="E144" s="9"/>
      <c r="F144" s="9"/>
      <c r="G144" s="9"/>
      <c r="H144" s="9"/>
      <c r="I144" s="9"/>
      <c r="J144" s="10" t="n">
        <f aca="false">COUNTIF(Fields!$A$2:$A$1001,B144)</f>
        <v>0</v>
      </c>
      <c r="K144" s="10" t="n">
        <f aca="false">COUNTIFS(Fields!$A$2:$A$1001,B144,Fields!$T$2:$T$1001,"vetted")</f>
        <v>0</v>
      </c>
      <c r="L144" s="10" t="n">
        <f aca="false">COUNTIFS(Fields!$A$2:$A$1001,B144,Fields!$Z$2:$Z$1001,"A")</f>
        <v>0</v>
      </c>
      <c r="M144" s="10" t="n">
        <f aca="false">COUNTIFS(Fields!$A$2:$A$1001,B144,Fields!$Z$2:$Z$1001,"B")</f>
        <v>0</v>
      </c>
      <c r="N144" s="10" t="n">
        <f aca="false">COUNTIFS(Fields!$A$2:$A$1001,B144,Fields!$Z$2:$Z$1001,"C")</f>
        <v>0</v>
      </c>
      <c r="O144" s="10" t="n">
        <f aca="false">COUNTIFS(Fields!$A$2:$A$1001,B144,Fields!$Z$2:$Z$1001,"A",Fields!$W$2:$W$1001,"Yes")+COUNTIFS(Fields!$A$2:$A$1001,B144,Fields!$Z$2:$Z$1001,"B",Fields!$W$2:$W$1001,"Yes")</f>
        <v>0</v>
      </c>
      <c r="P144" s="11" t="str">
        <f aca="false">IF(L144&gt;0,"A",IF(M144&gt;0,"B",IF(N144&gt;0,"C","")))</f>
        <v/>
      </c>
    </row>
    <row r="145" customFormat="false" ht="15" hidden="false" customHeight="false" outlineLevel="0" collapsed="false">
      <c r="A145" s="8" t="s">
        <v>192</v>
      </c>
      <c r="B145" s="8" t="s">
        <v>212</v>
      </c>
      <c r="C145" s="9"/>
      <c r="D145" s="9" t="s">
        <v>68</v>
      </c>
      <c r="E145" s="9"/>
      <c r="F145" s="9"/>
      <c r="G145" s="9"/>
      <c r="H145" s="9"/>
      <c r="I145" s="9"/>
      <c r="J145" s="10" t="n">
        <f aca="false">COUNTIF(Fields!$A$2:$A$1001,B145)</f>
        <v>0</v>
      </c>
      <c r="K145" s="10" t="n">
        <f aca="false">COUNTIFS(Fields!$A$2:$A$1001,B145,Fields!$T$2:$T$1001,"vetted")</f>
        <v>0</v>
      </c>
      <c r="L145" s="10" t="n">
        <f aca="false">COUNTIFS(Fields!$A$2:$A$1001,B145,Fields!$Z$2:$Z$1001,"A")</f>
        <v>0</v>
      </c>
      <c r="M145" s="10" t="n">
        <f aca="false">COUNTIFS(Fields!$A$2:$A$1001,B145,Fields!$Z$2:$Z$1001,"B")</f>
        <v>0</v>
      </c>
      <c r="N145" s="10" t="n">
        <f aca="false">COUNTIFS(Fields!$A$2:$A$1001,B145,Fields!$Z$2:$Z$1001,"C")</f>
        <v>0</v>
      </c>
      <c r="O145" s="10" t="n">
        <f aca="false">COUNTIFS(Fields!$A$2:$A$1001,B145,Fields!$Z$2:$Z$1001,"A",Fields!$W$2:$W$1001,"Yes")+COUNTIFS(Fields!$A$2:$A$1001,B145,Fields!$Z$2:$Z$1001,"B",Fields!$W$2:$W$1001,"Yes")</f>
        <v>0</v>
      </c>
      <c r="P145" s="11" t="str">
        <f aca="false">IF(L145&gt;0,"A",IF(M145&gt;0,"B",IF(N145&gt;0,"C","")))</f>
        <v/>
      </c>
    </row>
    <row r="146" customFormat="false" ht="15" hidden="false" customHeight="false" outlineLevel="0" collapsed="false">
      <c r="A146" s="8" t="s">
        <v>192</v>
      </c>
      <c r="B146" s="8" t="s">
        <v>213</v>
      </c>
      <c r="C146" s="9"/>
      <c r="D146" s="9" t="s">
        <v>68</v>
      </c>
      <c r="E146" s="9"/>
      <c r="F146" s="9"/>
      <c r="G146" s="9"/>
      <c r="H146" s="9"/>
      <c r="I146" s="9"/>
      <c r="J146" s="10" t="n">
        <f aca="false">COUNTIF(Fields!$A$2:$A$1001,B146)</f>
        <v>0</v>
      </c>
      <c r="K146" s="10" t="n">
        <f aca="false">COUNTIFS(Fields!$A$2:$A$1001,B146,Fields!$T$2:$T$1001,"vetted")</f>
        <v>0</v>
      </c>
      <c r="L146" s="10" t="n">
        <f aca="false">COUNTIFS(Fields!$A$2:$A$1001,B146,Fields!$Z$2:$Z$1001,"A")</f>
        <v>0</v>
      </c>
      <c r="M146" s="10" t="n">
        <f aca="false">COUNTIFS(Fields!$A$2:$A$1001,B146,Fields!$Z$2:$Z$1001,"B")</f>
        <v>0</v>
      </c>
      <c r="N146" s="10" t="n">
        <f aca="false">COUNTIFS(Fields!$A$2:$A$1001,B146,Fields!$Z$2:$Z$1001,"C")</f>
        <v>0</v>
      </c>
      <c r="O146" s="10" t="n">
        <f aca="false">COUNTIFS(Fields!$A$2:$A$1001,B146,Fields!$Z$2:$Z$1001,"A",Fields!$W$2:$W$1001,"Yes")+COUNTIFS(Fields!$A$2:$A$1001,B146,Fields!$Z$2:$Z$1001,"B",Fields!$W$2:$W$1001,"Yes")</f>
        <v>0</v>
      </c>
      <c r="P146" s="11" t="str">
        <f aca="false">IF(L146&gt;0,"A",IF(M146&gt;0,"B",IF(N146&gt;0,"C","")))</f>
        <v/>
      </c>
    </row>
    <row r="147" customFormat="false" ht="15" hidden="false" customHeight="false" outlineLevel="0" collapsed="false">
      <c r="A147" s="8" t="s">
        <v>192</v>
      </c>
      <c r="B147" s="8" t="s">
        <v>214</v>
      </c>
      <c r="C147" s="9"/>
      <c r="D147" s="9" t="s">
        <v>68</v>
      </c>
      <c r="E147" s="9"/>
      <c r="F147" s="9"/>
      <c r="G147" s="9"/>
      <c r="H147" s="9"/>
      <c r="I147" s="9"/>
      <c r="J147" s="10" t="n">
        <f aca="false">COUNTIF(Fields!$A$2:$A$1001,B147)</f>
        <v>0</v>
      </c>
      <c r="K147" s="10" t="n">
        <f aca="false">COUNTIFS(Fields!$A$2:$A$1001,B147,Fields!$T$2:$T$1001,"vetted")</f>
        <v>0</v>
      </c>
      <c r="L147" s="10" t="n">
        <f aca="false">COUNTIFS(Fields!$A$2:$A$1001,B147,Fields!$Z$2:$Z$1001,"A")</f>
        <v>0</v>
      </c>
      <c r="M147" s="10" t="n">
        <f aca="false">COUNTIFS(Fields!$A$2:$A$1001,B147,Fields!$Z$2:$Z$1001,"B")</f>
        <v>0</v>
      </c>
      <c r="N147" s="10" t="n">
        <f aca="false">COUNTIFS(Fields!$A$2:$A$1001,B147,Fields!$Z$2:$Z$1001,"C")</f>
        <v>0</v>
      </c>
      <c r="O147" s="10" t="n">
        <f aca="false">COUNTIFS(Fields!$A$2:$A$1001,B147,Fields!$Z$2:$Z$1001,"A",Fields!$W$2:$W$1001,"Yes")+COUNTIFS(Fields!$A$2:$A$1001,B147,Fields!$Z$2:$Z$1001,"B",Fields!$W$2:$W$1001,"Yes")</f>
        <v>0</v>
      </c>
      <c r="P147" s="11" t="str">
        <f aca="false">IF(L147&gt;0,"A",IF(M147&gt;0,"B",IF(N147&gt;0,"C","")))</f>
        <v/>
      </c>
    </row>
    <row r="148" customFormat="false" ht="15" hidden="false" customHeight="false" outlineLevel="0" collapsed="false">
      <c r="A148" s="8" t="s">
        <v>192</v>
      </c>
      <c r="B148" s="8" t="s">
        <v>215</v>
      </c>
      <c r="C148" s="9"/>
      <c r="D148" s="9" t="s">
        <v>68</v>
      </c>
      <c r="E148" s="9"/>
      <c r="F148" s="9"/>
      <c r="G148" s="9"/>
      <c r="H148" s="9"/>
      <c r="I148" s="9"/>
      <c r="J148" s="10" t="n">
        <f aca="false">COUNTIF(Fields!$A$2:$A$1001,B148)</f>
        <v>0</v>
      </c>
      <c r="K148" s="10" t="n">
        <f aca="false">COUNTIFS(Fields!$A$2:$A$1001,B148,Fields!$T$2:$T$1001,"vetted")</f>
        <v>0</v>
      </c>
      <c r="L148" s="10" t="n">
        <f aca="false">COUNTIFS(Fields!$A$2:$A$1001,B148,Fields!$Z$2:$Z$1001,"A")</f>
        <v>0</v>
      </c>
      <c r="M148" s="10" t="n">
        <f aca="false">COUNTIFS(Fields!$A$2:$A$1001,B148,Fields!$Z$2:$Z$1001,"B")</f>
        <v>0</v>
      </c>
      <c r="N148" s="10" t="n">
        <f aca="false">COUNTIFS(Fields!$A$2:$A$1001,B148,Fields!$Z$2:$Z$1001,"C")</f>
        <v>0</v>
      </c>
      <c r="O148" s="10" t="n">
        <f aca="false">COUNTIFS(Fields!$A$2:$A$1001,B148,Fields!$Z$2:$Z$1001,"A",Fields!$W$2:$W$1001,"Yes")+COUNTIFS(Fields!$A$2:$A$1001,B148,Fields!$Z$2:$Z$1001,"B",Fields!$W$2:$W$1001,"Yes")</f>
        <v>0</v>
      </c>
      <c r="P148" s="11" t="str">
        <f aca="false">IF(L148&gt;0,"A",IF(M148&gt;0,"B",IF(N148&gt;0,"C","")))</f>
        <v/>
      </c>
    </row>
    <row r="149" customFormat="false" ht="15" hidden="false" customHeight="false" outlineLevel="0" collapsed="false">
      <c r="A149" s="8" t="s">
        <v>192</v>
      </c>
      <c r="B149" s="8" t="s">
        <v>216</v>
      </c>
      <c r="C149" s="9"/>
      <c r="D149" s="9" t="s">
        <v>68</v>
      </c>
      <c r="E149" s="9"/>
      <c r="F149" s="9"/>
      <c r="G149" s="9"/>
      <c r="H149" s="9"/>
      <c r="I149" s="9"/>
      <c r="J149" s="10" t="n">
        <f aca="false">COUNTIF(Fields!$A$2:$A$1001,B149)</f>
        <v>0</v>
      </c>
      <c r="K149" s="10" t="n">
        <f aca="false">COUNTIFS(Fields!$A$2:$A$1001,B149,Fields!$T$2:$T$1001,"vetted")</f>
        <v>0</v>
      </c>
      <c r="L149" s="10" t="n">
        <f aca="false">COUNTIFS(Fields!$A$2:$A$1001,B149,Fields!$Z$2:$Z$1001,"A")</f>
        <v>0</v>
      </c>
      <c r="M149" s="10" t="n">
        <f aca="false">COUNTIFS(Fields!$A$2:$A$1001,B149,Fields!$Z$2:$Z$1001,"B")</f>
        <v>0</v>
      </c>
      <c r="N149" s="10" t="n">
        <f aca="false">COUNTIFS(Fields!$A$2:$A$1001,B149,Fields!$Z$2:$Z$1001,"C")</f>
        <v>0</v>
      </c>
      <c r="O149" s="10" t="n">
        <f aca="false">COUNTIFS(Fields!$A$2:$A$1001,B149,Fields!$Z$2:$Z$1001,"A",Fields!$W$2:$W$1001,"Yes")+COUNTIFS(Fields!$A$2:$A$1001,B149,Fields!$Z$2:$Z$1001,"B",Fields!$W$2:$W$1001,"Yes")</f>
        <v>0</v>
      </c>
      <c r="P149" s="11" t="str">
        <f aca="false">IF(L149&gt;0,"A",IF(M149&gt;0,"B",IF(N149&gt;0,"C","")))</f>
        <v/>
      </c>
    </row>
    <row r="150" customFormat="false" ht="15" hidden="false" customHeight="false" outlineLevel="0" collapsed="false">
      <c r="A150" s="8" t="s">
        <v>192</v>
      </c>
      <c r="B150" s="8" t="s">
        <v>217</v>
      </c>
      <c r="C150" s="9"/>
      <c r="D150" s="9" t="s">
        <v>68</v>
      </c>
      <c r="E150" s="9"/>
      <c r="F150" s="9"/>
      <c r="G150" s="9"/>
      <c r="H150" s="9"/>
      <c r="I150" s="9"/>
      <c r="J150" s="10" t="n">
        <f aca="false">COUNTIF(Fields!$A$2:$A$1001,B150)</f>
        <v>0</v>
      </c>
      <c r="K150" s="10" t="n">
        <f aca="false">COUNTIFS(Fields!$A$2:$A$1001,B150,Fields!$T$2:$T$1001,"vetted")</f>
        <v>0</v>
      </c>
      <c r="L150" s="10" t="n">
        <f aca="false">COUNTIFS(Fields!$A$2:$A$1001,B150,Fields!$Z$2:$Z$1001,"A")</f>
        <v>0</v>
      </c>
      <c r="M150" s="10" t="n">
        <f aca="false">COUNTIFS(Fields!$A$2:$A$1001,B150,Fields!$Z$2:$Z$1001,"B")</f>
        <v>0</v>
      </c>
      <c r="N150" s="10" t="n">
        <f aca="false">COUNTIFS(Fields!$A$2:$A$1001,B150,Fields!$Z$2:$Z$1001,"C")</f>
        <v>0</v>
      </c>
      <c r="O150" s="10" t="n">
        <f aca="false">COUNTIFS(Fields!$A$2:$A$1001,B150,Fields!$Z$2:$Z$1001,"A",Fields!$W$2:$W$1001,"Yes")+COUNTIFS(Fields!$A$2:$A$1001,B150,Fields!$Z$2:$Z$1001,"B",Fields!$W$2:$W$1001,"Yes")</f>
        <v>0</v>
      </c>
      <c r="P150" s="11" t="str">
        <f aca="false">IF(L150&gt;0,"A",IF(M150&gt;0,"B",IF(N150&gt;0,"C","")))</f>
        <v/>
      </c>
    </row>
    <row r="151" customFormat="false" ht="15" hidden="false" customHeight="false" outlineLevel="0" collapsed="false">
      <c r="A151" s="8" t="s">
        <v>192</v>
      </c>
      <c r="B151" s="8" t="s">
        <v>218</v>
      </c>
      <c r="C151" s="9"/>
      <c r="D151" s="9" t="s">
        <v>68</v>
      </c>
      <c r="E151" s="9"/>
      <c r="F151" s="9"/>
      <c r="G151" s="9"/>
      <c r="H151" s="9"/>
      <c r="I151" s="9"/>
      <c r="J151" s="10" t="n">
        <f aca="false">COUNTIF(Fields!$A$2:$A$1001,B151)</f>
        <v>0</v>
      </c>
      <c r="K151" s="10" t="n">
        <f aca="false">COUNTIFS(Fields!$A$2:$A$1001,B151,Fields!$T$2:$T$1001,"vetted")</f>
        <v>0</v>
      </c>
      <c r="L151" s="10" t="n">
        <f aca="false">COUNTIFS(Fields!$A$2:$A$1001,B151,Fields!$Z$2:$Z$1001,"A")</f>
        <v>0</v>
      </c>
      <c r="M151" s="10" t="n">
        <f aca="false">COUNTIFS(Fields!$A$2:$A$1001,B151,Fields!$Z$2:$Z$1001,"B")</f>
        <v>0</v>
      </c>
      <c r="N151" s="10" t="n">
        <f aca="false">COUNTIFS(Fields!$A$2:$A$1001,B151,Fields!$Z$2:$Z$1001,"C")</f>
        <v>0</v>
      </c>
      <c r="O151" s="10" t="n">
        <f aca="false">COUNTIFS(Fields!$A$2:$A$1001,B151,Fields!$Z$2:$Z$1001,"A",Fields!$W$2:$W$1001,"Yes")+COUNTIFS(Fields!$A$2:$A$1001,B151,Fields!$Z$2:$Z$1001,"B",Fields!$W$2:$W$1001,"Yes")</f>
        <v>0</v>
      </c>
      <c r="P151" s="11" t="str">
        <f aca="false">IF(L151&gt;0,"A",IF(M151&gt;0,"B",IF(N151&gt;0,"C","")))</f>
        <v/>
      </c>
    </row>
    <row r="152" customFormat="false" ht="15" hidden="false" customHeight="false" outlineLevel="0" collapsed="false">
      <c r="A152" s="8" t="s">
        <v>192</v>
      </c>
      <c r="B152" s="8" t="s">
        <v>219</v>
      </c>
      <c r="C152" s="9"/>
      <c r="D152" s="9" t="s">
        <v>68</v>
      </c>
      <c r="E152" s="9"/>
      <c r="F152" s="9"/>
      <c r="G152" s="9"/>
      <c r="H152" s="9"/>
      <c r="I152" s="9"/>
      <c r="J152" s="10" t="n">
        <f aca="false">COUNTIF(Fields!$A$2:$A$1001,B152)</f>
        <v>0</v>
      </c>
      <c r="K152" s="10" t="n">
        <f aca="false">COUNTIFS(Fields!$A$2:$A$1001,B152,Fields!$T$2:$T$1001,"vetted")</f>
        <v>0</v>
      </c>
      <c r="L152" s="10" t="n">
        <f aca="false">COUNTIFS(Fields!$A$2:$A$1001,B152,Fields!$Z$2:$Z$1001,"A")</f>
        <v>0</v>
      </c>
      <c r="M152" s="10" t="n">
        <f aca="false">COUNTIFS(Fields!$A$2:$A$1001,B152,Fields!$Z$2:$Z$1001,"B")</f>
        <v>0</v>
      </c>
      <c r="N152" s="10" t="n">
        <f aca="false">COUNTIFS(Fields!$A$2:$A$1001,B152,Fields!$Z$2:$Z$1001,"C")</f>
        <v>0</v>
      </c>
      <c r="O152" s="10" t="n">
        <f aca="false">COUNTIFS(Fields!$A$2:$A$1001,B152,Fields!$Z$2:$Z$1001,"A",Fields!$W$2:$W$1001,"Yes")+COUNTIFS(Fields!$A$2:$A$1001,B152,Fields!$Z$2:$Z$1001,"B",Fields!$W$2:$W$1001,"Yes")</f>
        <v>0</v>
      </c>
      <c r="P152" s="11" t="str">
        <f aca="false">IF(L152&gt;0,"A",IF(M152&gt;0,"B",IF(N152&gt;0,"C","")))</f>
        <v/>
      </c>
    </row>
    <row r="153" customFormat="false" ht="15" hidden="false" customHeight="false" outlineLevel="0" collapsed="false">
      <c r="A153" s="8" t="s">
        <v>192</v>
      </c>
      <c r="B153" s="8" t="s">
        <v>220</v>
      </c>
      <c r="C153" s="9"/>
      <c r="D153" s="9" t="s">
        <v>68</v>
      </c>
      <c r="E153" s="9"/>
      <c r="F153" s="9"/>
      <c r="G153" s="9"/>
      <c r="H153" s="9"/>
      <c r="I153" s="9"/>
      <c r="J153" s="10" t="n">
        <f aca="false">COUNTIF(Fields!$A$2:$A$1001,B153)</f>
        <v>0</v>
      </c>
      <c r="K153" s="10" t="n">
        <f aca="false">COUNTIFS(Fields!$A$2:$A$1001,B153,Fields!$T$2:$T$1001,"vetted")</f>
        <v>0</v>
      </c>
      <c r="L153" s="10" t="n">
        <f aca="false">COUNTIFS(Fields!$A$2:$A$1001,B153,Fields!$Z$2:$Z$1001,"A")</f>
        <v>0</v>
      </c>
      <c r="M153" s="10" t="n">
        <f aca="false">COUNTIFS(Fields!$A$2:$A$1001,B153,Fields!$Z$2:$Z$1001,"B")</f>
        <v>0</v>
      </c>
      <c r="N153" s="10" t="n">
        <f aca="false">COUNTIFS(Fields!$A$2:$A$1001,B153,Fields!$Z$2:$Z$1001,"C")</f>
        <v>0</v>
      </c>
      <c r="O153" s="10" t="n">
        <f aca="false">COUNTIFS(Fields!$A$2:$A$1001,B153,Fields!$Z$2:$Z$1001,"A",Fields!$W$2:$W$1001,"Yes")+COUNTIFS(Fields!$A$2:$A$1001,B153,Fields!$Z$2:$Z$1001,"B",Fields!$W$2:$W$1001,"Yes")</f>
        <v>0</v>
      </c>
      <c r="P153" s="11" t="str">
        <f aca="false">IF(L153&gt;0,"A",IF(M153&gt;0,"B",IF(N153&gt;0,"C","")))</f>
        <v/>
      </c>
    </row>
    <row r="154" customFormat="false" ht="15" hidden="false" customHeight="false" outlineLevel="0" collapsed="false">
      <c r="A154" s="8" t="s">
        <v>192</v>
      </c>
      <c r="B154" s="8" t="s">
        <v>221</v>
      </c>
      <c r="C154" s="9"/>
      <c r="D154" s="9" t="s">
        <v>68</v>
      </c>
      <c r="E154" s="9"/>
      <c r="F154" s="9"/>
      <c r="G154" s="9"/>
      <c r="H154" s="9"/>
      <c r="I154" s="9"/>
      <c r="J154" s="10" t="n">
        <f aca="false">COUNTIF(Fields!$A$2:$A$1001,B154)</f>
        <v>0</v>
      </c>
      <c r="K154" s="10" t="n">
        <f aca="false">COUNTIFS(Fields!$A$2:$A$1001,B154,Fields!$T$2:$T$1001,"vetted")</f>
        <v>0</v>
      </c>
      <c r="L154" s="10" t="n">
        <f aca="false">COUNTIFS(Fields!$A$2:$A$1001,B154,Fields!$Z$2:$Z$1001,"A")</f>
        <v>0</v>
      </c>
      <c r="M154" s="10" t="n">
        <f aca="false">COUNTIFS(Fields!$A$2:$A$1001,B154,Fields!$Z$2:$Z$1001,"B")</f>
        <v>0</v>
      </c>
      <c r="N154" s="10" t="n">
        <f aca="false">COUNTIFS(Fields!$A$2:$A$1001,B154,Fields!$Z$2:$Z$1001,"C")</f>
        <v>0</v>
      </c>
      <c r="O154" s="10" t="n">
        <f aca="false">COUNTIFS(Fields!$A$2:$A$1001,B154,Fields!$Z$2:$Z$1001,"A",Fields!$W$2:$W$1001,"Yes")+COUNTIFS(Fields!$A$2:$A$1001,B154,Fields!$Z$2:$Z$1001,"B",Fields!$W$2:$W$1001,"Yes")</f>
        <v>0</v>
      </c>
      <c r="P154" s="11" t="str">
        <f aca="false">IF(L154&gt;0,"A",IF(M154&gt;0,"B",IF(N154&gt;0,"C","")))</f>
        <v/>
      </c>
    </row>
    <row r="155" customFormat="false" ht="15" hidden="false" customHeight="false" outlineLevel="0" collapsed="false">
      <c r="A155" s="8" t="s">
        <v>192</v>
      </c>
      <c r="B155" s="8" t="s">
        <v>222</v>
      </c>
      <c r="C155" s="9"/>
      <c r="D155" s="9" t="s">
        <v>68</v>
      </c>
      <c r="E155" s="9"/>
      <c r="F155" s="9"/>
      <c r="G155" s="9"/>
      <c r="H155" s="9"/>
      <c r="I155" s="9"/>
      <c r="J155" s="10" t="n">
        <f aca="false">COUNTIF(Fields!$A$2:$A$1001,B155)</f>
        <v>0</v>
      </c>
      <c r="K155" s="10" t="n">
        <f aca="false">COUNTIFS(Fields!$A$2:$A$1001,B155,Fields!$T$2:$T$1001,"vetted")</f>
        <v>0</v>
      </c>
      <c r="L155" s="10" t="n">
        <f aca="false">COUNTIFS(Fields!$A$2:$A$1001,B155,Fields!$Z$2:$Z$1001,"A")</f>
        <v>0</v>
      </c>
      <c r="M155" s="10" t="n">
        <f aca="false">COUNTIFS(Fields!$A$2:$A$1001,B155,Fields!$Z$2:$Z$1001,"B")</f>
        <v>0</v>
      </c>
      <c r="N155" s="10" t="n">
        <f aca="false">COUNTIFS(Fields!$A$2:$A$1001,B155,Fields!$Z$2:$Z$1001,"C")</f>
        <v>0</v>
      </c>
      <c r="O155" s="10" t="n">
        <f aca="false">COUNTIFS(Fields!$A$2:$A$1001,B155,Fields!$Z$2:$Z$1001,"A",Fields!$W$2:$W$1001,"Yes")+COUNTIFS(Fields!$A$2:$A$1001,B155,Fields!$Z$2:$Z$1001,"B",Fields!$W$2:$W$1001,"Yes")</f>
        <v>0</v>
      </c>
      <c r="P155" s="11" t="str">
        <f aca="false">IF(L155&gt;0,"A",IF(M155&gt;0,"B",IF(N155&gt;0,"C","")))</f>
        <v/>
      </c>
    </row>
    <row r="156" customFormat="false" ht="15" hidden="false" customHeight="false" outlineLevel="0" collapsed="false">
      <c r="A156" s="8" t="s">
        <v>192</v>
      </c>
      <c r="B156" s="8" t="s">
        <v>223</v>
      </c>
      <c r="C156" s="9"/>
      <c r="D156" s="9" t="s">
        <v>68</v>
      </c>
      <c r="E156" s="9"/>
      <c r="F156" s="9"/>
      <c r="G156" s="9"/>
      <c r="H156" s="9"/>
      <c r="I156" s="9"/>
      <c r="J156" s="10" t="n">
        <f aca="false">COUNTIF(Fields!$A$2:$A$1001,B156)</f>
        <v>0</v>
      </c>
      <c r="K156" s="10" t="n">
        <f aca="false">COUNTIFS(Fields!$A$2:$A$1001,B156,Fields!$T$2:$T$1001,"vetted")</f>
        <v>0</v>
      </c>
      <c r="L156" s="10" t="n">
        <f aca="false">COUNTIFS(Fields!$A$2:$A$1001,B156,Fields!$Z$2:$Z$1001,"A")</f>
        <v>0</v>
      </c>
      <c r="M156" s="10" t="n">
        <f aca="false">COUNTIFS(Fields!$A$2:$A$1001,B156,Fields!$Z$2:$Z$1001,"B")</f>
        <v>0</v>
      </c>
      <c r="N156" s="10" t="n">
        <f aca="false">COUNTIFS(Fields!$A$2:$A$1001,B156,Fields!$Z$2:$Z$1001,"C")</f>
        <v>0</v>
      </c>
      <c r="O156" s="10" t="n">
        <f aca="false">COUNTIFS(Fields!$A$2:$A$1001,B156,Fields!$Z$2:$Z$1001,"A",Fields!$W$2:$W$1001,"Yes")+COUNTIFS(Fields!$A$2:$A$1001,B156,Fields!$Z$2:$Z$1001,"B",Fields!$W$2:$W$1001,"Yes")</f>
        <v>0</v>
      </c>
      <c r="P156" s="11" t="str">
        <f aca="false">IF(L156&gt;0,"A",IF(M156&gt;0,"B",IF(N156&gt;0,"C","")))</f>
        <v/>
      </c>
    </row>
    <row r="157" customFormat="false" ht="15" hidden="false" customHeight="false" outlineLevel="0" collapsed="false">
      <c r="A157" s="8" t="s">
        <v>192</v>
      </c>
      <c r="B157" s="8" t="s">
        <v>224</v>
      </c>
      <c r="C157" s="9"/>
      <c r="D157" s="9" t="s">
        <v>68</v>
      </c>
      <c r="E157" s="9"/>
      <c r="F157" s="9"/>
      <c r="G157" s="9"/>
      <c r="H157" s="9"/>
      <c r="I157" s="9"/>
      <c r="J157" s="10" t="n">
        <f aca="false">COUNTIF(Fields!$A$2:$A$1001,B157)</f>
        <v>0</v>
      </c>
      <c r="K157" s="10" t="n">
        <f aca="false">COUNTIFS(Fields!$A$2:$A$1001,B157,Fields!$T$2:$T$1001,"vetted")</f>
        <v>0</v>
      </c>
      <c r="L157" s="10" t="n">
        <f aca="false">COUNTIFS(Fields!$A$2:$A$1001,B157,Fields!$Z$2:$Z$1001,"A")</f>
        <v>0</v>
      </c>
      <c r="M157" s="10" t="n">
        <f aca="false">COUNTIFS(Fields!$A$2:$A$1001,B157,Fields!$Z$2:$Z$1001,"B")</f>
        <v>0</v>
      </c>
      <c r="N157" s="10" t="n">
        <f aca="false">COUNTIFS(Fields!$A$2:$A$1001,B157,Fields!$Z$2:$Z$1001,"C")</f>
        <v>0</v>
      </c>
      <c r="O157" s="10" t="n">
        <f aca="false">COUNTIFS(Fields!$A$2:$A$1001,B157,Fields!$Z$2:$Z$1001,"A",Fields!$W$2:$W$1001,"Yes")+COUNTIFS(Fields!$A$2:$A$1001,B157,Fields!$Z$2:$Z$1001,"B",Fields!$W$2:$W$1001,"Yes")</f>
        <v>0</v>
      </c>
      <c r="P157" s="11" t="str">
        <f aca="false">IF(L157&gt;0,"A",IF(M157&gt;0,"B",IF(N157&gt;0,"C","")))</f>
        <v/>
      </c>
    </row>
    <row r="158" customFormat="false" ht="15" hidden="false" customHeight="false" outlineLevel="0" collapsed="false">
      <c r="A158" s="8" t="s">
        <v>192</v>
      </c>
      <c r="B158" s="8" t="s">
        <v>225</v>
      </c>
      <c r="C158" s="9"/>
      <c r="D158" s="9" t="s">
        <v>68</v>
      </c>
      <c r="E158" s="9"/>
      <c r="F158" s="9"/>
      <c r="G158" s="9"/>
      <c r="H158" s="9"/>
      <c r="I158" s="9"/>
      <c r="J158" s="10" t="n">
        <f aca="false">COUNTIF(Fields!$A$2:$A$1001,B158)</f>
        <v>0</v>
      </c>
      <c r="K158" s="10" t="n">
        <f aca="false">COUNTIFS(Fields!$A$2:$A$1001,B158,Fields!$T$2:$T$1001,"vetted")</f>
        <v>0</v>
      </c>
      <c r="L158" s="10" t="n">
        <f aca="false">COUNTIFS(Fields!$A$2:$A$1001,B158,Fields!$Z$2:$Z$1001,"A")</f>
        <v>0</v>
      </c>
      <c r="M158" s="10" t="n">
        <f aca="false">COUNTIFS(Fields!$A$2:$A$1001,B158,Fields!$Z$2:$Z$1001,"B")</f>
        <v>0</v>
      </c>
      <c r="N158" s="10" t="n">
        <f aca="false">COUNTIFS(Fields!$A$2:$A$1001,B158,Fields!$Z$2:$Z$1001,"C")</f>
        <v>0</v>
      </c>
      <c r="O158" s="10" t="n">
        <f aca="false">COUNTIFS(Fields!$A$2:$A$1001,B158,Fields!$Z$2:$Z$1001,"A",Fields!$W$2:$W$1001,"Yes")+COUNTIFS(Fields!$A$2:$A$1001,B158,Fields!$Z$2:$Z$1001,"B",Fields!$W$2:$W$1001,"Yes")</f>
        <v>0</v>
      </c>
      <c r="P158" s="11" t="str">
        <f aca="false">IF(L158&gt;0,"A",IF(M158&gt;0,"B",IF(N158&gt;0,"C","")))</f>
        <v/>
      </c>
    </row>
    <row r="159" customFormat="false" ht="15" hidden="false" customHeight="false" outlineLevel="0" collapsed="false">
      <c r="A159" s="8" t="s">
        <v>192</v>
      </c>
      <c r="B159" s="8" t="s">
        <v>226</v>
      </c>
      <c r="C159" s="9"/>
      <c r="D159" s="9" t="s">
        <v>68</v>
      </c>
      <c r="E159" s="9"/>
      <c r="F159" s="9"/>
      <c r="G159" s="9"/>
      <c r="H159" s="9"/>
      <c r="I159" s="9"/>
      <c r="J159" s="10" t="n">
        <f aca="false">COUNTIF(Fields!$A$2:$A$1001,B159)</f>
        <v>0</v>
      </c>
      <c r="K159" s="10" t="n">
        <f aca="false">COUNTIFS(Fields!$A$2:$A$1001,B159,Fields!$T$2:$T$1001,"vetted")</f>
        <v>0</v>
      </c>
      <c r="L159" s="10" t="n">
        <f aca="false">COUNTIFS(Fields!$A$2:$A$1001,B159,Fields!$Z$2:$Z$1001,"A")</f>
        <v>0</v>
      </c>
      <c r="M159" s="10" t="n">
        <f aca="false">COUNTIFS(Fields!$A$2:$A$1001,B159,Fields!$Z$2:$Z$1001,"B")</f>
        <v>0</v>
      </c>
      <c r="N159" s="10" t="n">
        <f aca="false">COUNTIFS(Fields!$A$2:$A$1001,B159,Fields!$Z$2:$Z$1001,"C")</f>
        <v>0</v>
      </c>
      <c r="O159" s="10" t="n">
        <f aca="false">COUNTIFS(Fields!$A$2:$A$1001,B159,Fields!$Z$2:$Z$1001,"A",Fields!$W$2:$W$1001,"Yes")+COUNTIFS(Fields!$A$2:$A$1001,B159,Fields!$Z$2:$Z$1001,"B",Fields!$W$2:$W$1001,"Yes")</f>
        <v>0</v>
      </c>
      <c r="P159" s="11" t="str">
        <f aca="false">IF(L159&gt;0,"A",IF(M159&gt;0,"B",IF(N159&gt;0,"C","")))</f>
        <v/>
      </c>
    </row>
    <row r="160" customFormat="false" ht="15" hidden="false" customHeight="false" outlineLevel="0" collapsed="false">
      <c r="A160" s="8" t="s">
        <v>192</v>
      </c>
      <c r="B160" s="8" t="s">
        <v>227</v>
      </c>
      <c r="C160" s="9"/>
      <c r="D160" s="9" t="s">
        <v>68</v>
      </c>
      <c r="E160" s="9"/>
      <c r="F160" s="9"/>
      <c r="G160" s="9"/>
      <c r="H160" s="9"/>
      <c r="I160" s="9"/>
      <c r="J160" s="10" t="n">
        <f aca="false">COUNTIF(Fields!$A$2:$A$1001,B160)</f>
        <v>0</v>
      </c>
      <c r="K160" s="10" t="n">
        <f aca="false">COUNTIFS(Fields!$A$2:$A$1001,B160,Fields!$T$2:$T$1001,"vetted")</f>
        <v>0</v>
      </c>
      <c r="L160" s="10" t="n">
        <f aca="false">COUNTIFS(Fields!$A$2:$A$1001,B160,Fields!$Z$2:$Z$1001,"A")</f>
        <v>0</v>
      </c>
      <c r="M160" s="10" t="n">
        <f aca="false">COUNTIFS(Fields!$A$2:$A$1001,B160,Fields!$Z$2:$Z$1001,"B")</f>
        <v>0</v>
      </c>
      <c r="N160" s="10" t="n">
        <f aca="false">COUNTIFS(Fields!$A$2:$A$1001,B160,Fields!$Z$2:$Z$1001,"C")</f>
        <v>0</v>
      </c>
      <c r="O160" s="10" t="n">
        <f aca="false">COUNTIFS(Fields!$A$2:$A$1001,B160,Fields!$Z$2:$Z$1001,"A",Fields!$W$2:$W$1001,"Yes")+COUNTIFS(Fields!$A$2:$A$1001,B160,Fields!$Z$2:$Z$1001,"B",Fields!$W$2:$W$1001,"Yes")</f>
        <v>0</v>
      </c>
      <c r="P160" s="11" t="str">
        <f aca="false">IF(L160&gt;0,"A",IF(M160&gt;0,"B",IF(N160&gt;0,"C","")))</f>
        <v/>
      </c>
    </row>
    <row r="161" customFormat="false" ht="15" hidden="false" customHeight="false" outlineLevel="0" collapsed="false">
      <c r="A161" s="8" t="s">
        <v>192</v>
      </c>
      <c r="B161" s="8" t="s">
        <v>228</v>
      </c>
      <c r="C161" s="9"/>
      <c r="D161" s="9" t="s">
        <v>68</v>
      </c>
      <c r="E161" s="9"/>
      <c r="F161" s="9"/>
      <c r="G161" s="9"/>
      <c r="H161" s="9"/>
      <c r="I161" s="9"/>
      <c r="J161" s="10" t="n">
        <f aca="false">COUNTIF(Fields!$A$2:$A$1001,B161)</f>
        <v>0</v>
      </c>
      <c r="K161" s="10" t="n">
        <f aca="false">COUNTIFS(Fields!$A$2:$A$1001,B161,Fields!$T$2:$T$1001,"vetted")</f>
        <v>0</v>
      </c>
      <c r="L161" s="10" t="n">
        <f aca="false">COUNTIFS(Fields!$A$2:$A$1001,B161,Fields!$Z$2:$Z$1001,"A")</f>
        <v>0</v>
      </c>
      <c r="M161" s="10" t="n">
        <f aca="false">COUNTIFS(Fields!$A$2:$A$1001,B161,Fields!$Z$2:$Z$1001,"B")</f>
        <v>0</v>
      </c>
      <c r="N161" s="10" t="n">
        <f aca="false">COUNTIFS(Fields!$A$2:$A$1001,B161,Fields!$Z$2:$Z$1001,"C")</f>
        <v>0</v>
      </c>
      <c r="O161" s="10" t="n">
        <f aca="false">COUNTIFS(Fields!$A$2:$A$1001,B161,Fields!$Z$2:$Z$1001,"A",Fields!$W$2:$W$1001,"Yes")+COUNTIFS(Fields!$A$2:$A$1001,B161,Fields!$Z$2:$Z$1001,"B",Fields!$W$2:$W$1001,"Yes")</f>
        <v>0</v>
      </c>
      <c r="P161" s="11" t="str">
        <f aca="false">IF(L161&gt;0,"A",IF(M161&gt;0,"B",IF(N161&gt;0,"C","")))</f>
        <v/>
      </c>
    </row>
    <row r="162" customFormat="false" ht="15" hidden="false" customHeight="false" outlineLevel="0" collapsed="false">
      <c r="A162" s="8" t="s">
        <v>192</v>
      </c>
      <c r="B162" s="8" t="s">
        <v>229</v>
      </c>
      <c r="C162" s="9"/>
      <c r="D162" s="9" t="s">
        <v>68</v>
      </c>
      <c r="E162" s="9"/>
      <c r="F162" s="9"/>
      <c r="G162" s="9"/>
      <c r="H162" s="9"/>
      <c r="I162" s="9"/>
      <c r="J162" s="10" t="n">
        <f aca="false">COUNTIF(Fields!$A$2:$A$1001,B162)</f>
        <v>0</v>
      </c>
      <c r="K162" s="10" t="n">
        <f aca="false">COUNTIFS(Fields!$A$2:$A$1001,B162,Fields!$T$2:$T$1001,"vetted")</f>
        <v>0</v>
      </c>
      <c r="L162" s="10" t="n">
        <f aca="false">COUNTIFS(Fields!$A$2:$A$1001,B162,Fields!$Z$2:$Z$1001,"A")</f>
        <v>0</v>
      </c>
      <c r="M162" s="10" t="n">
        <f aca="false">COUNTIFS(Fields!$A$2:$A$1001,B162,Fields!$Z$2:$Z$1001,"B")</f>
        <v>0</v>
      </c>
      <c r="N162" s="10" t="n">
        <f aca="false">COUNTIFS(Fields!$A$2:$A$1001,B162,Fields!$Z$2:$Z$1001,"C")</f>
        <v>0</v>
      </c>
      <c r="O162" s="10" t="n">
        <f aca="false">COUNTIFS(Fields!$A$2:$A$1001,B162,Fields!$Z$2:$Z$1001,"A",Fields!$W$2:$W$1001,"Yes")+COUNTIFS(Fields!$A$2:$A$1001,B162,Fields!$Z$2:$Z$1001,"B",Fields!$W$2:$W$1001,"Yes")</f>
        <v>0</v>
      </c>
      <c r="P162" s="11" t="str">
        <f aca="false">IF(L162&gt;0,"A",IF(M162&gt;0,"B",IF(N162&gt;0,"C","")))</f>
        <v/>
      </c>
    </row>
    <row r="163" customFormat="false" ht="15" hidden="false" customHeight="false" outlineLevel="0" collapsed="false">
      <c r="A163" s="8" t="s">
        <v>192</v>
      </c>
      <c r="B163" s="8" t="s">
        <v>230</v>
      </c>
      <c r="C163" s="9"/>
      <c r="D163" s="9" t="s">
        <v>68</v>
      </c>
      <c r="E163" s="9"/>
      <c r="F163" s="9"/>
      <c r="G163" s="9"/>
      <c r="H163" s="9"/>
      <c r="I163" s="9"/>
      <c r="J163" s="10" t="n">
        <f aca="false">COUNTIF(Fields!$A$2:$A$1001,B163)</f>
        <v>0</v>
      </c>
      <c r="K163" s="10" t="n">
        <f aca="false">COUNTIFS(Fields!$A$2:$A$1001,B163,Fields!$T$2:$T$1001,"vetted")</f>
        <v>0</v>
      </c>
      <c r="L163" s="10" t="n">
        <f aca="false">COUNTIFS(Fields!$A$2:$A$1001,B163,Fields!$Z$2:$Z$1001,"A")</f>
        <v>0</v>
      </c>
      <c r="M163" s="10" t="n">
        <f aca="false">COUNTIFS(Fields!$A$2:$A$1001,B163,Fields!$Z$2:$Z$1001,"B")</f>
        <v>0</v>
      </c>
      <c r="N163" s="10" t="n">
        <f aca="false">COUNTIFS(Fields!$A$2:$A$1001,B163,Fields!$Z$2:$Z$1001,"C")</f>
        <v>0</v>
      </c>
      <c r="O163" s="10" t="n">
        <f aca="false">COUNTIFS(Fields!$A$2:$A$1001,B163,Fields!$Z$2:$Z$1001,"A",Fields!$W$2:$W$1001,"Yes")+COUNTIFS(Fields!$A$2:$A$1001,B163,Fields!$Z$2:$Z$1001,"B",Fields!$W$2:$W$1001,"Yes")</f>
        <v>0</v>
      </c>
      <c r="P163" s="11" t="str">
        <f aca="false">IF(L163&gt;0,"A",IF(M163&gt;0,"B",IF(N163&gt;0,"C","")))</f>
        <v/>
      </c>
    </row>
    <row r="164" customFormat="false" ht="15" hidden="false" customHeight="false" outlineLevel="0" collapsed="false">
      <c r="A164" s="8" t="s">
        <v>192</v>
      </c>
      <c r="B164" s="8" t="s">
        <v>231</v>
      </c>
      <c r="C164" s="9"/>
      <c r="D164" s="9" t="s">
        <v>68</v>
      </c>
      <c r="E164" s="9"/>
      <c r="F164" s="9"/>
      <c r="G164" s="9"/>
      <c r="H164" s="9"/>
      <c r="I164" s="9"/>
      <c r="J164" s="10" t="n">
        <f aca="false">COUNTIF(Fields!$A$2:$A$1001,B164)</f>
        <v>0</v>
      </c>
      <c r="K164" s="10" t="n">
        <f aca="false">COUNTIFS(Fields!$A$2:$A$1001,B164,Fields!$T$2:$T$1001,"vetted")</f>
        <v>0</v>
      </c>
      <c r="L164" s="10" t="n">
        <f aca="false">COUNTIFS(Fields!$A$2:$A$1001,B164,Fields!$Z$2:$Z$1001,"A")</f>
        <v>0</v>
      </c>
      <c r="M164" s="10" t="n">
        <f aca="false">COUNTIFS(Fields!$A$2:$A$1001,B164,Fields!$Z$2:$Z$1001,"B")</f>
        <v>0</v>
      </c>
      <c r="N164" s="10" t="n">
        <f aca="false">COUNTIFS(Fields!$A$2:$A$1001,B164,Fields!$Z$2:$Z$1001,"C")</f>
        <v>0</v>
      </c>
      <c r="O164" s="10" t="n">
        <f aca="false">COUNTIFS(Fields!$A$2:$A$1001,B164,Fields!$Z$2:$Z$1001,"A",Fields!$W$2:$W$1001,"Yes")+COUNTIFS(Fields!$A$2:$A$1001,B164,Fields!$Z$2:$Z$1001,"B",Fields!$W$2:$W$1001,"Yes")</f>
        <v>0</v>
      </c>
      <c r="P164" s="11" t="str">
        <f aca="false">IF(L164&gt;0,"A",IF(M164&gt;0,"B",IF(N164&gt;0,"C","")))</f>
        <v/>
      </c>
    </row>
    <row r="165" customFormat="false" ht="15" hidden="false" customHeight="false" outlineLevel="0" collapsed="false">
      <c r="A165" s="8" t="s">
        <v>192</v>
      </c>
      <c r="B165" s="8" t="s">
        <v>232</v>
      </c>
      <c r="C165" s="9"/>
      <c r="D165" s="9" t="s">
        <v>68</v>
      </c>
      <c r="E165" s="9"/>
      <c r="F165" s="9"/>
      <c r="G165" s="9"/>
      <c r="H165" s="9"/>
      <c r="I165" s="9"/>
      <c r="J165" s="10" t="n">
        <f aca="false">COUNTIF(Fields!$A$2:$A$1001,B165)</f>
        <v>0</v>
      </c>
      <c r="K165" s="10" t="n">
        <f aca="false">COUNTIFS(Fields!$A$2:$A$1001,B165,Fields!$T$2:$T$1001,"vetted")</f>
        <v>0</v>
      </c>
      <c r="L165" s="10" t="n">
        <f aca="false">COUNTIFS(Fields!$A$2:$A$1001,B165,Fields!$Z$2:$Z$1001,"A")</f>
        <v>0</v>
      </c>
      <c r="M165" s="10" t="n">
        <f aca="false">COUNTIFS(Fields!$A$2:$A$1001,B165,Fields!$Z$2:$Z$1001,"B")</f>
        <v>0</v>
      </c>
      <c r="N165" s="10" t="n">
        <f aca="false">COUNTIFS(Fields!$A$2:$A$1001,B165,Fields!$Z$2:$Z$1001,"C")</f>
        <v>0</v>
      </c>
      <c r="O165" s="10" t="n">
        <f aca="false">COUNTIFS(Fields!$A$2:$A$1001,B165,Fields!$Z$2:$Z$1001,"A",Fields!$W$2:$W$1001,"Yes")+COUNTIFS(Fields!$A$2:$A$1001,B165,Fields!$Z$2:$Z$1001,"B",Fields!$W$2:$W$1001,"Yes")</f>
        <v>0</v>
      </c>
      <c r="P165" s="11" t="str">
        <f aca="false">IF(L165&gt;0,"A",IF(M165&gt;0,"B",IF(N165&gt;0,"C","")))</f>
        <v/>
      </c>
    </row>
    <row r="166" customFormat="false" ht="15" hidden="false" customHeight="false" outlineLevel="0" collapsed="false">
      <c r="A166" s="8" t="s">
        <v>192</v>
      </c>
      <c r="B166" s="8" t="s">
        <v>233</v>
      </c>
      <c r="C166" s="9"/>
      <c r="D166" s="9" t="s">
        <v>68</v>
      </c>
      <c r="E166" s="9"/>
      <c r="F166" s="9"/>
      <c r="G166" s="9"/>
      <c r="H166" s="9"/>
      <c r="I166" s="9"/>
      <c r="J166" s="10" t="n">
        <f aca="false">COUNTIF(Fields!$A$2:$A$1001,B166)</f>
        <v>0</v>
      </c>
      <c r="K166" s="10" t="n">
        <f aca="false">COUNTIFS(Fields!$A$2:$A$1001,B166,Fields!$T$2:$T$1001,"vetted")</f>
        <v>0</v>
      </c>
      <c r="L166" s="10" t="n">
        <f aca="false">COUNTIFS(Fields!$A$2:$A$1001,B166,Fields!$Z$2:$Z$1001,"A")</f>
        <v>0</v>
      </c>
      <c r="M166" s="10" t="n">
        <f aca="false">COUNTIFS(Fields!$A$2:$A$1001,B166,Fields!$Z$2:$Z$1001,"B")</f>
        <v>0</v>
      </c>
      <c r="N166" s="10" t="n">
        <f aca="false">COUNTIFS(Fields!$A$2:$A$1001,B166,Fields!$Z$2:$Z$1001,"C")</f>
        <v>0</v>
      </c>
      <c r="O166" s="10" t="n">
        <f aca="false">COUNTIFS(Fields!$A$2:$A$1001,B166,Fields!$Z$2:$Z$1001,"A",Fields!$W$2:$W$1001,"Yes")+COUNTIFS(Fields!$A$2:$A$1001,B166,Fields!$Z$2:$Z$1001,"B",Fields!$W$2:$W$1001,"Yes")</f>
        <v>0</v>
      </c>
      <c r="P166" s="11" t="str">
        <f aca="false">IF(L166&gt;0,"A",IF(M166&gt;0,"B",IF(N166&gt;0,"C","")))</f>
        <v/>
      </c>
    </row>
    <row r="167" customFormat="false" ht="15" hidden="false" customHeight="false" outlineLevel="0" collapsed="false">
      <c r="A167" s="8" t="s">
        <v>192</v>
      </c>
      <c r="B167" s="8" t="s">
        <v>234</v>
      </c>
      <c r="C167" s="9"/>
      <c r="D167" s="9" t="s">
        <v>68</v>
      </c>
      <c r="E167" s="9"/>
      <c r="F167" s="9"/>
      <c r="G167" s="9"/>
      <c r="H167" s="9"/>
      <c r="I167" s="9"/>
      <c r="J167" s="10" t="n">
        <f aca="false">COUNTIF(Fields!$A$2:$A$1001,B167)</f>
        <v>0</v>
      </c>
      <c r="K167" s="10" t="n">
        <f aca="false">COUNTIFS(Fields!$A$2:$A$1001,B167,Fields!$T$2:$T$1001,"vetted")</f>
        <v>0</v>
      </c>
      <c r="L167" s="10" t="n">
        <f aca="false">COUNTIFS(Fields!$A$2:$A$1001,B167,Fields!$Z$2:$Z$1001,"A")</f>
        <v>0</v>
      </c>
      <c r="M167" s="10" t="n">
        <f aca="false">COUNTIFS(Fields!$A$2:$A$1001,B167,Fields!$Z$2:$Z$1001,"B")</f>
        <v>0</v>
      </c>
      <c r="N167" s="10" t="n">
        <f aca="false">COUNTIFS(Fields!$A$2:$A$1001,B167,Fields!$Z$2:$Z$1001,"C")</f>
        <v>0</v>
      </c>
      <c r="O167" s="10" t="n">
        <f aca="false">COUNTIFS(Fields!$A$2:$A$1001,B167,Fields!$Z$2:$Z$1001,"A",Fields!$W$2:$W$1001,"Yes")+COUNTIFS(Fields!$A$2:$A$1001,B167,Fields!$Z$2:$Z$1001,"B",Fields!$W$2:$W$1001,"Yes")</f>
        <v>0</v>
      </c>
      <c r="P167" s="11" t="str">
        <f aca="false">IF(L167&gt;0,"A",IF(M167&gt;0,"B",IF(N167&gt;0,"C","")))</f>
        <v/>
      </c>
    </row>
    <row r="168" customFormat="false" ht="15" hidden="false" customHeight="false" outlineLevel="0" collapsed="false">
      <c r="A168" s="8" t="s">
        <v>192</v>
      </c>
      <c r="B168" s="8" t="s">
        <v>235</v>
      </c>
      <c r="C168" s="9"/>
      <c r="D168" s="9" t="s">
        <v>68</v>
      </c>
      <c r="E168" s="9"/>
      <c r="F168" s="9"/>
      <c r="G168" s="9"/>
      <c r="H168" s="9"/>
      <c r="I168" s="9"/>
      <c r="J168" s="10" t="n">
        <f aca="false">COUNTIF(Fields!$A$2:$A$1001,B168)</f>
        <v>0</v>
      </c>
      <c r="K168" s="10" t="n">
        <f aca="false">COUNTIFS(Fields!$A$2:$A$1001,B168,Fields!$T$2:$T$1001,"vetted")</f>
        <v>0</v>
      </c>
      <c r="L168" s="10" t="n">
        <f aca="false">COUNTIFS(Fields!$A$2:$A$1001,B168,Fields!$Z$2:$Z$1001,"A")</f>
        <v>0</v>
      </c>
      <c r="M168" s="10" t="n">
        <f aca="false">COUNTIFS(Fields!$A$2:$A$1001,B168,Fields!$Z$2:$Z$1001,"B")</f>
        <v>0</v>
      </c>
      <c r="N168" s="10" t="n">
        <f aca="false">COUNTIFS(Fields!$A$2:$A$1001,B168,Fields!$Z$2:$Z$1001,"C")</f>
        <v>0</v>
      </c>
      <c r="O168" s="10" t="n">
        <f aca="false">COUNTIFS(Fields!$A$2:$A$1001,B168,Fields!$Z$2:$Z$1001,"A",Fields!$W$2:$W$1001,"Yes")+COUNTIFS(Fields!$A$2:$A$1001,B168,Fields!$Z$2:$Z$1001,"B",Fields!$W$2:$W$1001,"Yes")</f>
        <v>0</v>
      </c>
      <c r="P168" s="11" t="str">
        <f aca="false">IF(L168&gt;0,"A",IF(M168&gt;0,"B",IF(N168&gt;0,"C","")))</f>
        <v/>
      </c>
    </row>
    <row r="169" customFormat="false" ht="15" hidden="false" customHeight="false" outlineLevel="0" collapsed="false">
      <c r="A169" s="8" t="s">
        <v>192</v>
      </c>
      <c r="B169" s="8" t="s">
        <v>236</v>
      </c>
      <c r="C169" s="9"/>
      <c r="D169" s="9" t="s">
        <v>68</v>
      </c>
      <c r="E169" s="9"/>
      <c r="F169" s="9"/>
      <c r="G169" s="9"/>
      <c r="H169" s="9"/>
      <c r="I169" s="9"/>
      <c r="J169" s="10" t="n">
        <f aca="false">COUNTIF(Fields!$A$2:$A$1001,B169)</f>
        <v>0</v>
      </c>
      <c r="K169" s="10" t="n">
        <f aca="false">COUNTIFS(Fields!$A$2:$A$1001,B169,Fields!$T$2:$T$1001,"vetted")</f>
        <v>0</v>
      </c>
      <c r="L169" s="10" t="n">
        <f aca="false">COUNTIFS(Fields!$A$2:$A$1001,B169,Fields!$Z$2:$Z$1001,"A")</f>
        <v>0</v>
      </c>
      <c r="M169" s="10" t="n">
        <f aca="false">COUNTIFS(Fields!$A$2:$A$1001,B169,Fields!$Z$2:$Z$1001,"B")</f>
        <v>0</v>
      </c>
      <c r="N169" s="10" t="n">
        <f aca="false">COUNTIFS(Fields!$A$2:$A$1001,B169,Fields!$Z$2:$Z$1001,"C")</f>
        <v>0</v>
      </c>
      <c r="O169" s="10" t="n">
        <f aca="false">COUNTIFS(Fields!$A$2:$A$1001,B169,Fields!$Z$2:$Z$1001,"A",Fields!$W$2:$W$1001,"Yes")+COUNTIFS(Fields!$A$2:$A$1001,B169,Fields!$Z$2:$Z$1001,"B",Fields!$W$2:$W$1001,"Yes")</f>
        <v>0</v>
      </c>
      <c r="P169" s="11" t="str">
        <f aca="false">IF(L169&gt;0,"A",IF(M169&gt;0,"B",IF(N169&gt;0,"C","")))</f>
        <v/>
      </c>
    </row>
    <row r="170" customFormat="false" ht="15" hidden="false" customHeight="false" outlineLevel="0" collapsed="false">
      <c r="A170" s="8" t="s">
        <v>192</v>
      </c>
      <c r="B170" s="8" t="s">
        <v>237</v>
      </c>
      <c r="C170" s="9"/>
      <c r="D170" s="9" t="s">
        <v>68</v>
      </c>
      <c r="E170" s="9"/>
      <c r="F170" s="9"/>
      <c r="G170" s="9"/>
      <c r="H170" s="9"/>
      <c r="I170" s="9"/>
      <c r="J170" s="10" t="n">
        <f aca="false">COUNTIF(Fields!$A$2:$A$1001,B170)</f>
        <v>0</v>
      </c>
      <c r="K170" s="10" t="n">
        <f aca="false">COUNTIFS(Fields!$A$2:$A$1001,B170,Fields!$T$2:$T$1001,"vetted")</f>
        <v>0</v>
      </c>
      <c r="L170" s="10" t="n">
        <f aca="false">COUNTIFS(Fields!$A$2:$A$1001,B170,Fields!$Z$2:$Z$1001,"A")</f>
        <v>0</v>
      </c>
      <c r="M170" s="10" t="n">
        <f aca="false">COUNTIFS(Fields!$A$2:$A$1001,B170,Fields!$Z$2:$Z$1001,"B")</f>
        <v>0</v>
      </c>
      <c r="N170" s="10" t="n">
        <f aca="false">COUNTIFS(Fields!$A$2:$A$1001,B170,Fields!$Z$2:$Z$1001,"C")</f>
        <v>0</v>
      </c>
      <c r="O170" s="10" t="n">
        <f aca="false">COUNTIFS(Fields!$A$2:$A$1001,B170,Fields!$Z$2:$Z$1001,"A",Fields!$W$2:$W$1001,"Yes")+COUNTIFS(Fields!$A$2:$A$1001,B170,Fields!$Z$2:$Z$1001,"B",Fields!$W$2:$W$1001,"Yes")</f>
        <v>0</v>
      </c>
      <c r="P170" s="11" t="str">
        <f aca="false">IF(L170&gt;0,"A",IF(M170&gt;0,"B",IF(N170&gt;0,"C","")))</f>
        <v/>
      </c>
    </row>
    <row r="171" customFormat="false" ht="15" hidden="false" customHeight="false" outlineLevel="0" collapsed="false">
      <c r="A171" s="8" t="s">
        <v>192</v>
      </c>
      <c r="B171" s="8" t="s">
        <v>238</v>
      </c>
      <c r="C171" s="9"/>
      <c r="D171" s="9" t="s">
        <v>68</v>
      </c>
      <c r="E171" s="9"/>
      <c r="F171" s="9"/>
      <c r="G171" s="9"/>
      <c r="H171" s="9"/>
      <c r="I171" s="9"/>
      <c r="J171" s="10" t="n">
        <f aca="false">COUNTIF(Fields!$A$2:$A$1001,B171)</f>
        <v>0</v>
      </c>
      <c r="K171" s="10" t="n">
        <f aca="false">COUNTIFS(Fields!$A$2:$A$1001,B171,Fields!$T$2:$T$1001,"vetted")</f>
        <v>0</v>
      </c>
      <c r="L171" s="10" t="n">
        <f aca="false">COUNTIFS(Fields!$A$2:$A$1001,B171,Fields!$Z$2:$Z$1001,"A")</f>
        <v>0</v>
      </c>
      <c r="M171" s="10" t="n">
        <f aca="false">COUNTIFS(Fields!$A$2:$A$1001,B171,Fields!$Z$2:$Z$1001,"B")</f>
        <v>0</v>
      </c>
      <c r="N171" s="10" t="n">
        <f aca="false">COUNTIFS(Fields!$A$2:$A$1001,B171,Fields!$Z$2:$Z$1001,"C")</f>
        <v>0</v>
      </c>
      <c r="O171" s="10" t="n">
        <f aca="false">COUNTIFS(Fields!$A$2:$A$1001,B171,Fields!$Z$2:$Z$1001,"A",Fields!$W$2:$W$1001,"Yes")+COUNTIFS(Fields!$A$2:$A$1001,B171,Fields!$Z$2:$Z$1001,"B",Fields!$W$2:$W$1001,"Yes")</f>
        <v>0</v>
      </c>
      <c r="P171" s="11" t="str">
        <f aca="false">IF(L171&gt;0,"A",IF(M171&gt;0,"B",IF(N171&gt;0,"C","")))</f>
        <v/>
      </c>
    </row>
    <row r="172" customFormat="false" ht="15" hidden="false" customHeight="false" outlineLevel="0" collapsed="false">
      <c r="A172" s="8" t="s">
        <v>192</v>
      </c>
      <c r="B172" s="8" t="s">
        <v>239</v>
      </c>
      <c r="C172" s="9"/>
      <c r="D172" s="9" t="s">
        <v>68</v>
      </c>
      <c r="E172" s="9"/>
      <c r="F172" s="9"/>
      <c r="G172" s="9"/>
      <c r="H172" s="9"/>
      <c r="I172" s="9"/>
      <c r="J172" s="10" t="n">
        <f aca="false">COUNTIF(Fields!$A$2:$A$1001,B172)</f>
        <v>0</v>
      </c>
      <c r="K172" s="10" t="n">
        <f aca="false">COUNTIFS(Fields!$A$2:$A$1001,B172,Fields!$T$2:$T$1001,"vetted")</f>
        <v>0</v>
      </c>
      <c r="L172" s="10" t="n">
        <f aca="false">COUNTIFS(Fields!$A$2:$A$1001,B172,Fields!$Z$2:$Z$1001,"A")</f>
        <v>0</v>
      </c>
      <c r="M172" s="10" t="n">
        <f aca="false">COUNTIFS(Fields!$A$2:$A$1001,B172,Fields!$Z$2:$Z$1001,"B")</f>
        <v>0</v>
      </c>
      <c r="N172" s="10" t="n">
        <f aca="false">COUNTIFS(Fields!$A$2:$A$1001,B172,Fields!$Z$2:$Z$1001,"C")</f>
        <v>0</v>
      </c>
      <c r="O172" s="10" t="n">
        <f aca="false">COUNTIFS(Fields!$A$2:$A$1001,B172,Fields!$Z$2:$Z$1001,"A",Fields!$W$2:$W$1001,"Yes")+COUNTIFS(Fields!$A$2:$A$1001,B172,Fields!$Z$2:$Z$1001,"B",Fields!$W$2:$W$1001,"Yes")</f>
        <v>0</v>
      </c>
      <c r="P172" s="11" t="str">
        <f aca="false">IF(L172&gt;0,"A",IF(M172&gt;0,"B",IF(N172&gt;0,"C","")))</f>
        <v/>
      </c>
    </row>
    <row r="173" customFormat="false" ht="15" hidden="false" customHeight="false" outlineLevel="0" collapsed="false">
      <c r="A173" s="8" t="s">
        <v>192</v>
      </c>
      <c r="B173" s="8" t="s">
        <v>240</v>
      </c>
      <c r="C173" s="9"/>
      <c r="D173" s="9" t="s">
        <v>68</v>
      </c>
      <c r="E173" s="9"/>
      <c r="F173" s="9"/>
      <c r="G173" s="9"/>
      <c r="H173" s="9"/>
      <c r="I173" s="9"/>
      <c r="J173" s="10" t="n">
        <f aca="false">COUNTIF(Fields!$A$2:$A$1001,B173)</f>
        <v>0</v>
      </c>
      <c r="K173" s="10" t="n">
        <f aca="false">COUNTIFS(Fields!$A$2:$A$1001,B173,Fields!$T$2:$T$1001,"vetted")</f>
        <v>0</v>
      </c>
      <c r="L173" s="10" t="n">
        <f aca="false">COUNTIFS(Fields!$A$2:$A$1001,B173,Fields!$Z$2:$Z$1001,"A")</f>
        <v>0</v>
      </c>
      <c r="M173" s="10" t="n">
        <f aca="false">COUNTIFS(Fields!$A$2:$A$1001,B173,Fields!$Z$2:$Z$1001,"B")</f>
        <v>0</v>
      </c>
      <c r="N173" s="10" t="n">
        <f aca="false">COUNTIFS(Fields!$A$2:$A$1001,B173,Fields!$Z$2:$Z$1001,"C")</f>
        <v>0</v>
      </c>
      <c r="O173" s="10" t="n">
        <f aca="false">COUNTIFS(Fields!$A$2:$A$1001,B173,Fields!$Z$2:$Z$1001,"A",Fields!$W$2:$W$1001,"Yes")+COUNTIFS(Fields!$A$2:$A$1001,B173,Fields!$Z$2:$Z$1001,"B",Fields!$W$2:$W$1001,"Yes")</f>
        <v>0</v>
      </c>
      <c r="P173" s="11" t="str">
        <f aca="false">IF(L173&gt;0,"A",IF(M173&gt;0,"B",IF(N173&gt;0,"C","")))</f>
        <v/>
      </c>
    </row>
    <row r="174" customFormat="false" ht="15" hidden="false" customHeight="false" outlineLevel="0" collapsed="false">
      <c r="A174" s="8" t="s">
        <v>192</v>
      </c>
      <c r="B174" s="8" t="s">
        <v>241</v>
      </c>
      <c r="C174" s="9"/>
      <c r="D174" s="9" t="s">
        <v>68</v>
      </c>
      <c r="E174" s="9"/>
      <c r="F174" s="9"/>
      <c r="G174" s="9"/>
      <c r="H174" s="9"/>
      <c r="I174" s="9"/>
      <c r="J174" s="10" t="n">
        <f aca="false">COUNTIF(Fields!$A$2:$A$1001,B174)</f>
        <v>0</v>
      </c>
      <c r="K174" s="10" t="n">
        <f aca="false">COUNTIFS(Fields!$A$2:$A$1001,B174,Fields!$T$2:$T$1001,"vetted")</f>
        <v>0</v>
      </c>
      <c r="L174" s="10" t="n">
        <f aca="false">COUNTIFS(Fields!$A$2:$A$1001,B174,Fields!$Z$2:$Z$1001,"A")</f>
        <v>0</v>
      </c>
      <c r="M174" s="10" t="n">
        <f aca="false">COUNTIFS(Fields!$A$2:$A$1001,B174,Fields!$Z$2:$Z$1001,"B")</f>
        <v>0</v>
      </c>
      <c r="N174" s="10" t="n">
        <f aca="false">COUNTIFS(Fields!$A$2:$A$1001,B174,Fields!$Z$2:$Z$1001,"C")</f>
        <v>0</v>
      </c>
      <c r="O174" s="10" t="n">
        <f aca="false">COUNTIFS(Fields!$A$2:$A$1001,B174,Fields!$Z$2:$Z$1001,"A",Fields!$W$2:$W$1001,"Yes")+COUNTIFS(Fields!$A$2:$A$1001,B174,Fields!$Z$2:$Z$1001,"B",Fields!$W$2:$W$1001,"Yes")</f>
        <v>0</v>
      </c>
      <c r="P174" s="11" t="str">
        <f aca="false">IF(L174&gt;0,"A",IF(M174&gt;0,"B",IF(N174&gt;0,"C","")))</f>
        <v/>
      </c>
    </row>
    <row r="175" customFormat="false" ht="15" hidden="false" customHeight="false" outlineLevel="0" collapsed="false">
      <c r="A175" s="8" t="s">
        <v>192</v>
      </c>
      <c r="B175" s="8" t="s">
        <v>242</v>
      </c>
      <c r="C175" s="9"/>
      <c r="D175" s="9" t="s">
        <v>68</v>
      </c>
      <c r="E175" s="9"/>
      <c r="F175" s="9"/>
      <c r="G175" s="9"/>
      <c r="H175" s="9"/>
      <c r="I175" s="9"/>
      <c r="J175" s="10" t="n">
        <f aca="false">COUNTIF(Fields!$A$2:$A$1001,B175)</f>
        <v>0</v>
      </c>
      <c r="K175" s="10" t="n">
        <f aca="false">COUNTIFS(Fields!$A$2:$A$1001,B175,Fields!$T$2:$T$1001,"vetted")</f>
        <v>0</v>
      </c>
      <c r="L175" s="10" t="n">
        <f aca="false">COUNTIFS(Fields!$A$2:$A$1001,B175,Fields!$Z$2:$Z$1001,"A")</f>
        <v>0</v>
      </c>
      <c r="M175" s="10" t="n">
        <f aca="false">COUNTIFS(Fields!$A$2:$A$1001,B175,Fields!$Z$2:$Z$1001,"B")</f>
        <v>0</v>
      </c>
      <c r="N175" s="10" t="n">
        <f aca="false">COUNTIFS(Fields!$A$2:$A$1001,B175,Fields!$Z$2:$Z$1001,"C")</f>
        <v>0</v>
      </c>
      <c r="O175" s="10" t="n">
        <f aca="false">COUNTIFS(Fields!$A$2:$A$1001,B175,Fields!$Z$2:$Z$1001,"A",Fields!$W$2:$W$1001,"Yes")+COUNTIFS(Fields!$A$2:$A$1001,B175,Fields!$Z$2:$Z$1001,"B",Fields!$W$2:$W$1001,"Yes")</f>
        <v>0</v>
      </c>
      <c r="P175" s="11" t="str">
        <f aca="false">IF(L175&gt;0,"A",IF(M175&gt;0,"B",IF(N175&gt;0,"C","")))</f>
        <v/>
      </c>
    </row>
    <row r="176" customFormat="false" ht="15" hidden="false" customHeight="false" outlineLevel="0" collapsed="false">
      <c r="A176" s="8" t="s">
        <v>192</v>
      </c>
      <c r="B176" s="8" t="s">
        <v>243</v>
      </c>
      <c r="C176" s="9"/>
      <c r="D176" s="9" t="s">
        <v>68</v>
      </c>
      <c r="E176" s="9"/>
      <c r="F176" s="9"/>
      <c r="G176" s="9"/>
      <c r="H176" s="9"/>
      <c r="I176" s="9"/>
      <c r="J176" s="10" t="n">
        <f aca="false">COUNTIF(Fields!$A$2:$A$1001,B176)</f>
        <v>0</v>
      </c>
      <c r="K176" s="10" t="n">
        <f aca="false">COUNTIFS(Fields!$A$2:$A$1001,B176,Fields!$T$2:$T$1001,"vetted")</f>
        <v>0</v>
      </c>
      <c r="L176" s="10" t="n">
        <f aca="false">COUNTIFS(Fields!$A$2:$A$1001,B176,Fields!$Z$2:$Z$1001,"A")</f>
        <v>0</v>
      </c>
      <c r="M176" s="10" t="n">
        <f aca="false">COUNTIFS(Fields!$A$2:$A$1001,B176,Fields!$Z$2:$Z$1001,"B")</f>
        <v>0</v>
      </c>
      <c r="N176" s="10" t="n">
        <f aca="false">COUNTIFS(Fields!$A$2:$A$1001,B176,Fields!$Z$2:$Z$1001,"C")</f>
        <v>0</v>
      </c>
      <c r="O176" s="10" t="n">
        <f aca="false">COUNTIFS(Fields!$A$2:$A$1001,B176,Fields!$Z$2:$Z$1001,"A",Fields!$W$2:$W$1001,"Yes")+COUNTIFS(Fields!$A$2:$A$1001,B176,Fields!$Z$2:$Z$1001,"B",Fields!$W$2:$W$1001,"Yes")</f>
        <v>0</v>
      </c>
      <c r="P176" s="11" t="str">
        <f aca="false">IF(L176&gt;0,"A",IF(M176&gt;0,"B",IF(N176&gt;0,"C","")))</f>
        <v/>
      </c>
    </row>
    <row r="177" customFormat="false" ht="15" hidden="false" customHeight="false" outlineLevel="0" collapsed="false">
      <c r="A177" s="8" t="s">
        <v>192</v>
      </c>
      <c r="B177" s="8" t="s">
        <v>244</v>
      </c>
      <c r="C177" s="9"/>
      <c r="D177" s="9" t="s">
        <v>68</v>
      </c>
      <c r="E177" s="9"/>
      <c r="F177" s="9"/>
      <c r="G177" s="9"/>
      <c r="H177" s="9"/>
      <c r="I177" s="9"/>
      <c r="J177" s="10" t="n">
        <f aca="false">COUNTIF(Fields!$A$2:$A$1001,B177)</f>
        <v>0</v>
      </c>
      <c r="K177" s="10" t="n">
        <f aca="false">COUNTIFS(Fields!$A$2:$A$1001,B177,Fields!$T$2:$T$1001,"vetted")</f>
        <v>0</v>
      </c>
      <c r="L177" s="10" t="n">
        <f aca="false">COUNTIFS(Fields!$A$2:$A$1001,B177,Fields!$Z$2:$Z$1001,"A")</f>
        <v>0</v>
      </c>
      <c r="M177" s="10" t="n">
        <f aca="false">COUNTIFS(Fields!$A$2:$A$1001,B177,Fields!$Z$2:$Z$1001,"B")</f>
        <v>0</v>
      </c>
      <c r="N177" s="10" t="n">
        <f aca="false">COUNTIFS(Fields!$A$2:$A$1001,B177,Fields!$Z$2:$Z$1001,"C")</f>
        <v>0</v>
      </c>
      <c r="O177" s="10" t="n">
        <f aca="false">COUNTIFS(Fields!$A$2:$A$1001,B177,Fields!$Z$2:$Z$1001,"A",Fields!$W$2:$W$1001,"Yes")+COUNTIFS(Fields!$A$2:$A$1001,B177,Fields!$Z$2:$Z$1001,"B",Fields!$W$2:$W$1001,"Yes")</f>
        <v>0</v>
      </c>
      <c r="P177" s="11" t="str">
        <f aca="false">IF(L177&gt;0,"A",IF(M177&gt;0,"B",IF(N177&gt;0,"C","")))</f>
        <v/>
      </c>
    </row>
    <row r="178" customFormat="false" ht="15" hidden="false" customHeight="false" outlineLevel="0" collapsed="false">
      <c r="A178" s="8" t="s">
        <v>192</v>
      </c>
      <c r="B178" s="8" t="s">
        <v>245</v>
      </c>
      <c r="C178" s="9"/>
      <c r="D178" s="9" t="s">
        <v>68</v>
      </c>
      <c r="E178" s="9"/>
      <c r="F178" s="9"/>
      <c r="G178" s="9"/>
      <c r="H178" s="9"/>
      <c r="I178" s="9"/>
      <c r="J178" s="10" t="n">
        <f aca="false">COUNTIF(Fields!$A$2:$A$1001,B178)</f>
        <v>0</v>
      </c>
      <c r="K178" s="10" t="n">
        <f aca="false">COUNTIFS(Fields!$A$2:$A$1001,B178,Fields!$T$2:$T$1001,"vetted")</f>
        <v>0</v>
      </c>
      <c r="L178" s="10" t="n">
        <f aca="false">COUNTIFS(Fields!$A$2:$A$1001,B178,Fields!$Z$2:$Z$1001,"A")</f>
        <v>0</v>
      </c>
      <c r="M178" s="10" t="n">
        <f aca="false">COUNTIFS(Fields!$A$2:$A$1001,B178,Fields!$Z$2:$Z$1001,"B")</f>
        <v>0</v>
      </c>
      <c r="N178" s="10" t="n">
        <f aca="false">COUNTIFS(Fields!$A$2:$A$1001,B178,Fields!$Z$2:$Z$1001,"C")</f>
        <v>0</v>
      </c>
      <c r="O178" s="10" t="n">
        <f aca="false">COUNTIFS(Fields!$A$2:$A$1001,B178,Fields!$Z$2:$Z$1001,"A",Fields!$W$2:$W$1001,"Yes")+COUNTIFS(Fields!$A$2:$A$1001,B178,Fields!$Z$2:$Z$1001,"B",Fields!$W$2:$W$1001,"Yes")</f>
        <v>0</v>
      </c>
      <c r="P178" s="11" t="str">
        <f aca="false">IF(L178&gt;0,"A",IF(M178&gt;0,"B",IF(N178&gt;0,"C","")))</f>
        <v/>
      </c>
    </row>
    <row r="179" customFormat="false" ht="15" hidden="false" customHeight="false" outlineLevel="0" collapsed="false">
      <c r="A179" s="8" t="s">
        <v>192</v>
      </c>
      <c r="B179" s="8" t="s">
        <v>246</v>
      </c>
      <c r="C179" s="9"/>
      <c r="D179" s="9" t="s">
        <v>68</v>
      </c>
      <c r="E179" s="9"/>
      <c r="F179" s="9"/>
      <c r="G179" s="9"/>
      <c r="H179" s="9"/>
      <c r="I179" s="9"/>
      <c r="J179" s="10" t="n">
        <f aca="false">COUNTIF(Fields!$A$2:$A$1001,B179)</f>
        <v>0</v>
      </c>
      <c r="K179" s="10" t="n">
        <f aca="false">COUNTIFS(Fields!$A$2:$A$1001,B179,Fields!$T$2:$T$1001,"vetted")</f>
        <v>0</v>
      </c>
      <c r="L179" s="10" t="n">
        <f aca="false">COUNTIFS(Fields!$A$2:$A$1001,B179,Fields!$Z$2:$Z$1001,"A")</f>
        <v>0</v>
      </c>
      <c r="M179" s="10" t="n">
        <f aca="false">COUNTIFS(Fields!$A$2:$A$1001,B179,Fields!$Z$2:$Z$1001,"B")</f>
        <v>0</v>
      </c>
      <c r="N179" s="10" t="n">
        <f aca="false">COUNTIFS(Fields!$A$2:$A$1001,B179,Fields!$Z$2:$Z$1001,"C")</f>
        <v>0</v>
      </c>
      <c r="O179" s="10" t="n">
        <f aca="false">COUNTIFS(Fields!$A$2:$A$1001,B179,Fields!$Z$2:$Z$1001,"A",Fields!$W$2:$W$1001,"Yes")+COUNTIFS(Fields!$A$2:$A$1001,B179,Fields!$Z$2:$Z$1001,"B",Fields!$W$2:$W$1001,"Yes")</f>
        <v>0</v>
      </c>
      <c r="P179" s="11" t="str">
        <f aca="false">IF(L179&gt;0,"A",IF(M179&gt;0,"B",IF(N179&gt;0,"C","")))</f>
        <v/>
      </c>
    </row>
    <row r="180" customFormat="false" ht="15" hidden="false" customHeight="false" outlineLevel="0" collapsed="false">
      <c r="A180" s="8" t="s">
        <v>192</v>
      </c>
      <c r="B180" s="8" t="s">
        <v>247</v>
      </c>
      <c r="C180" s="9"/>
      <c r="D180" s="9" t="s">
        <v>68</v>
      </c>
      <c r="E180" s="9"/>
      <c r="F180" s="9"/>
      <c r="G180" s="9"/>
      <c r="H180" s="9"/>
      <c r="I180" s="9"/>
      <c r="J180" s="10" t="n">
        <f aca="false">COUNTIF(Fields!$A$2:$A$1001,B180)</f>
        <v>0</v>
      </c>
      <c r="K180" s="10" t="n">
        <f aca="false">COUNTIFS(Fields!$A$2:$A$1001,B180,Fields!$T$2:$T$1001,"vetted")</f>
        <v>0</v>
      </c>
      <c r="L180" s="10" t="n">
        <f aca="false">COUNTIFS(Fields!$A$2:$A$1001,B180,Fields!$Z$2:$Z$1001,"A")</f>
        <v>0</v>
      </c>
      <c r="M180" s="10" t="n">
        <f aca="false">COUNTIFS(Fields!$A$2:$A$1001,B180,Fields!$Z$2:$Z$1001,"B")</f>
        <v>0</v>
      </c>
      <c r="N180" s="10" t="n">
        <f aca="false">COUNTIFS(Fields!$A$2:$A$1001,B180,Fields!$Z$2:$Z$1001,"C")</f>
        <v>0</v>
      </c>
      <c r="O180" s="10" t="n">
        <f aca="false">COUNTIFS(Fields!$A$2:$A$1001,B180,Fields!$Z$2:$Z$1001,"A",Fields!$W$2:$W$1001,"Yes")+COUNTIFS(Fields!$A$2:$A$1001,B180,Fields!$Z$2:$Z$1001,"B",Fields!$W$2:$W$1001,"Yes")</f>
        <v>0</v>
      </c>
      <c r="P180" s="11" t="str">
        <f aca="false">IF(L180&gt;0,"A",IF(M180&gt;0,"B",IF(N180&gt;0,"C","")))</f>
        <v/>
      </c>
    </row>
    <row r="181" customFormat="false" ht="15" hidden="false" customHeight="false" outlineLevel="0" collapsed="false">
      <c r="A181" s="8" t="s">
        <v>192</v>
      </c>
      <c r="B181" s="8" t="s">
        <v>248</v>
      </c>
      <c r="C181" s="9"/>
      <c r="D181" s="9" t="s">
        <v>68</v>
      </c>
      <c r="E181" s="9"/>
      <c r="F181" s="9"/>
      <c r="G181" s="9"/>
      <c r="H181" s="9"/>
      <c r="I181" s="9"/>
      <c r="J181" s="10" t="n">
        <f aca="false">COUNTIF(Fields!$A$2:$A$1001,B181)</f>
        <v>0</v>
      </c>
      <c r="K181" s="10" t="n">
        <f aca="false">COUNTIFS(Fields!$A$2:$A$1001,B181,Fields!$T$2:$T$1001,"vetted")</f>
        <v>0</v>
      </c>
      <c r="L181" s="10" t="n">
        <f aca="false">COUNTIFS(Fields!$A$2:$A$1001,B181,Fields!$Z$2:$Z$1001,"A")</f>
        <v>0</v>
      </c>
      <c r="M181" s="10" t="n">
        <f aca="false">COUNTIFS(Fields!$A$2:$A$1001,B181,Fields!$Z$2:$Z$1001,"B")</f>
        <v>0</v>
      </c>
      <c r="N181" s="10" t="n">
        <f aca="false">COUNTIFS(Fields!$A$2:$A$1001,B181,Fields!$Z$2:$Z$1001,"C")</f>
        <v>0</v>
      </c>
      <c r="O181" s="10" t="n">
        <f aca="false">COUNTIFS(Fields!$A$2:$A$1001,B181,Fields!$Z$2:$Z$1001,"A",Fields!$W$2:$W$1001,"Yes")+COUNTIFS(Fields!$A$2:$A$1001,B181,Fields!$Z$2:$Z$1001,"B",Fields!$W$2:$W$1001,"Yes")</f>
        <v>0</v>
      </c>
      <c r="P181" s="11" t="str">
        <f aca="false">IF(L181&gt;0,"A",IF(M181&gt;0,"B",IF(N181&gt;0,"C","")))</f>
        <v/>
      </c>
    </row>
    <row r="182" customFormat="false" ht="15" hidden="false" customHeight="false" outlineLevel="0" collapsed="false">
      <c r="A182" s="8" t="s">
        <v>192</v>
      </c>
      <c r="B182" s="8" t="s">
        <v>249</v>
      </c>
      <c r="C182" s="9"/>
      <c r="D182" s="9" t="s">
        <v>68</v>
      </c>
      <c r="E182" s="9"/>
      <c r="F182" s="9"/>
      <c r="G182" s="9"/>
      <c r="H182" s="9"/>
      <c r="I182" s="9"/>
      <c r="J182" s="10" t="n">
        <f aca="false">COUNTIF(Fields!$A$2:$A$1001,B182)</f>
        <v>0</v>
      </c>
      <c r="K182" s="10" t="n">
        <f aca="false">COUNTIFS(Fields!$A$2:$A$1001,B182,Fields!$T$2:$T$1001,"vetted")</f>
        <v>0</v>
      </c>
      <c r="L182" s="10" t="n">
        <f aca="false">COUNTIFS(Fields!$A$2:$A$1001,B182,Fields!$Z$2:$Z$1001,"A")</f>
        <v>0</v>
      </c>
      <c r="M182" s="10" t="n">
        <f aca="false">COUNTIFS(Fields!$A$2:$A$1001,B182,Fields!$Z$2:$Z$1001,"B")</f>
        <v>0</v>
      </c>
      <c r="N182" s="10" t="n">
        <f aca="false">COUNTIFS(Fields!$A$2:$A$1001,B182,Fields!$Z$2:$Z$1001,"C")</f>
        <v>0</v>
      </c>
      <c r="O182" s="10" t="n">
        <f aca="false">COUNTIFS(Fields!$A$2:$A$1001,B182,Fields!$Z$2:$Z$1001,"A",Fields!$W$2:$W$1001,"Yes")+COUNTIFS(Fields!$A$2:$A$1001,B182,Fields!$Z$2:$Z$1001,"B",Fields!$W$2:$W$1001,"Yes")</f>
        <v>0</v>
      </c>
      <c r="P182" s="11" t="str">
        <f aca="false">IF(L182&gt;0,"A",IF(M182&gt;0,"B",IF(N182&gt;0,"C","")))</f>
        <v/>
      </c>
    </row>
    <row r="183" customFormat="false" ht="15" hidden="false" customHeight="false" outlineLevel="0" collapsed="false">
      <c r="A183" s="8" t="s">
        <v>192</v>
      </c>
      <c r="B183" s="8" t="s">
        <v>250</v>
      </c>
      <c r="C183" s="9"/>
      <c r="D183" s="9" t="s">
        <v>68</v>
      </c>
      <c r="E183" s="9"/>
      <c r="F183" s="9"/>
      <c r="G183" s="9"/>
      <c r="H183" s="9"/>
      <c r="I183" s="9"/>
      <c r="J183" s="10" t="n">
        <f aca="false">COUNTIF(Fields!$A$2:$A$1001,B183)</f>
        <v>0</v>
      </c>
      <c r="K183" s="10" t="n">
        <f aca="false">COUNTIFS(Fields!$A$2:$A$1001,B183,Fields!$T$2:$T$1001,"vetted")</f>
        <v>0</v>
      </c>
      <c r="L183" s="10" t="n">
        <f aca="false">COUNTIFS(Fields!$A$2:$A$1001,B183,Fields!$Z$2:$Z$1001,"A")</f>
        <v>0</v>
      </c>
      <c r="M183" s="10" t="n">
        <f aca="false">COUNTIFS(Fields!$A$2:$A$1001,B183,Fields!$Z$2:$Z$1001,"B")</f>
        <v>0</v>
      </c>
      <c r="N183" s="10" t="n">
        <f aca="false">COUNTIFS(Fields!$A$2:$A$1001,B183,Fields!$Z$2:$Z$1001,"C")</f>
        <v>0</v>
      </c>
      <c r="O183" s="10" t="n">
        <f aca="false">COUNTIFS(Fields!$A$2:$A$1001,B183,Fields!$Z$2:$Z$1001,"A",Fields!$W$2:$W$1001,"Yes")+COUNTIFS(Fields!$A$2:$A$1001,B183,Fields!$Z$2:$Z$1001,"B",Fields!$W$2:$W$1001,"Yes")</f>
        <v>0</v>
      </c>
      <c r="P183" s="11" t="str">
        <f aca="false">IF(L183&gt;0,"A",IF(M183&gt;0,"B",IF(N183&gt;0,"C","")))</f>
        <v/>
      </c>
    </row>
    <row r="184" customFormat="false" ht="15" hidden="false" customHeight="false" outlineLevel="0" collapsed="false">
      <c r="A184" s="8" t="s">
        <v>192</v>
      </c>
      <c r="B184" s="8" t="s">
        <v>251</v>
      </c>
      <c r="C184" s="9"/>
      <c r="D184" s="9" t="s">
        <v>68</v>
      </c>
      <c r="E184" s="9"/>
      <c r="F184" s="9"/>
      <c r="G184" s="9"/>
      <c r="H184" s="9"/>
      <c r="I184" s="9"/>
      <c r="J184" s="10" t="n">
        <f aca="false">COUNTIF(Fields!$A$2:$A$1001,B184)</f>
        <v>0</v>
      </c>
      <c r="K184" s="10" t="n">
        <f aca="false">COUNTIFS(Fields!$A$2:$A$1001,B184,Fields!$T$2:$T$1001,"vetted")</f>
        <v>0</v>
      </c>
      <c r="L184" s="10" t="n">
        <f aca="false">COUNTIFS(Fields!$A$2:$A$1001,B184,Fields!$Z$2:$Z$1001,"A")</f>
        <v>0</v>
      </c>
      <c r="M184" s="10" t="n">
        <f aca="false">COUNTIFS(Fields!$A$2:$A$1001,B184,Fields!$Z$2:$Z$1001,"B")</f>
        <v>0</v>
      </c>
      <c r="N184" s="10" t="n">
        <f aca="false">COUNTIFS(Fields!$A$2:$A$1001,B184,Fields!$Z$2:$Z$1001,"C")</f>
        <v>0</v>
      </c>
      <c r="O184" s="10" t="n">
        <f aca="false">COUNTIFS(Fields!$A$2:$A$1001,B184,Fields!$Z$2:$Z$1001,"A",Fields!$W$2:$W$1001,"Yes")+COUNTIFS(Fields!$A$2:$A$1001,B184,Fields!$Z$2:$Z$1001,"B",Fields!$W$2:$W$1001,"Yes")</f>
        <v>0</v>
      </c>
      <c r="P184" s="11" t="str">
        <f aca="false">IF(L184&gt;0,"A",IF(M184&gt;0,"B",IF(N184&gt;0,"C","")))</f>
        <v/>
      </c>
    </row>
    <row r="185" customFormat="false" ht="15" hidden="false" customHeight="false" outlineLevel="0" collapsed="false">
      <c r="A185" s="8" t="s">
        <v>192</v>
      </c>
      <c r="B185" s="8" t="s">
        <v>252</v>
      </c>
      <c r="C185" s="9"/>
      <c r="D185" s="9" t="s">
        <v>68</v>
      </c>
      <c r="E185" s="9"/>
      <c r="F185" s="9"/>
      <c r="G185" s="9"/>
      <c r="H185" s="9"/>
      <c r="I185" s="9"/>
      <c r="J185" s="10" t="n">
        <f aca="false">COUNTIF(Fields!$A$2:$A$1001,B185)</f>
        <v>0</v>
      </c>
      <c r="K185" s="10" t="n">
        <f aca="false">COUNTIFS(Fields!$A$2:$A$1001,B185,Fields!$T$2:$T$1001,"vetted")</f>
        <v>0</v>
      </c>
      <c r="L185" s="10" t="n">
        <f aca="false">COUNTIFS(Fields!$A$2:$A$1001,B185,Fields!$Z$2:$Z$1001,"A")</f>
        <v>0</v>
      </c>
      <c r="M185" s="10" t="n">
        <f aca="false">COUNTIFS(Fields!$A$2:$A$1001,B185,Fields!$Z$2:$Z$1001,"B")</f>
        <v>0</v>
      </c>
      <c r="N185" s="10" t="n">
        <f aca="false">COUNTIFS(Fields!$A$2:$A$1001,B185,Fields!$Z$2:$Z$1001,"C")</f>
        <v>0</v>
      </c>
      <c r="O185" s="10" t="n">
        <f aca="false">COUNTIFS(Fields!$A$2:$A$1001,B185,Fields!$Z$2:$Z$1001,"A",Fields!$W$2:$W$1001,"Yes")+COUNTIFS(Fields!$A$2:$A$1001,B185,Fields!$Z$2:$Z$1001,"B",Fields!$W$2:$W$1001,"Yes")</f>
        <v>0</v>
      </c>
      <c r="P185" s="11" t="str">
        <f aca="false">IF(L185&gt;0,"A",IF(M185&gt;0,"B",IF(N185&gt;0,"C","")))</f>
        <v/>
      </c>
    </row>
    <row r="186" customFormat="false" ht="15" hidden="false" customHeight="false" outlineLevel="0" collapsed="false">
      <c r="A186" s="8" t="s">
        <v>192</v>
      </c>
      <c r="B186" s="8" t="s">
        <v>253</v>
      </c>
      <c r="C186" s="9"/>
      <c r="D186" s="9" t="s">
        <v>68</v>
      </c>
      <c r="E186" s="9"/>
      <c r="F186" s="9"/>
      <c r="G186" s="9"/>
      <c r="H186" s="9"/>
      <c r="I186" s="9"/>
      <c r="J186" s="10" t="n">
        <f aca="false">COUNTIF(Fields!$A$2:$A$1001,B186)</f>
        <v>0</v>
      </c>
      <c r="K186" s="10" t="n">
        <f aca="false">COUNTIFS(Fields!$A$2:$A$1001,B186,Fields!$T$2:$T$1001,"vetted")</f>
        <v>0</v>
      </c>
      <c r="L186" s="10" t="n">
        <f aca="false">COUNTIFS(Fields!$A$2:$A$1001,B186,Fields!$Z$2:$Z$1001,"A")</f>
        <v>0</v>
      </c>
      <c r="M186" s="10" t="n">
        <f aca="false">COUNTIFS(Fields!$A$2:$A$1001,B186,Fields!$Z$2:$Z$1001,"B")</f>
        <v>0</v>
      </c>
      <c r="N186" s="10" t="n">
        <f aca="false">COUNTIFS(Fields!$A$2:$A$1001,B186,Fields!$Z$2:$Z$1001,"C")</f>
        <v>0</v>
      </c>
      <c r="O186" s="10" t="n">
        <f aca="false">COUNTIFS(Fields!$A$2:$A$1001,B186,Fields!$Z$2:$Z$1001,"A",Fields!$W$2:$W$1001,"Yes")+COUNTIFS(Fields!$A$2:$A$1001,B186,Fields!$Z$2:$Z$1001,"B",Fields!$W$2:$W$1001,"Yes")</f>
        <v>0</v>
      </c>
      <c r="P186" s="11" t="str">
        <f aca="false">IF(L186&gt;0,"A",IF(M186&gt;0,"B",IF(N186&gt;0,"C","")))</f>
        <v/>
      </c>
    </row>
    <row r="187" customFormat="false" ht="15" hidden="false" customHeight="false" outlineLevel="0" collapsed="false">
      <c r="A187" s="8" t="s">
        <v>192</v>
      </c>
      <c r="B187" s="8" t="s">
        <v>254</v>
      </c>
      <c r="C187" s="9"/>
      <c r="D187" s="9" t="s">
        <v>68</v>
      </c>
      <c r="E187" s="9"/>
      <c r="F187" s="9"/>
      <c r="G187" s="9"/>
      <c r="H187" s="9"/>
      <c r="I187" s="9"/>
      <c r="J187" s="10" t="n">
        <f aca="false">COUNTIF(Fields!$A$2:$A$1001,B187)</f>
        <v>0</v>
      </c>
      <c r="K187" s="10" t="n">
        <f aca="false">COUNTIFS(Fields!$A$2:$A$1001,B187,Fields!$T$2:$T$1001,"vetted")</f>
        <v>0</v>
      </c>
      <c r="L187" s="10" t="n">
        <f aca="false">COUNTIFS(Fields!$A$2:$A$1001,B187,Fields!$Z$2:$Z$1001,"A")</f>
        <v>0</v>
      </c>
      <c r="M187" s="10" t="n">
        <f aca="false">COUNTIFS(Fields!$A$2:$A$1001,B187,Fields!$Z$2:$Z$1001,"B")</f>
        <v>0</v>
      </c>
      <c r="N187" s="10" t="n">
        <f aca="false">COUNTIFS(Fields!$A$2:$A$1001,B187,Fields!$Z$2:$Z$1001,"C")</f>
        <v>0</v>
      </c>
      <c r="O187" s="10" t="n">
        <f aca="false">COUNTIFS(Fields!$A$2:$A$1001,B187,Fields!$Z$2:$Z$1001,"A",Fields!$W$2:$W$1001,"Yes")+COUNTIFS(Fields!$A$2:$A$1001,B187,Fields!$Z$2:$Z$1001,"B",Fields!$W$2:$W$1001,"Yes")</f>
        <v>0</v>
      </c>
      <c r="P187" s="11" t="str">
        <f aca="false">IF(L187&gt;0,"A",IF(M187&gt;0,"B",IF(N187&gt;0,"C","")))</f>
        <v/>
      </c>
    </row>
    <row r="188" customFormat="false" ht="15" hidden="false" customHeight="false" outlineLevel="0" collapsed="false">
      <c r="A188" s="8" t="s">
        <v>192</v>
      </c>
      <c r="B188" s="8" t="s">
        <v>255</v>
      </c>
      <c r="C188" s="9"/>
      <c r="D188" s="9" t="s">
        <v>68</v>
      </c>
      <c r="E188" s="9"/>
      <c r="F188" s="9"/>
      <c r="G188" s="9"/>
      <c r="H188" s="9"/>
      <c r="I188" s="9"/>
      <c r="J188" s="10" t="n">
        <f aca="false">COUNTIF(Fields!$A$2:$A$1001,B188)</f>
        <v>0</v>
      </c>
      <c r="K188" s="10" t="n">
        <f aca="false">COUNTIFS(Fields!$A$2:$A$1001,B188,Fields!$T$2:$T$1001,"vetted")</f>
        <v>0</v>
      </c>
      <c r="L188" s="10" t="n">
        <f aca="false">COUNTIFS(Fields!$A$2:$A$1001,B188,Fields!$Z$2:$Z$1001,"A")</f>
        <v>0</v>
      </c>
      <c r="M188" s="10" t="n">
        <f aca="false">COUNTIFS(Fields!$A$2:$A$1001,B188,Fields!$Z$2:$Z$1001,"B")</f>
        <v>0</v>
      </c>
      <c r="N188" s="10" t="n">
        <f aca="false">COUNTIFS(Fields!$A$2:$A$1001,B188,Fields!$Z$2:$Z$1001,"C")</f>
        <v>0</v>
      </c>
      <c r="O188" s="10" t="n">
        <f aca="false">COUNTIFS(Fields!$A$2:$A$1001,B188,Fields!$Z$2:$Z$1001,"A",Fields!$W$2:$W$1001,"Yes")+COUNTIFS(Fields!$A$2:$A$1001,B188,Fields!$Z$2:$Z$1001,"B",Fields!$W$2:$W$1001,"Yes")</f>
        <v>0</v>
      </c>
      <c r="P188" s="11" t="str">
        <f aca="false">IF(L188&gt;0,"A",IF(M188&gt;0,"B",IF(N188&gt;0,"C","")))</f>
        <v/>
      </c>
    </row>
    <row r="189" customFormat="false" ht="15" hidden="false" customHeight="false" outlineLevel="0" collapsed="false">
      <c r="A189" s="8" t="s">
        <v>192</v>
      </c>
      <c r="B189" s="8" t="s">
        <v>256</v>
      </c>
      <c r="C189" s="9"/>
      <c r="D189" s="9" t="s">
        <v>68</v>
      </c>
      <c r="E189" s="9"/>
      <c r="F189" s="9"/>
      <c r="G189" s="9"/>
      <c r="H189" s="9"/>
      <c r="I189" s="9"/>
      <c r="J189" s="10" t="n">
        <f aca="false">COUNTIF(Fields!$A$2:$A$1001,B189)</f>
        <v>0</v>
      </c>
      <c r="K189" s="10" t="n">
        <f aca="false">COUNTIFS(Fields!$A$2:$A$1001,B189,Fields!$T$2:$T$1001,"vetted")</f>
        <v>0</v>
      </c>
      <c r="L189" s="10" t="n">
        <f aca="false">COUNTIFS(Fields!$A$2:$A$1001,B189,Fields!$Z$2:$Z$1001,"A")</f>
        <v>0</v>
      </c>
      <c r="M189" s="10" t="n">
        <f aca="false">COUNTIFS(Fields!$A$2:$A$1001,B189,Fields!$Z$2:$Z$1001,"B")</f>
        <v>0</v>
      </c>
      <c r="N189" s="10" t="n">
        <f aca="false">COUNTIFS(Fields!$A$2:$A$1001,B189,Fields!$Z$2:$Z$1001,"C")</f>
        <v>0</v>
      </c>
      <c r="O189" s="10" t="n">
        <f aca="false">COUNTIFS(Fields!$A$2:$A$1001,B189,Fields!$Z$2:$Z$1001,"A",Fields!$W$2:$W$1001,"Yes")+COUNTIFS(Fields!$A$2:$A$1001,B189,Fields!$Z$2:$Z$1001,"B",Fields!$W$2:$W$1001,"Yes")</f>
        <v>0</v>
      </c>
      <c r="P189" s="11" t="str">
        <f aca="false">IF(L189&gt;0,"A",IF(M189&gt;0,"B",IF(N189&gt;0,"C","")))</f>
        <v/>
      </c>
    </row>
    <row r="190" customFormat="false" ht="15" hidden="false" customHeight="false" outlineLevel="0" collapsed="false">
      <c r="A190" s="8" t="s">
        <v>192</v>
      </c>
      <c r="B190" s="8" t="s">
        <v>257</v>
      </c>
      <c r="C190" s="9"/>
      <c r="D190" s="9" t="s">
        <v>68</v>
      </c>
      <c r="E190" s="9"/>
      <c r="F190" s="9"/>
      <c r="G190" s="9"/>
      <c r="H190" s="9"/>
      <c r="I190" s="9"/>
      <c r="J190" s="10" t="n">
        <f aca="false">COUNTIF(Fields!$A$2:$A$1001,B190)</f>
        <v>0</v>
      </c>
      <c r="K190" s="10" t="n">
        <f aca="false">COUNTIFS(Fields!$A$2:$A$1001,B190,Fields!$T$2:$T$1001,"vetted")</f>
        <v>0</v>
      </c>
      <c r="L190" s="10" t="n">
        <f aca="false">COUNTIFS(Fields!$A$2:$A$1001,B190,Fields!$Z$2:$Z$1001,"A")</f>
        <v>0</v>
      </c>
      <c r="M190" s="10" t="n">
        <f aca="false">COUNTIFS(Fields!$A$2:$A$1001,B190,Fields!$Z$2:$Z$1001,"B")</f>
        <v>0</v>
      </c>
      <c r="N190" s="10" t="n">
        <f aca="false">COUNTIFS(Fields!$A$2:$A$1001,B190,Fields!$Z$2:$Z$1001,"C")</f>
        <v>0</v>
      </c>
      <c r="O190" s="10" t="n">
        <f aca="false">COUNTIFS(Fields!$A$2:$A$1001,B190,Fields!$Z$2:$Z$1001,"A",Fields!$W$2:$W$1001,"Yes")+COUNTIFS(Fields!$A$2:$A$1001,B190,Fields!$Z$2:$Z$1001,"B",Fields!$W$2:$W$1001,"Yes")</f>
        <v>0</v>
      </c>
      <c r="P190" s="11" t="str">
        <f aca="false">IF(L190&gt;0,"A",IF(M190&gt;0,"B",IF(N190&gt;0,"C","")))</f>
        <v/>
      </c>
    </row>
    <row r="191" customFormat="false" ht="15" hidden="false" customHeight="false" outlineLevel="0" collapsed="false">
      <c r="A191" s="8" t="s">
        <v>192</v>
      </c>
      <c r="B191" s="8" t="s">
        <v>258</v>
      </c>
      <c r="C191" s="9"/>
      <c r="D191" s="9" t="s">
        <v>68</v>
      </c>
      <c r="E191" s="9"/>
      <c r="F191" s="9"/>
      <c r="G191" s="9"/>
      <c r="H191" s="9"/>
      <c r="I191" s="9"/>
      <c r="J191" s="10" t="n">
        <f aca="false">COUNTIF(Fields!$A$2:$A$1001,B191)</f>
        <v>0</v>
      </c>
      <c r="K191" s="10" t="n">
        <f aca="false">COUNTIFS(Fields!$A$2:$A$1001,B191,Fields!$T$2:$T$1001,"vetted")</f>
        <v>0</v>
      </c>
      <c r="L191" s="10" t="n">
        <f aca="false">COUNTIFS(Fields!$A$2:$A$1001,B191,Fields!$Z$2:$Z$1001,"A")</f>
        <v>0</v>
      </c>
      <c r="M191" s="10" t="n">
        <f aca="false">COUNTIFS(Fields!$A$2:$A$1001,B191,Fields!$Z$2:$Z$1001,"B")</f>
        <v>0</v>
      </c>
      <c r="N191" s="10" t="n">
        <f aca="false">COUNTIFS(Fields!$A$2:$A$1001,B191,Fields!$Z$2:$Z$1001,"C")</f>
        <v>0</v>
      </c>
      <c r="O191" s="10" t="n">
        <f aca="false">COUNTIFS(Fields!$A$2:$A$1001,B191,Fields!$Z$2:$Z$1001,"A",Fields!$W$2:$W$1001,"Yes")+COUNTIFS(Fields!$A$2:$A$1001,B191,Fields!$Z$2:$Z$1001,"B",Fields!$W$2:$W$1001,"Yes")</f>
        <v>0</v>
      </c>
      <c r="P191" s="11" t="str">
        <f aca="false">IF(L191&gt;0,"A",IF(M191&gt;0,"B",IF(N191&gt;0,"C","")))</f>
        <v/>
      </c>
    </row>
    <row r="192" customFormat="false" ht="15" hidden="false" customHeight="false" outlineLevel="0" collapsed="false">
      <c r="A192" s="8" t="s">
        <v>192</v>
      </c>
      <c r="B192" s="8" t="s">
        <v>259</v>
      </c>
      <c r="C192" s="9"/>
      <c r="D192" s="9" t="s">
        <v>68</v>
      </c>
      <c r="E192" s="9"/>
      <c r="F192" s="9"/>
      <c r="G192" s="9"/>
      <c r="H192" s="9"/>
      <c r="I192" s="9"/>
      <c r="J192" s="10" t="n">
        <f aca="false">COUNTIF(Fields!$A$2:$A$1001,B192)</f>
        <v>0</v>
      </c>
      <c r="K192" s="10" t="n">
        <f aca="false">COUNTIFS(Fields!$A$2:$A$1001,B192,Fields!$T$2:$T$1001,"vetted")</f>
        <v>0</v>
      </c>
      <c r="L192" s="10" t="n">
        <f aca="false">COUNTIFS(Fields!$A$2:$A$1001,B192,Fields!$Z$2:$Z$1001,"A")</f>
        <v>0</v>
      </c>
      <c r="M192" s="10" t="n">
        <f aca="false">COUNTIFS(Fields!$A$2:$A$1001,B192,Fields!$Z$2:$Z$1001,"B")</f>
        <v>0</v>
      </c>
      <c r="N192" s="10" t="n">
        <f aca="false">COUNTIFS(Fields!$A$2:$A$1001,B192,Fields!$Z$2:$Z$1001,"C")</f>
        <v>0</v>
      </c>
      <c r="O192" s="10" t="n">
        <f aca="false">COUNTIFS(Fields!$A$2:$A$1001,B192,Fields!$Z$2:$Z$1001,"A",Fields!$W$2:$W$1001,"Yes")+COUNTIFS(Fields!$A$2:$A$1001,B192,Fields!$Z$2:$Z$1001,"B",Fields!$W$2:$W$1001,"Yes")</f>
        <v>0</v>
      </c>
      <c r="P192" s="11" t="str">
        <f aca="false">IF(L192&gt;0,"A",IF(M192&gt;0,"B",IF(N192&gt;0,"C","")))</f>
        <v/>
      </c>
    </row>
    <row r="193" customFormat="false" ht="15" hidden="false" customHeight="false" outlineLevel="0" collapsed="false">
      <c r="A193" s="8" t="s">
        <v>192</v>
      </c>
      <c r="B193" s="8" t="s">
        <v>260</v>
      </c>
      <c r="C193" s="9"/>
      <c r="D193" s="9" t="s">
        <v>68</v>
      </c>
      <c r="E193" s="9"/>
      <c r="F193" s="9"/>
      <c r="G193" s="9"/>
      <c r="H193" s="9"/>
      <c r="I193" s="9"/>
      <c r="J193" s="10" t="n">
        <f aca="false">COUNTIF(Fields!$A$2:$A$1001,B193)</f>
        <v>0</v>
      </c>
      <c r="K193" s="10" t="n">
        <f aca="false">COUNTIFS(Fields!$A$2:$A$1001,B193,Fields!$T$2:$T$1001,"vetted")</f>
        <v>0</v>
      </c>
      <c r="L193" s="10" t="n">
        <f aca="false">COUNTIFS(Fields!$A$2:$A$1001,B193,Fields!$Z$2:$Z$1001,"A")</f>
        <v>0</v>
      </c>
      <c r="M193" s="10" t="n">
        <f aca="false">COUNTIFS(Fields!$A$2:$A$1001,B193,Fields!$Z$2:$Z$1001,"B")</f>
        <v>0</v>
      </c>
      <c r="N193" s="10" t="n">
        <f aca="false">COUNTIFS(Fields!$A$2:$A$1001,B193,Fields!$Z$2:$Z$1001,"C")</f>
        <v>0</v>
      </c>
      <c r="O193" s="10" t="n">
        <f aca="false">COUNTIFS(Fields!$A$2:$A$1001,B193,Fields!$Z$2:$Z$1001,"A",Fields!$W$2:$W$1001,"Yes")+COUNTIFS(Fields!$A$2:$A$1001,B193,Fields!$Z$2:$Z$1001,"B",Fields!$W$2:$W$1001,"Yes")</f>
        <v>0</v>
      </c>
      <c r="P193" s="11" t="str">
        <f aca="false">IF(L193&gt;0,"A",IF(M193&gt;0,"B",IF(N193&gt;0,"C","")))</f>
        <v/>
      </c>
    </row>
    <row r="194" customFormat="false" ht="15" hidden="false" customHeight="false" outlineLevel="0" collapsed="false">
      <c r="A194" s="8" t="s">
        <v>192</v>
      </c>
      <c r="B194" s="8" t="s">
        <v>261</v>
      </c>
      <c r="C194" s="9"/>
      <c r="D194" s="9" t="s">
        <v>68</v>
      </c>
      <c r="E194" s="9"/>
      <c r="F194" s="9"/>
      <c r="G194" s="9"/>
      <c r="H194" s="9"/>
      <c r="I194" s="9"/>
      <c r="J194" s="10" t="n">
        <f aca="false">COUNTIF(Fields!$A$2:$A$1001,B194)</f>
        <v>0</v>
      </c>
      <c r="K194" s="10" t="n">
        <f aca="false">COUNTIFS(Fields!$A$2:$A$1001,B194,Fields!$T$2:$T$1001,"vetted")</f>
        <v>0</v>
      </c>
      <c r="L194" s="10" t="n">
        <f aca="false">COUNTIFS(Fields!$A$2:$A$1001,B194,Fields!$Z$2:$Z$1001,"A")</f>
        <v>0</v>
      </c>
      <c r="M194" s="10" t="n">
        <f aca="false">COUNTIFS(Fields!$A$2:$A$1001,B194,Fields!$Z$2:$Z$1001,"B")</f>
        <v>0</v>
      </c>
      <c r="N194" s="10" t="n">
        <f aca="false">COUNTIFS(Fields!$A$2:$A$1001,B194,Fields!$Z$2:$Z$1001,"C")</f>
        <v>0</v>
      </c>
      <c r="O194" s="10" t="n">
        <f aca="false">COUNTIFS(Fields!$A$2:$A$1001,B194,Fields!$Z$2:$Z$1001,"A",Fields!$W$2:$W$1001,"Yes")+COUNTIFS(Fields!$A$2:$A$1001,B194,Fields!$Z$2:$Z$1001,"B",Fields!$W$2:$W$1001,"Yes")</f>
        <v>0</v>
      </c>
      <c r="P194" s="11" t="str">
        <f aca="false">IF(L194&gt;0,"A",IF(M194&gt;0,"B",IF(N194&gt;0,"C","")))</f>
        <v/>
      </c>
    </row>
    <row r="195" customFormat="false" ht="15" hidden="false" customHeight="false" outlineLevel="0" collapsed="false">
      <c r="A195" s="8" t="s">
        <v>192</v>
      </c>
      <c r="B195" s="8" t="s">
        <v>262</v>
      </c>
      <c r="C195" s="9"/>
      <c r="D195" s="9" t="s">
        <v>68</v>
      </c>
      <c r="E195" s="9"/>
      <c r="F195" s="9"/>
      <c r="G195" s="9"/>
      <c r="H195" s="9"/>
      <c r="I195" s="9"/>
      <c r="J195" s="10" t="n">
        <f aca="false">COUNTIF(Fields!$A$2:$A$1001,B195)</f>
        <v>0</v>
      </c>
      <c r="K195" s="10" t="n">
        <f aca="false">COUNTIFS(Fields!$A$2:$A$1001,B195,Fields!$T$2:$T$1001,"vetted")</f>
        <v>0</v>
      </c>
      <c r="L195" s="10" t="n">
        <f aca="false">COUNTIFS(Fields!$A$2:$A$1001,B195,Fields!$Z$2:$Z$1001,"A")</f>
        <v>0</v>
      </c>
      <c r="M195" s="10" t="n">
        <f aca="false">COUNTIFS(Fields!$A$2:$A$1001,B195,Fields!$Z$2:$Z$1001,"B")</f>
        <v>0</v>
      </c>
      <c r="N195" s="10" t="n">
        <f aca="false">COUNTIFS(Fields!$A$2:$A$1001,B195,Fields!$Z$2:$Z$1001,"C")</f>
        <v>0</v>
      </c>
      <c r="O195" s="10" t="n">
        <f aca="false">COUNTIFS(Fields!$A$2:$A$1001,B195,Fields!$Z$2:$Z$1001,"A",Fields!$W$2:$W$1001,"Yes")+COUNTIFS(Fields!$A$2:$A$1001,B195,Fields!$Z$2:$Z$1001,"B",Fields!$W$2:$W$1001,"Yes")</f>
        <v>0</v>
      </c>
      <c r="P195" s="11" t="str">
        <f aca="false">IF(L195&gt;0,"A",IF(M195&gt;0,"B",IF(N195&gt;0,"C","")))</f>
        <v/>
      </c>
    </row>
    <row r="196" customFormat="false" ht="15" hidden="false" customHeight="false" outlineLevel="0" collapsed="false">
      <c r="A196" s="8" t="s">
        <v>192</v>
      </c>
      <c r="B196" s="8" t="s">
        <v>263</v>
      </c>
      <c r="C196" s="9"/>
      <c r="D196" s="9" t="s">
        <v>68</v>
      </c>
      <c r="E196" s="9"/>
      <c r="F196" s="9"/>
      <c r="G196" s="9"/>
      <c r="H196" s="9"/>
      <c r="I196" s="9"/>
      <c r="J196" s="10" t="n">
        <f aca="false">COUNTIF(Fields!$A$2:$A$1001,B196)</f>
        <v>0</v>
      </c>
      <c r="K196" s="10" t="n">
        <f aca="false">COUNTIFS(Fields!$A$2:$A$1001,B196,Fields!$T$2:$T$1001,"vetted")</f>
        <v>0</v>
      </c>
      <c r="L196" s="10" t="n">
        <f aca="false">COUNTIFS(Fields!$A$2:$A$1001,B196,Fields!$Z$2:$Z$1001,"A")</f>
        <v>0</v>
      </c>
      <c r="M196" s="10" t="n">
        <f aca="false">COUNTIFS(Fields!$A$2:$A$1001,B196,Fields!$Z$2:$Z$1001,"B")</f>
        <v>0</v>
      </c>
      <c r="N196" s="10" t="n">
        <f aca="false">COUNTIFS(Fields!$A$2:$A$1001,B196,Fields!$Z$2:$Z$1001,"C")</f>
        <v>0</v>
      </c>
      <c r="O196" s="10" t="n">
        <f aca="false">COUNTIFS(Fields!$A$2:$A$1001,B196,Fields!$Z$2:$Z$1001,"A",Fields!$W$2:$W$1001,"Yes")+COUNTIFS(Fields!$A$2:$A$1001,B196,Fields!$Z$2:$Z$1001,"B",Fields!$W$2:$W$1001,"Yes")</f>
        <v>0</v>
      </c>
      <c r="P196" s="11" t="str">
        <f aca="false">IF(L196&gt;0,"A",IF(M196&gt;0,"B",IF(N196&gt;0,"C","")))</f>
        <v/>
      </c>
    </row>
    <row r="197" customFormat="false" ht="15" hidden="false" customHeight="false" outlineLevel="0" collapsed="false">
      <c r="A197" s="8" t="s">
        <v>192</v>
      </c>
      <c r="B197" s="8" t="s">
        <v>264</v>
      </c>
      <c r="C197" s="9"/>
      <c r="D197" s="9" t="s">
        <v>68</v>
      </c>
      <c r="E197" s="9"/>
      <c r="F197" s="9"/>
      <c r="G197" s="9"/>
      <c r="H197" s="9"/>
      <c r="I197" s="9"/>
      <c r="J197" s="10" t="n">
        <f aca="false">COUNTIF(Fields!$A$2:$A$1001,B197)</f>
        <v>0</v>
      </c>
      <c r="K197" s="10" t="n">
        <f aca="false">COUNTIFS(Fields!$A$2:$A$1001,B197,Fields!$T$2:$T$1001,"vetted")</f>
        <v>0</v>
      </c>
      <c r="L197" s="10" t="n">
        <f aca="false">COUNTIFS(Fields!$A$2:$A$1001,B197,Fields!$Z$2:$Z$1001,"A")</f>
        <v>0</v>
      </c>
      <c r="M197" s="10" t="n">
        <f aca="false">COUNTIFS(Fields!$A$2:$A$1001,B197,Fields!$Z$2:$Z$1001,"B")</f>
        <v>0</v>
      </c>
      <c r="N197" s="10" t="n">
        <f aca="false">COUNTIFS(Fields!$A$2:$A$1001,B197,Fields!$Z$2:$Z$1001,"C")</f>
        <v>0</v>
      </c>
      <c r="O197" s="10" t="n">
        <f aca="false">COUNTIFS(Fields!$A$2:$A$1001,B197,Fields!$Z$2:$Z$1001,"A",Fields!$W$2:$W$1001,"Yes")+COUNTIFS(Fields!$A$2:$A$1001,B197,Fields!$Z$2:$Z$1001,"B",Fields!$W$2:$W$1001,"Yes")</f>
        <v>0</v>
      </c>
      <c r="P197" s="11" t="str">
        <f aca="false">IF(L197&gt;0,"A",IF(M197&gt;0,"B",IF(N197&gt;0,"C","")))</f>
        <v/>
      </c>
    </row>
    <row r="198" customFormat="false" ht="15" hidden="false" customHeight="false" outlineLevel="0" collapsed="false">
      <c r="A198" s="8" t="s">
        <v>192</v>
      </c>
      <c r="B198" s="8" t="s">
        <v>265</v>
      </c>
      <c r="C198" s="9"/>
      <c r="D198" s="9" t="s">
        <v>68</v>
      </c>
      <c r="E198" s="9"/>
      <c r="F198" s="9"/>
      <c r="G198" s="9"/>
      <c r="H198" s="9"/>
      <c r="I198" s="9"/>
      <c r="J198" s="10" t="n">
        <f aca="false">COUNTIF(Fields!$A$2:$A$1001,B198)</f>
        <v>0</v>
      </c>
      <c r="K198" s="10" t="n">
        <f aca="false">COUNTIFS(Fields!$A$2:$A$1001,B198,Fields!$T$2:$T$1001,"vetted")</f>
        <v>0</v>
      </c>
      <c r="L198" s="10" t="n">
        <f aca="false">COUNTIFS(Fields!$A$2:$A$1001,B198,Fields!$Z$2:$Z$1001,"A")</f>
        <v>0</v>
      </c>
      <c r="M198" s="10" t="n">
        <f aca="false">COUNTIFS(Fields!$A$2:$A$1001,B198,Fields!$Z$2:$Z$1001,"B")</f>
        <v>0</v>
      </c>
      <c r="N198" s="10" t="n">
        <f aca="false">COUNTIFS(Fields!$A$2:$A$1001,B198,Fields!$Z$2:$Z$1001,"C")</f>
        <v>0</v>
      </c>
      <c r="O198" s="10" t="n">
        <f aca="false">COUNTIFS(Fields!$A$2:$A$1001,B198,Fields!$Z$2:$Z$1001,"A",Fields!$W$2:$W$1001,"Yes")+COUNTIFS(Fields!$A$2:$A$1001,B198,Fields!$Z$2:$Z$1001,"B",Fields!$W$2:$W$1001,"Yes")</f>
        <v>0</v>
      </c>
      <c r="P198" s="11" t="str">
        <f aca="false">IF(L198&gt;0,"A",IF(M198&gt;0,"B",IF(N198&gt;0,"C","")))</f>
        <v/>
      </c>
    </row>
    <row r="199" customFormat="false" ht="15" hidden="false" customHeight="false" outlineLevel="0" collapsed="false">
      <c r="A199" s="8" t="s">
        <v>192</v>
      </c>
      <c r="B199" s="8" t="s">
        <v>266</v>
      </c>
      <c r="C199" s="9"/>
      <c r="D199" s="9" t="s">
        <v>68</v>
      </c>
      <c r="E199" s="9"/>
      <c r="F199" s="9"/>
      <c r="G199" s="9"/>
      <c r="H199" s="9"/>
      <c r="I199" s="9"/>
      <c r="J199" s="10" t="n">
        <f aca="false">COUNTIF(Fields!$A$2:$A$1001,B199)</f>
        <v>0</v>
      </c>
      <c r="K199" s="10" t="n">
        <f aca="false">COUNTIFS(Fields!$A$2:$A$1001,B199,Fields!$T$2:$T$1001,"vetted")</f>
        <v>0</v>
      </c>
      <c r="L199" s="10" t="n">
        <f aca="false">COUNTIFS(Fields!$A$2:$A$1001,B199,Fields!$Z$2:$Z$1001,"A")</f>
        <v>0</v>
      </c>
      <c r="M199" s="10" t="n">
        <f aca="false">COUNTIFS(Fields!$A$2:$A$1001,B199,Fields!$Z$2:$Z$1001,"B")</f>
        <v>0</v>
      </c>
      <c r="N199" s="10" t="n">
        <f aca="false">COUNTIFS(Fields!$A$2:$A$1001,B199,Fields!$Z$2:$Z$1001,"C")</f>
        <v>0</v>
      </c>
      <c r="O199" s="10" t="n">
        <f aca="false">COUNTIFS(Fields!$A$2:$A$1001,B199,Fields!$Z$2:$Z$1001,"A",Fields!$W$2:$W$1001,"Yes")+COUNTIFS(Fields!$A$2:$A$1001,B199,Fields!$Z$2:$Z$1001,"B",Fields!$W$2:$W$1001,"Yes")</f>
        <v>0</v>
      </c>
      <c r="P199" s="11" t="str">
        <f aca="false">IF(L199&gt;0,"A",IF(M199&gt;0,"B",IF(N199&gt;0,"C","")))</f>
        <v/>
      </c>
    </row>
    <row r="200" customFormat="false" ht="15" hidden="false" customHeight="false" outlineLevel="0" collapsed="false">
      <c r="A200" s="8" t="s">
        <v>192</v>
      </c>
      <c r="B200" s="8" t="s">
        <v>267</v>
      </c>
      <c r="C200" s="9"/>
      <c r="D200" s="9" t="s">
        <v>68</v>
      </c>
      <c r="E200" s="9"/>
      <c r="F200" s="9"/>
      <c r="G200" s="9"/>
      <c r="H200" s="9"/>
      <c r="I200" s="9"/>
      <c r="J200" s="10" t="n">
        <f aca="false">COUNTIF(Fields!$A$2:$A$1001,B200)</f>
        <v>0</v>
      </c>
      <c r="K200" s="10" t="n">
        <f aca="false">COUNTIFS(Fields!$A$2:$A$1001,B200,Fields!$T$2:$T$1001,"vetted")</f>
        <v>0</v>
      </c>
      <c r="L200" s="10" t="n">
        <f aca="false">COUNTIFS(Fields!$A$2:$A$1001,B200,Fields!$Z$2:$Z$1001,"A")</f>
        <v>0</v>
      </c>
      <c r="M200" s="10" t="n">
        <f aca="false">COUNTIFS(Fields!$A$2:$A$1001,B200,Fields!$Z$2:$Z$1001,"B")</f>
        <v>0</v>
      </c>
      <c r="N200" s="10" t="n">
        <f aca="false">COUNTIFS(Fields!$A$2:$A$1001,B200,Fields!$Z$2:$Z$1001,"C")</f>
        <v>0</v>
      </c>
      <c r="O200" s="10" t="n">
        <f aca="false">COUNTIFS(Fields!$A$2:$A$1001,B200,Fields!$Z$2:$Z$1001,"A",Fields!$W$2:$W$1001,"Yes")+COUNTIFS(Fields!$A$2:$A$1001,B200,Fields!$Z$2:$Z$1001,"B",Fields!$W$2:$W$1001,"Yes")</f>
        <v>0</v>
      </c>
      <c r="P200" s="11" t="str">
        <f aca="false">IF(L200&gt;0,"A",IF(M200&gt;0,"B",IF(N200&gt;0,"C","")))</f>
        <v/>
      </c>
    </row>
    <row r="201" customFormat="false" ht="15" hidden="false" customHeight="false" outlineLevel="0" collapsed="false">
      <c r="A201" s="8" t="s">
        <v>192</v>
      </c>
      <c r="B201" s="8" t="s">
        <v>268</v>
      </c>
      <c r="C201" s="9"/>
      <c r="D201" s="9" t="s">
        <v>68</v>
      </c>
      <c r="E201" s="9"/>
      <c r="F201" s="9"/>
      <c r="G201" s="9"/>
      <c r="H201" s="9"/>
      <c r="I201" s="9"/>
      <c r="J201" s="10" t="n">
        <f aca="false">COUNTIF(Fields!$A$2:$A$1001,B201)</f>
        <v>0</v>
      </c>
      <c r="K201" s="10" t="n">
        <f aca="false">COUNTIFS(Fields!$A$2:$A$1001,B201,Fields!$T$2:$T$1001,"vetted")</f>
        <v>0</v>
      </c>
      <c r="L201" s="10" t="n">
        <f aca="false">COUNTIFS(Fields!$A$2:$A$1001,B201,Fields!$Z$2:$Z$1001,"A")</f>
        <v>0</v>
      </c>
      <c r="M201" s="10" t="n">
        <f aca="false">COUNTIFS(Fields!$A$2:$A$1001,B201,Fields!$Z$2:$Z$1001,"B")</f>
        <v>0</v>
      </c>
      <c r="N201" s="10" t="n">
        <f aca="false">COUNTIFS(Fields!$A$2:$A$1001,B201,Fields!$Z$2:$Z$1001,"C")</f>
        <v>0</v>
      </c>
      <c r="O201" s="10" t="n">
        <f aca="false">COUNTIFS(Fields!$A$2:$A$1001,B201,Fields!$Z$2:$Z$1001,"A",Fields!$W$2:$W$1001,"Yes")+COUNTIFS(Fields!$A$2:$A$1001,B201,Fields!$Z$2:$Z$1001,"B",Fields!$W$2:$W$1001,"Yes")</f>
        <v>0</v>
      </c>
      <c r="P201" s="11" t="str">
        <f aca="false">IF(L201&gt;0,"A",IF(M201&gt;0,"B",IF(N201&gt;0,"C","")))</f>
        <v/>
      </c>
    </row>
    <row r="202" customFormat="false" ht="15" hidden="false" customHeight="false" outlineLevel="0" collapsed="false">
      <c r="A202" s="8" t="s">
        <v>192</v>
      </c>
      <c r="B202" s="8" t="s">
        <v>269</v>
      </c>
      <c r="C202" s="9"/>
      <c r="D202" s="9" t="s">
        <v>68</v>
      </c>
      <c r="E202" s="9"/>
      <c r="F202" s="9"/>
      <c r="G202" s="9"/>
      <c r="H202" s="9"/>
      <c r="I202" s="9"/>
      <c r="J202" s="10" t="n">
        <f aca="false">COUNTIF(Fields!$A$2:$A$1001,B202)</f>
        <v>0</v>
      </c>
      <c r="K202" s="10" t="n">
        <f aca="false">COUNTIFS(Fields!$A$2:$A$1001,B202,Fields!$T$2:$T$1001,"vetted")</f>
        <v>0</v>
      </c>
      <c r="L202" s="10" t="n">
        <f aca="false">COUNTIFS(Fields!$A$2:$A$1001,B202,Fields!$Z$2:$Z$1001,"A")</f>
        <v>0</v>
      </c>
      <c r="M202" s="10" t="n">
        <f aca="false">COUNTIFS(Fields!$A$2:$A$1001,B202,Fields!$Z$2:$Z$1001,"B")</f>
        <v>0</v>
      </c>
      <c r="N202" s="10" t="n">
        <f aca="false">COUNTIFS(Fields!$A$2:$A$1001,B202,Fields!$Z$2:$Z$1001,"C")</f>
        <v>0</v>
      </c>
      <c r="O202" s="10" t="n">
        <f aca="false">COUNTIFS(Fields!$A$2:$A$1001,B202,Fields!$Z$2:$Z$1001,"A",Fields!$W$2:$W$1001,"Yes")+COUNTIFS(Fields!$A$2:$A$1001,B202,Fields!$Z$2:$Z$1001,"B",Fields!$W$2:$W$1001,"Yes")</f>
        <v>0</v>
      </c>
      <c r="P202" s="11" t="str">
        <f aca="false">IF(L202&gt;0,"A",IF(M202&gt;0,"B",IF(N202&gt;0,"C","")))</f>
        <v/>
      </c>
    </row>
    <row r="203" customFormat="false" ht="15" hidden="false" customHeight="false" outlineLevel="0" collapsed="false">
      <c r="A203" s="8" t="s">
        <v>192</v>
      </c>
      <c r="B203" s="8" t="s">
        <v>270</v>
      </c>
      <c r="C203" s="9"/>
      <c r="D203" s="9" t="s">
        <v>68</v>
      </c>
      <c r="E203" s="9"/>
      <c r="F203" s="9"/>
      <c r="G203" s="9"/>
      <c r="H203" s="9"/>
      <c r="I203" s="9"/>
      <c r="J203" s="10" t="n">
        <f aca="false">COUNTIF(Fields!$A$2:$A$1001,B203)</f>
        <v>0</v>
      </c>
      <c r="K203" s="10" t="n">
        <f aca="false">COUNTIFS(Fields!$A$2:$A$1001,B203,Fields!$T$2:$T$1001,"vetted")</f>
        <v>0</v>
      </c>
      <c r="L203" s="10" t="n">
        <f aca="false">COUNTIFS(Fields!$A$2:$A$1001,B203,Fields!$Z$2:$Z$1001,"A")</f>
        <v>0</v>
      </c>
      <c r="M203" s="10" t="n">
        <f aca="false">COUNTIFS(Fields!$A$2:$A$1001,B203,Fields!$Z$2:$Z$1001,"B")</f>
        <v>0</v>
      </c>
      <c r="N203" s="10" t="n">
        <f aca="false">COUNTIFS(Fields!$A$2:$A$1001,B203,Fields!$Z$2:$Z$1001,"C")</f>
        <v>0</v>
      </c>
      <c r="O203" s="10" t="n">
        <f aca="false">COUNTIFS(Fields!$A$2:$A$1001,B203,Fields!$Z$2:$Z$1001,"A",Fields!$W$2:$W$1001,"Yes")+COUNTIFS(Fields!$A$2:$A$1001,B203,Fields!$Z$2:$Z$1001,"B",Fields!$W$2:$W$1001,"Yes")</f>
        <v>0</v>
      </c>
      <c r="P203" s="11" t="str">
        <f aca="false">IF(L203&gt;0,"A",IF(M203&gt;0,"B",IF(N203&gt;0,"C","")))</f>
        <v/>
      </c>
    </row>
    <row r="204" customFormat="false" ht="15" hidden="false" customHeight="false" outlineLevel="0" collapsed="false">
      <c r="A204" s="8" t="s">
        <v>192</v>
      </c>
      <c r="B204" s="8" t="s">
        <v>271</v>
      </c>
      <c r="C204" s="9"/>
      <c r="D204" s="9" t="s">
        <v>68</v>
      </c>
      <c r="E204" s="9"/>
      <c r="F204" s="9"/>
      <c r="G204" s="9"/>
      <c r="H204" s="9"/>
      <c r="I204" s="9"/>
      <c r="J204" s="10" t="n">
        <f aca="false">COUNTIF(Fields!$A$2:$A$1001,B204)</f>
        <v>0</v>
      </c>
      <c r="K204" s="10" t="n">
        <f aca="false">COUNTIFS(Fields!$A$2:$A$1001,B204,Fields!$T$2:$T$1001,"vetted")</f>
        <v>0</v>
      </c>
      <c r="L204" s="10" t="n">
        <f aca="false">COUNTIFS(Fields!$A$2:$A$1001,B204,Fields!$Z$2:$Z$1001,"A")</f>
        <v>0</v>
      </c>
      <c r="M204" s="10" t="n">
        <f aca="false">COUNTIFS(Fields!$A$2:$A$1001,B204,Fields!$Z$2:$Z$1001,"B")</f>
        <v>0</v>
      </c>
      <c r="N204" s="10" t="n">
        <f aca="false">COUNTIFS(Fields!$A$2:$A$1001,B204,Fields!$Z$2:$Z$1001,"C")</f>
        <v>0</v>
      </c>
      <c r="O204" s="10" t="n">
        <f aca="false">COUNTIFS(Fields!$A$2:$A$1001,B204,Fields!$Z$2:$Z$1001,"A",Fields!$W$2:$W$1001,"Yes")+COUNTIFS(Fields!$A$2:$A$1001,B204,Fields!$Z$2:$Z$1001,"B",Fields!$W$2:$W$1001,"Yes")</f>
        <v>0</v>
      </c>
      <c r="P204" s="11" t="str">
        <f aca="false">IF(L204&gt;0,"A",IF(M204&gt;0,"B",IF(N204&gt;0,"C","")))</f>
        <v/>
      </c>
    </row>
    <row r="205" customFormat="false" ht="15" hidden="false" customHeight="false" outlineLevel="0" collapsed="false">
      <c r="A205" s="8" t="s">
        <v>192</v>
      </c>
      <c r="B205" s="8" t="s">
        <v>272</v>
      </c>
      <c r="C205" s="9"/>
      <c r="D205" s="9" t="s">
        <v>68</v>
      </c>
      <c r="E205" s="9"/>
      <c r="F205" s="9"/>
      <c r="G205" s="9"/>
      <c r="H205" s="9"/>
      <c r="I205" s="9"/>
      <c r="J205" s="10" t="n">
        <f aca="false">COUNTIF(Fields!$A$2:$A$1001,B205)</f>
        <v>0</v>
      </c>
      <c r="K205" s="10" t="n">
        <f aca="false">COUNTIFS(Fields!$A$2:$A$1001,B205,Fields!$T$2:$T$1001,"vetted")</f>
        <v>0</v>
      </c>
      <c r="L205" s="10" t="n">
        <f aca="false">COUNTIFS(Fields!$A$2:$A$1001,B205,Fields!$Z$2:$Z$1001,"A")</f>
        <v>0</v>
      </c>
      <c r="M205" s="10" t="n">
        <f aca="false">COUNTIFS(Fields!$A$2:$A$1001,B205,Fields!$Z$2:$Z$1001,"B")</f>
        <v>0</v>
      </c>
      <c r="N205" s="10" t="n">
        <f aca="false">COUNTIFS(Fields!$A$2:$A$1001,B205,Fields!$Z$2:$Z$1001,"C")</f>
        <v>0</v>
      </c>
      <c r="O205" s="10" t="n">
        <f aca="false">COUNTIFS(Fields!$A$2:$A$1001,B205,Fields!$Z$2:$Z$1001,"A",Fields!$W$2:$W$1001,"Yes")+COUNTIFS(Fields!$A$2:$A$1001,B205,Fields!$Z$2:$Z$1001,"B",Fields!$W$2:$W$1001,"Yes")</f>
        <v>0</v>
      </c>
      <c r="P205" s="11" t="str">
        <f aca="false">IF(L205&gt;0,"A",IF(M205&gt;0,"B",IF(N205&gt;0,"C","")))</f>
        <v/>
      </c>
    </row>
    <row r="206" customFormat="false" ht="15" hidden="false" customHeight="false" outlineLevel="0" collapsed="false">
      <c r="A206" s="8" t="s">
        <v>192</v>
      </c>
      <c r="B206" s="8" t="s">
        <v>273</v>
      </c>
      <c r="C206" s="9"/>
      <c r="D206" s="9" t="s">
        <v>68</v>
      </c>
      <c r="E206" s="9"/>
      <c r="F206" s="9"/>
      <c r="G206" s="9"/>
      <c r="H206" s="9"/>
      <c r="I206" s="9"/>
      <c r="J206" s="10" t="n">
        <f aca="false">COUNTIF(Fields!$A$2:$A$1001,B206)</f>
        <v>0</v>
      </c>
      <c r="K206" s="10" t="n">
        <f aca="false">COUNTIFS(Fields!$A$2:$A$1001,B206,Fields!$T$2:$T$1001,"vetted")</f>
        <v>0</v>
      </c>
      <c r="L206" s="10" t="n">
        <f aca="false">COUNTIFS(Fields!$A$2:$A$1001,B206,Fields!$Z$2:$Z$1001,"A")</f>
        <v>0</v>
      </c>
      <c r="M206" s="10" t="n">
        <f aca="false">COUNTIFS(Fields!$A$2:$A$1001,B206,Fields!$Z$2:$Z$1001,"B")</f>
        <v>0</v>
      </c>
      <c r="N206" s="10" t="n">
        <f aca="false">COUNTIFS(Fields!$A$2:$A$1001,B206,Fields!$Z$2:$Z$1001,"C")</f>
        <v>0</v>
      </c>
      <c r="O206" s="10" t="n">
        <f aca="false">COUNTIFS(Fields!$A$2:$A$1001,B206,Fields!$Z$2:$Z$1001,"A",Fields!$W$2:$W$1001,"Yes")+COUNTIFS(Fields!$A$2:$A$1001,B206,Fields!$Z$2:$Z$1001,"B",Fields!$W$2:$W$1001,"Yes")</f>
        <v>0</v>
      </c>
      <c r="P206" s="11" t="str">
        <f aca="false">IF(L206&gt;0,"A",IF(M206&gt;0,"B",IF(N206&gt;0,"C","")))</f>
        <v/>
      </c>
    </row>
    <row r="207" customFormat="false" ht="15" hidden="false" customHeight="false" outlineLevel="0" collapsed="false">
      <c r="A207" s="8" t="s">
        <v>192</v>
      </c>
      <c r="B207" s="8" t="s">
        <v>274</v>
      </c>
      <c r="C207" s="9"/>
      <c r="D207" s="9" t="s">
        <v>68</v>
      </c>
      <c r="E207" s="9"/>
      <c r="F207" s="9"/>
      <c r="G207" s="9"/>
      <c r="H207" s="9"/>
      <c r="I207" s="9"/>
      <c r="J207" s="10" t="n">
        <f aca="false">COUNTIF(Fields!$A$2:$A$1001,B207)</f>
        <v>0</v>
      </c>
      <c r="K207" s="10" t="n">
        <f aca="false">COUNTIFS(Fields!$A$2:$A$1001,B207,Fields!$T$2:$T$1001,"vetted")</f>
        <v>0</v>
      </c>
      <c r="L207" s="10" t="n">
        <f aca="false">COUNTIFS(Fields!$A$2:$A$1001,B207,Fields!$Z$2:$Z$1001,"A")</f>
        <v>0</v>
      </c>
      <c r="M207" s="10" t="n">
        <f aca="false">COUNTIFS(Fields!$A$2:$A$1001,B207,Fields!$Z$2:$Z$1001,"B")</f>
        <v>0</v>
      </c>
      <c r="N207" s="10" t="n">
        <f aca="false">COUNTIFS(Fields!$A$2:$A$1001,B207,Fields!$Z$2:$Z$1001,"C")</f>
        <v>0</v>
      </c>
      <c r="O207" s="10" t="n">
        <f aca="false">COUNTIFS(Fields!$A$2:$A$1001,B207,Fields!$Z$2:$Z$1001,"A",Fields!$W$2:$W$1001,"Yes")+COUNTIFS(Fields!$A$2:$A$1001,B207,Fields!$Z$2:$Z$1001,"B",Fields!$W$2:$W$1001,"Yes")</f>
        <v>0</v>
      </c>
      <c r="P207" s="11" t="str">
        <f aca="false">IF(L207&gt;0,"A",IF(M207&gt;0,"B",IF(N207&gt;0,"C","")))</f>
        <v/>
      </c>
    </row>
    <row r="208" customFormat="false" ht="15" hidden="false" customHeight="false" outlineLevel="0" collapsed="false">
      <c r="A208" s="8" t="s">
        <v>192</v>
      </c>
      <c r="B208" s="8" t="s">
        <v>275</v>
      </c>
      <c r="C208" s="9"/>
      <c r="D208" s="9" t="s">
        <v>68</v>
      </c>
      <c r="E208" s="9"/>
      <c r="F208" s="9"/>
      <c r="G208" s="9"/>
      <c r="H208" s="9"/>
      <c r="I208" s="9"/>
      <c r="J208" s="10" t="n">
        <f aca="false">COUNTIF(Fields!$A$2:$A$1001,B208)</f>
        <v>0</v>
      </c>
      <c r="K208" s="10" t="n">
        <f aca="false">COUNTIFS(Fields!$A$2:$A$1001,B208,Fields!$T$2:$T$1001,"vetted")</f>
        <v>0</v>
      </c>
      <c r="L208" s="10" t="n">
        <f aca="false">COUNTIFS(Fields!$A$2:$A$1001,B208,Fields!$Z$2:$Z$1001,"A")</f>
        <v>0</v>
      </c>
      <c r="M208" s="10" t="n">
        <f aca="false">COUNTIFS(Fields!$A$2:$A$1001,B208,Fields!$Z$2:$Z$1001,"B")</f>
        <v>0</v>
      </c>
      <c r="N208" s="10" t="n">
        <f aca="false">COUNTIFS(Fields!$A$2:$A$1001,B208,Fields!$Z$2:$Z$1001,"C")</f>
        <v>0</v>
      </c>
      <c r="O208" s="10" t="n">
        <f aca="false">COUNTIFS(Fields!$A$2:$A$1001,B208,Fields!$Z$2:$Z$1001,"A",Fields!$W$2:$W$1001,"Yes")+COUNTIFS(Fields!$A$2:$A$1001,B208,Fields!$Z$2:$Z$1001,"B",Fields!$W$2:$W$1001,"Yes")</f>
        <v>0</v>
      </c>
      <c r="P208" s="11" t="str">
        <f aca="false">IF(L208&gt;0,"A",IF(M208&gt;0,"B",IF(N208&gt;0,"C","")))</f>
        <v/>
      </c>
    </row>
    <row r="209" customFormat="false" ht="15" hidden="false" customHeight="false" outlineLevel="0" collapsed="false">
      <c r="A209" s="8" t="s">
        <v>192</v>
      </c>
      <c r="B209" s="8" t="s">
        <v>276</v>
      </c>
      <c r="C209" s="9"/>
      <c r="D209" s="9" t="s">
        <v>68</v>
      </c>
      <c r="E209" s="9"/>
      <c r="F209" s="9"/>
      <c r="G209" s="9"/>
      <c r="H209" s="9"/>
      <c r="I209" s="9"/>
      <c r="J209" s="10" t="n">
        <f aca="false">COUNTIF(Fields!$A$2:$A$1001,B209)</f>
        <v>0</v>
      </c>
      <c r="K209" s="10" t="n">
        <f aca="false">COUNTIFS(Fields!$A$2:$A$1001,B209,Fields!$T$2:$T$1001,"vetted")</f>
        <v>0</v>
      </c>
      <c r="L209" s="10" t="n">
        <f aca="false">COUNTIFS(Fields!$A$2:$A$1001,B209,Fields!$Z$2:$Z$1001,"A")</f>
        <v>0</v>
      </c>
      <c r="M209" s="10" t="n">
        <f aca="false">COUNTIFS(Fields!$A$2:$A$1001,B209,Fields!$Z$2:$Z$1001,"B")</f>
        <v>0</v>
      </c>
      <c r="N209" s="10" t="n">
        <f aca="false">COUNTIFS(Fields!$A$2:$A$1001,B209,Fields!$Z$2:$Z$1001,"C")</f>
        <v>0</v>
      </c>
      <c r="O209" s="10" t="n">
        <f aca="false">COUNTIFS(Fields!$A$2:$A$1001,B209,Fields!$Z$2:$Z$1001,"A",Fields!$W$2:$W$1001,"Yes")+COUNTIFS(Fields!$A$2:$A$1001,B209,Fields!$Z$2:$Z$1001,"B",Fields!$W$2:$W$1001,"Yes")</f>
        <v>0</v>
      </c>
      <c r="P209" s="11" t="str">
        <f aca="false">IF(L209&gt;0,"A",IF(M209&gt;0,"B",IF(N209&gt;0,"C","")))</f>
        <v/>
      </c>
    </row>
    <row r="210" customFormat="false" ht="15" hidden="false" customHeight="false" outlineLevel="0" collapsed="false">
      <c r="A210" s="8" t="s">
        <v>192</v>
      </c>
      <c r="B210" s="8" t="s">
        <v>277</v>
      </c>
      <c r="C210" s="9"/>
      <c r="D210" s="9" t="s">
        <v>68</v>
      </c>
      <c r="E210" s="9"/>
      <c r="F210" s="9"/>
      <c r="G210" s="9"/>
      <c r="H210" s="9"/>
      <c r="I210" s="9"/>
      <c r="J210" s="10" t="n">
        <f aca="false">COUNTIF(Fields!$A$2:$A$1001,B210)</f>
        <v>0</v>
      </c>
      <c r="K210" s="10" t="n">
        <f aca="false">COUNTIFS(Fields!$A$2:$A$1001,B210,Fields!$T$2:$T$1001,"vetted")</f>
        <v>0</v>
      </c>
      <c r="L210" s="10" t="n">
        <f aca="false">COUNTIFS(Fields!$A$2:$A$1001,B210,Fields!$Z$2:$Z$1001,"A")</f>
        <v>0</v>
      </c>
      <c r="M210" s="10" t="n">
        <f aca="false">COUNTIFS(Fields!$A$2:$A$1001,B210,Fields!$Z$2:$Z$1001,"B")</f>
        <v>0</v>
      </c>
      <c r="N210" s="10" t="n">
        <f aca="false">COUNTIFS(Fields!$A$2:$A$1001,B210,Fields!$Z$2:$Z$1001,"C")</f>
        <v>0</v>
      </c>
      <c r="O210" s="10" t="n">
        <f aca="false">COUNTIFS(Fields!$A$2:$A$1001,B210,Fields!$Z$2:$Z$1001,"A",Fields!$W$2:$W$1001,"Yes")+COUNTIFS(Fields!$A$2:$A$1001,B210,Fields!$Z$2:$Z$1001,"B",Fields!$W$2:$W$1001,"Yes")</f>
        <v>0</v>
      </c>
      <c r="P210" s="11" t="str">
        <f aca="false">IF(L210&gt;0,"A",IF(M210&gt;0,"B",IF(N210&gt;0,"C","")))</f>
        <v/>
      </c>
    </row>
    <row r="211" customFormat="false" ht="15" hidden="false" customHeight="false" outlineLevel="0" collapsed="false">
      <c r="A211" s="8" t="s">
        <v>192</v>
      </c>
      <c r="B211" s="8" t="s">
        <v>278</v>
      </c>
      <c r="C211" s="9"/>
      <c r="D211" s="9" t="s">
        <v>68</v>
      </c>
      <c r="E211" s="9"/>
      <c r="F211" s="9"/>
      <c r="G211" s="9"/>
      <c r="H211" s="9"/>
      <c r="I211" s="9"/>
      <c r="J211" s="10" t="n">
        <f aca="false">COUNTIF(Fields!$A$2:$A$1001,B211)</f>
        <v>0</v>
      </c>
      <c r="K211" s="10" t="n">
        <f aca="false">COUNTIFS(Fields!$A$2:$A$1001,B211,Fields!$T$2:$T$1001,"vetted")</f>
        <v>0</v>
      </c>
      <c r="L211" s="10" t="n">
        <f aca="false">COUNTIFS(Fields!$A$2:$A$1001,B211,Fields!$Z$2:$Z$1001,"A")</f>
        <v>0</v>
      </c>
      <c r="M211" s="10" t="n">
        <f aca="false">COUNTIFS(Fields!$A$2:$A$1001,B211,Fields!$Z$2:$Z$1001,"B")</f>
        <v>0</v>
      </c>
      <c r="N211" s="10" t="n">
        <f aca="false">COUNTIFS(Fields!$A$2:$A$1001,B211,Fields!$Z$2:$Z$1001,"C")</f>
        <v>0</v>
      </c>
      <c r="O211" s="10" t="n">
        <f aca="false">COUNTIFS(Fields!$A$2:$A$1001,B211,Fields!$Z$2:$Z$1001,"A",Fields!$W$2:$W$1001,"Yes")+COUNTIFS(Fields!$A$2:$A$1001,B211,Fields!$Z$2:$Z$1001,"B",Fields!$W$2:$W$1001,"Yes")</f>
        <v>0</v>
      </c>
      <c r="P211" s="11" t="str">
        <f aca="false">IF(L211&gt;0,"A",IF(M211&gt;0,"B",IF(N211&gt;0,"C","")))</f>
        <v/>
      </c>
    </row>
    <row r="212" customFormat="false" ht="15" hidden="false" customHeight="false" outlineLevel="0" collapsed="false">
      <c r="A212" s="8" t="s">
        <v>192</v>
      </c>
      <c r="B212" s="8" t="s">
        <v>279</v>
      </c>
      <c r="C212" s="9"/>
      <c r="D212" s="9" t="s">
        <v>68</v>
      </c>
      <c r="E212" s="9"/>
      <c r="F212" s="9"/>
      <c r="G212" s="9"/>
      <c r="H212" s="9"/>
      <c r="I212" s="9"/>
      <c r="J212" s="10" t="n">
        <f aca="false">COUNTIF(Fields!$A$2:$A$1001,B212)</f>
        <v>0</v>
      </c>
      <c r="K212" s="10" t="n">
        <f aca="false">COUNTIFS(Fields!$A$2:$A$1001,B212,Fields!$T$2:$T$1001,"vetted")</f>
        <v>0</v>
      </c>
      <c r="L212" s="10" t="n">
        <f aca="false">COUNTIFS(Fields!$A$2:$A$1001,B212,Fields!$Z$2:$Z$1001,"A")</f>
        <v>0</v>
      </c>
      <c r="M212" s="10" t="n">
        <f aca="false">COUNTIFS(Fields!$A$2:$A$1001,B212,Fields!$Z$2:$Z$1001,"B")</f>
        <v>0</v>
      </c>
      <c r="N212" s="10" t="n">
        <f aca="false">COUNTIFS(Fields!$A$2:$A$1001,B212,Fields!$Z$2:$Z$1001,"C")</f>
        <v>0</v>
      </c>
      <c r="O212" s="10" t="n">
        <f aca="false">COUNTIFS(Fields!$A$2:$A$1001,B212,Fields!$Z$2:$Z$1001,"A",Fields!$W$2:$W$1001,"Yes")+COUNTIFS(Fields!$A$2:$A$1001,B212,Fields!$Z$2:$Z$1001,"B",Fields!$W$2:$W$1001,"Yes")</f>
        <v>0</v>
      </c>
      <c r="P212" s="11" t="str">
        <f aca="false">IF(L212&gt;0,"A",IF(M212&gt;0,"B",IF(N212&gt;0,"C","")))</f>
        <v/>
      </c>
    </row>
    <row r="213" customFormat="false" ht="15" hidden="false" customHeight="false" outlineLevel="0" collapsed="false">
      <c r="A213" s="8" t="s">
        <v>192</v>
      </c>
      <c r="B213" s="8" t="s">
        <v>280</v>
      </c>
      <c r="C213" s="9"/>
      <c r="D213" s="9" t="s">
        <v>68</v>
      </c>
      <c r="E213" s="9"/>
      <c r="F213" s="9"/>
      <c r="G213" s="9"/>
      <c r="H213" s="9"/>
      <c r="I213" s="9"/>
      <c r="J213" s="10" t="n">
        <f aca="false">COUNTIF(Fields!$A$2:$A$1001,B213)</f>
        <v>0</v>
      </c>
      <c r="K213" s="10" t="n">
        <f aca="false">COUNTIFS(Fields!$A$2:$A$1001,B213,Fields!$T$2:$T$1001,"vetted")</f>
        <v>0</v>
      </c>
      <c r="L213" s="10" t="n">
        <f aca="false">COUNTIFS(Fields!$A$2:$A$1001,B213,Fields!$Z$2:$Z$1001,"A")</f>
        <v>0</v>
      </c>
      <c r="M213" s="10" t="n">
        <f aca="false">COUNTIFS(Fields!$A$2:$A$1001,B213,Fields!$Z$2:$Z$1001,"B")</f>
        <v>0</v>
      </c>
      <c r="N213" s="10" t="n">
        <f aca="false">COUNTIFS(Fields!$A$2:$A$1001,B213,Fields!$Z$2:$Z$1001,"C")</f>
        <v>0</v>
      </c>
      <c r="O213" s="10" t="n">
        <f aca="false">COUNTIFS(Fields!$A$2:$A$1001,B213,Fields!$Z$2:$Z$1001,"A",Fields!$W$2:$W$1001,"Yes")+COUNTIFS(Fields!$A$2:$A$1001,B213,Fields!$Z$2:$Z$1001,"B",Fields!$W$2:$W$1001,"Yes")</f>
        <v>0</v>
      </c>
      <c r="P213" s="11" t="str">
        <f aca="false">IF(L213&gt;0,"A",IF(M213&gt;0,"B",IF(N213&gt;0,"C","")))</f>
        <v/>
      </c>
    </row>
    <row r="214" customFormat="false" ht="15" hidden="false" customHeight="false" outlineLevel="0" collapsed="false">
      <c r="A214" s="8" t="s">
        <v>192</v>
      </c>
      <c r="B214" s="8" t="s">
        <v>281</v>
      </c>
      <c r="C214" s="9"/>
      <c r="D214" s="9" t="s">
        <v>68</v>
      </c>
      <c r="E214" s="9"/>
      <c r="F214" s="9"/>
      <c r="G214" s="9"/>
      <c r="H214" s="9"/>
      <c r="I214" s="9"/>
      <c r="J214" s="10" t="n">
        <f aca="false">COUNTIF(Fields!$A$2:$A$1001,B214)</f>
        <v>0</v>
      </c>
      <c r="K214" s="10" t="n">
        <f aca="false">COUNTIFS(Fields!$A$2:$A$1001,B214,Fields!$T$2:$T$1001,"vetted")</f>
        <v>0</v>
      </c>
      <c r="L214" s="10" t="n">
        <f aca="false">COUNTIFS(Fields!$A$2:$A$1001,B214,Fields!$Z$2:$Z$1001,"A")</f>
        <v>0</v>
      </c>
      <c r="M214" s="10" t="n">
        <f aca="false">COUNTIFS(Fields!$A$2:$A$1001,B214,Fields!$Z$2:$Z$1001,"B")</f>
        <v>0</v>
      </c>
      <c r="N214" s="10" t="n">
        <f aca="false">COUNTIFS(Fields!$A$2:$A$1001,B214,Fields!$Z$2:$Z$1001,"C")</f>
        <v>0</v>
      </c>
      <c r="O214" s="10" t="n">
        <f aca="false">COUNTIFS(Fields!$A$2:$A$1001,B214,Fields!$Z$2:$Z$1001,"A",Fields!$W$2:$W$1001,"Yes")+COUNTIFS(Fields!$A$2:$A$1001,B214,Fields!$Z$2:$Z$1001,"B",Fields!$W$2:$W$1001,"Yes")</f>
        <v>0</v>
      </c>
      <c r="P214" s="11" t="str">
        <f aca="false">IF(L214&gt;0,"A",IF(M214&gt;0,"B",IF(N214&gt;0,"C","")))</f>
        <v/>
      </c>
    </row>
    <row r="215" customFormat="false" ht="15" hidden="false" customHeight="false" outlineLevel="0" collapsed="false">
      <c r="A215" s="8" t="s">
        <v>192</v>
      </c>
      <c r="B215" s="8" t="s">
        <v>282</v>
      </c>
      <c r="C215" s="9"/>
      <c r="D215" s="9" t="s">
        <v>68</v>
      </c>
      <c r="E215" s="9"/>
      <c r="F215" s="9"/>
      <c r="G215" s="9"/>
      <c r="H215" s="9"/>
      <c r="I215" s="9"/>
      <c r="J215" s="10" t="n">
        <f aca="false">COUNTIF(Fields!$A$2:$A$1001,B215)</f>
        <v>0</v>
      </c>
      <c r="K215" s="10" t="n">
        <f aca="false">COUNTIFS(Fields!$A$2:$A$1001,B215,Fields!$T$2:$T$1001,"vetted")</f>
        <v>0</v>
      </c>
      <c r="L215" s="10" t="n">
        <f aca="false">COUNTIFS(Fields!$A$2:$A$1001,B215,Fields!$Z$2:$Z$1001,"A")</f>
        <v>0</v>
      </c>
      <c r="M215" s="10" t="n">
        <f aca="false">COUNTIFS(Fields!$A$2:$A$1001,B215,Fields!$Z$2:$Z$1001,"B")</f>
        <v>0</v>
      </c>
      <c r="N215" s="10" t="n">
        <f aca="false">COUNTIFS(Fields!$A$2:$A$1001,B215,Fields!$Z$2:$Z$1001,"C")</f>
        <v>0</v>
      </c>
      <c r="O215" s="10" t="n">
        <f aca="false">COUNTIFS(Fields!$A$2:$A$1001,B215,Fields!$Z$2:$Z$1001,"A",Fields!$W$2:$W$1001,"Yes")+COUNTIFS(Fields!$A$2:$A$1001,B215,Fields!$Z$2:$Z$1001,"B",Fields!$W$2:$W$1001,"Yes")</f>
        <v>0</v>
      </c>
      <c r="P215" s="11" t="str">
        <f aca="false">IF(L215&gt;0,"A",IF(M215&gt;0,"B",IF(N215&gt;0,"C","")))</f>
        <v/>
      </c>
    </row>
    <row r="216" customFormat="false" ht="15" hidden="false" customHeight="false" outlineLevel="0" collapsed="false">
      <c r="A216" s="8" t="s">
        <v>192</v>
      </c>
      <c r="B216" s="8" t="s">
        <v>283</v>
      </c>
      <c r="C216" s="9"/>
      <c r="D216" s="9" t="s">
        <v>68</v>
      </c>
      <c r="E216" s="9"/>
      <c r="F216" s="9"/>
      <c r="G216" s="9"/>
      <c r="H216" s="9"/>
      <c r="I216" s="9"/>
      <c r="J216" s="10" t="n">
        <f aca="false">COUNTIF(Fields!$A$2:$A$1001,B216)</f>
        <v>0</v>
      </c>
      <c r="K216" s="10" t="n">
        <f aca="false">COUNTIFS(Fields!$A$2:$A$1001,B216,Fields!$T$2:$T$1001,"vetted")</f>
        <v>0</v>
      </c>
      <c r="L216" s="10" t="n">
        <f aca="false">COUNTIFS(Fields!$A$2:$A$1001,B216,Fields!$Z$2:$Z$1001,"A")</f>
        <v>0</v>
      </c>
      <c r="M216" s="10" t="n">
        <f aca="false">COUNTIFS(Fields!$A$2:$A$1001,B216,Fields!$Z$2:$Z$1001,"B")</f>
        <v>0</v>
      </c>
      <c r="N216" s="10" t="n">
        <f aca="false">COUNTIFS(Fields!$A$2:$A$1001,B216,Fields!$Z$2:$Z$1001,"C")</f>
        <v>0</v>
      </c>
      <c r="O216" s="10" t="n">
        <f aca="false">COUNTIFS(Fields!$A$2:$A$1001,B216,Fields!$Z$2:$Z$1001,"A",Fields!$W$2:$W$1001,"Yes")+COUNTIFS(Fields!$A$2:$A$1001,B216,Fields!$Z$2:$Z$1001,"B",Fields!$W$2:$W$1001,"Yes")</f>
        <v>0</v>
      </c>
      <c r="P216" s="11" t="str">
        <f aca="false">IF(L216&gt;0,"A",IF(M216&gt;0,"B",IF(N216&gt;0,"C","")))</f>
        <v/>
      </c>
    </row>
    <row r="217" customFormat="false" ht="15" hidden="false" customHeight="false" outlineLevel="0" collapsed="false">
      <c r="A217" s="8" t="s">
        <v>192</v>
      </c>
      <c r="B217" s="8" t="s">
        <v>284</v>
      </c>
      <c r="C217" s="9"/>
      <c r="D217" s="9" t="s">
        <v>68</v>
      </c>
      <c r="E217" s="9"/>
      <c r="F217" s="9"/>
      <c r="G217" s="9"/>
      <c r="H217" s="9"/>
      <c r="I217" s="9"/>
      <c r="J217" s="10" t="n">
        <f aca="false">COUNTIF(Fields!$A$2:$A$1001,B217)</f>
        <v>0</v>
      </c>
      <c r="K217" s="10" t="n">
        <f aca="false">COUNTIFS(Fields!$A$2:$A$1001,B217,Fields!$T$2:$T$1001,"vetted")</f>
        <v>0</v>
      </c>
      <c r="L217" s="10" t="n">
        <f aca="false">COUNTIFS(Fields!$A$2:$A$1001,B217,Fields!$Z$2:$Z$1001,"A")</f>
        <v>0</v>
      </c>
      <c r="M217" s="10" t="n">
        <f aca="false">COUNTIFS(Fields!$A$2:$A$1001,B217,Fields!$Z$2:$Z$1001,"B")</f>
        <v>0</v>
      </c>
      <c r="N217" s="10" t="n">
        <f aca="false">COUNTIFS(Fields!$A$2:$A$1001,B217,Fields!$Z$2:$Z$1001,"C")</f>
        <v>0</v>
      </c>
      <c r="O217" s="10" t="n">
        <f aca="false">COUNTIFS(Fields!$A$2:$A$1001,B217,Fields!$Z$2:$Z$1001,"A",Fields!$W$2:$W$1001,"Yes")+COUNTIFS(Fields!$A$2:$A$1001,B217,Fields!$Z$2:$Z$1001,"B",Fields!$W$2:$W$1001,"Yes")</f>
        <v>0</v>
      </c>
      <c r="P217" s="11" t="str">
        <f aca="false">IF(L217&gt;0,"A",IF(M217&gt;0,"B",IF(N217&gt;0,"C","")))</f>
        <v/>
      </c>
    </row>
    <row r="218" customFormat="false" ht="15" hidden="false" customHeight="false" outlineLevel="0" collapsed="false">
      <c r="A218" s="8" t="s">
        <v>192</v>
      </c>
      <c r="B218" s="8" t="s">
        <v>285</v>
      </c>
      <c r="C218" s="9"/>
      <c r="D218" s="9" t="s">
        <v>68</v>
      </c>
      <c r="E218" s="9"/>
      <c r="F218" s="9"/>
      <c r="G218" s="9"/>
      <c r="H218" s="9"/>
      <c r="I218" s="9"/>
      <c r="J218" s="10" t="n">
        <f aca="false">COUNTIF(Fields!$A$2:$A$1001,B218)</f>
        <v>0</v>
      </c>
      <c r="K218" s="10" t="n">
        <f aca="false">COUNTIFS(Fields!$A$2:$A$1001,B218,Fields!$T$2:$T$1001,"vetted")</f>
        <v>0</v>
      </c>
      <c r="L218" s="10" t="n">
        <f aca="false">COUNTIFS(Fields!$A$2:$A$1001,B218,Fields!$Z$2:$Z$1001,"A")</f>
        <v>0</v>
      </c>
      <c r="M218" s="10" t="n">
        <f aca="false">COUNTIFS(Fields!$A$2:$A$1001,B218,Fields!$Z$2:$Z$1001,"B")</f>
        <v>0</v>
      </c>
      <c r="N218" s="10" t="n">
        <f aca="false">COUNTIFS(Fields!$A$2:$A$1001,B218,Fields!$Z$2:$Z$1001,"C")</f>
        <v>0</v>
      </c>
      <c r="O218" s="10" t="n">
        <f aca="false">COUNTIFS(Fields!$A$2:$A$1001,B218,Fields!$Z$2:$Z$1001,"A",Fields!$W$2:$W$1001,"Yes")+COUNTIFS(Fields!$A$2:$A$1001,B218,Fields!$Z$2:$Z$1001,"B",Fields!$W$2:$W$1001,"Yes")</f>
        <v>0</v>
      </c>
      <c r="P218" s="11" t="str">
        <f aca="false">IF(L218&gt;0,"A",IF(M218&gt;0,"B",IF(N218&gt;0,"C","")))</f>
        <v/>
      </c>
    </row>
    <row r="219" customFormat="false" ht="15" hidden="false" customHeight="false" outlineLevel="0" collapsed="false">
      <c r="A219" s="8" t="s">
        <v>286</v>
      </c>
      <c r="B219" s="8" t="s">
        <v>287</v>
      </c>
      <c r="C219" s="9"/>
      <c r="D219" s="9" t="s">
        <v>68</v>
      </c>
      <c r="E219" s="9"/>
      <c r="F219" s="9"/>
      <c r="G219" s="9"/>
      <c r="H219" s="9"/>
      <c r="I219" s="9"/>
      <c r="J219" s="10" t="n">
        <f aca="false">COUNTIF(Fields!$A$2:$A$1001,B219)</f>
        <v>0</v>
      </c>
      <c r="K219" s="10" t="n">
        <f aca="false">COUNTIFS(Fields!$A$2:$A$1001,B219,Fields!$T$2:$T$1001,"vetted")</f>
        <v>0</v>
      </c>
      <c r="L219" s="10" t="n">
        <f aca="false">COUNTIFS(Fields!$A$2:$A$1001,B219,Fields!$Z$2:$Z$1001,"A")</f>
        <v>0</v>
      </c>
      <c r="M219" s="10" t="n">
        <f aca="false">COUNTIFS(Fields!$A$2:$A$1001,B219,Fields!$Z$2:$Z$1001,"B")</f>
        <v>0</v>
      </c>
      <c r="N219" s="10" t="n">
        <f aca="false">COUNTIFS(Fields!$A$2:$A$1001,B219,Fields!$Z$2:$Z$1001,"C")</f>
        <v>0</v>
      </c>
      <c r="O219" s="10" t="n">
        <f aca="false">COUNTIFS(Fields!$A$2:$A$1001,B219,Fields!$Z$2:$Z$1001,"A",Fields!$W$2:$W$1001,"Yes")+COUNTIFS(Fields!$A$2:$A$1001,B219,Fields!$Z$2:$Z$1001,"B",Fields!$W$2:$W$1001,"Yes")</f>
        <v>0</v>
      </c>
      <c r="P219" s="11" t="str">
        <f aca="false">IF(L219&gt;0,"A",IF(M219&gt;0,"B",IF(N219&gt;0,"C","")))</f>
        <v/>
      </c>
    </row>
    <row r="220" customFormat="false" ht="15" hidden="false" customHeight="false" outlineLevel="0" collapsed="false">
      <c r="A220" s="8" t="s">
        <v>286</v>
      </c>
      <c r="B220" s="8" t="s">
        <v>288</v>
      </c>
      <c r="C220" s="9"/>
      <c r="D220" s="9" t="s">
        <v>68</v>
      </c>
      <c r="E220" s="9"/>
      <c r="F220" s="9"/>
      <c r="G220" s="9"/>
      <c r="H220" s="9"/>
      <c r="I220" s="9"/>
      <c r="J220" s="10" t="n">
        <f aca="false">COUNTIF(Fields!$A$2:$A$1001,B220)</f>
        <v>0</v>
      </c>
      <c r="K220" s="10" t="n">
        <f aca="false">COUNTIFS(Fields!$A$2:$A$1001,B220,Fields!$T$2:$T$1001,"vetted")</f>
        <v>0</v>
      </c>
      <c r="L220" s="10" t="n">
        <f aca="false">COUNTIFS(Fields!$A$2:$A$1001,B220,Fields!$Z$2:$Z$1001,"A")</f>
        <v>0</v>
      </c>
      <c r="M220" s="10" t="n">
        <f aca="false">COUNTIFS(Fields!$A$2:$A$1001,B220,Fields!$Z$2:$Z$1001,"B")</f>
        <v>0</v>
      </c>
      <c r="N220" s="10" t="n">
        <f aca="false">COUNTIFS(Fields!$A$2:$A$1001,B220,Fields!$Z$2:$Z$1001,"C")</f>
        <v>0</v>
      </c>
      <c r="O220" s="10" t="n">
        <f aca="false">COUNTIFS(Fields!$A$2:$A$1001,B220,Fields!$Z$2:$Z$1001,"A",Fields!$W$2:$W$1001,"Yes")+COUNTIFS(Fields!$A$2:$A$1001,B220,Fields!$Z$2:$Z$1001,"B",Fields!$W$2:$W$1001,"Yes")</f>
        <v>0</v>
      </c>
      <c r="P220" s="11" t="str">
        <f aca="false">IF(L220&gt;0,"A",IF(M220&gt;0,"B",IF(N220&gt;0,"C","")))</f>
        <v/>
      </c>
    </row>
    <row r="221" customFormat="false" ht="15" hidden="false" customHeight="false" outlineLevel="0" collapsed="false">
      <c r="A221" s="8" t="s">
        <v>286</v>
      </c>
      <c r="B221" s="8" t="s">
        <v>289</v>
      </c>
      <c r="C221" s="9"/>
      <c r="D221" s="9" t="s">
        <v>68</v>
      </c>
      <c r="E221" s="9"/>
      <c r="F221" s="9"/>
      <c r="G221" s="9"/>
      <c r="H221" s="9"/>
      <c r="I221" s="9"/>
      <c r="J221" s="10" t="n">
        <f aca="false">COUNTIF(Fields!$A$2:$A$1001,B221)</f>
        <v>0</v>
      </c>
      <c r="K221" s="10" t="n">
        <f aca="false">COUNTIFS(Fields!$A$2:$A$1001,B221,Fields!$T$2:$T$1001,"vetted")</f>
        <v>0</v>
      </c>
      <c r="L221" s="10" t="n">
        <f aca="false">COUNTIFS(Fields!$A$2:$A$1001,B221,Fields!$Z$2:$Z$1001,"A")</f>
        <v>0</v>
      </c>
      <c r="M221" s="10" t="n">
        <f aca="false">COUNTIFS(Fields!$A$2:$A$1001,B221,Fields!$Z$2:$Z$1001,"B")</f>
        <v>0</v>
      </c>
      <c r="N221" s="10" t="n">
        <f aca="false">COUNTIFS(Fields!$A$2:$A$1001,B221,Fields!$Z$2:$Z$1001,"C")</f>
        <v>0</v>
      </c>
      <c r="O221" s="10" t="n">
        <f aca="false">COUNTIFS(Fields!$A$2:$A$1001,B221,Fields!$Z$2:$Z$1001,"A",Fields!$W$2:$W$1001,"Yes")+COUNTIFS(Fields!$A$2:$A$1001,B221,Fields!$Z$2:$Z$1001,"B",Fields!$W$2:$W$1001,"Yes")</f>
        <v>0</v>
      </c>
      <c r="P221" s="11" t="str">
        <f aca="false">IF(L221&gt;0,"A",IF(M221&gt;0,"B",IF(N221&gt;0,"C","")))</f>
        <v/>
      </c>
    </row>
    <row r="222" customFormat="false" ht="15" hidden="false" customHeight="false" outlineLevel="0" collapsed="false">
      <c r="A222" s="8" t="s">
        <v>286</v>
      </c>
      <c r="B222" s="8" t="s">
        <v>290</v>
      </c>
      <c r="C222" s="9"/>
      <c r="D222" s="9" t="s">
        <v>68</v>
      </c>
      <c r="E222" s="9"/>
      <c r="F222" s="9"/>
      <c r="G222" s="9"/>
      <c r="H222" s="9"/>
      <c r="I222" s="9"/>
      <c r="J222" s="10" t="n">
        <f aca="false">COUNTIF(Fields!$A$2:$A$1001,B222)</f>
        <v>0</v>
      </c>
      <c r="K222" s="10" t="n">
        <f aca="false">COUNTIFS(Fields!$A$2:$A$1001,B222,Fields!$T$2:$T$1001,"vetted")</f>
        <v>0</v>
      </c>
      <c r="L222" s="10" t="n">
        <f aca="false">COUNTIFS(Fields!$A$2:$A$1001,B222,Fields!$Z$2:$Z$1001,"A")</f>
        <v>0</v>
      </c>
      <c r="M222" s="10" t="n">
        <f aca="false">COUNTIFS(Fields!$A$2:$A$1001,B222,Fields!$Z$2:$Z$1001,"B")</f>
        <v>0</v>
      </c>
      <c r="N222" s="10" t="n">
        <f aca="false">COUNTIFS(Fields!$A$2:$A$1001,B222,Fields!$Z$2:$Z$1001,"C")</f>
        <v>0</v>
      </c>
      <c r="O222" s="10" t="n">
        <f aca="false">COUNTIFS(Fields!$A$2:$A$1001,B222,Fields!$Z$2:$Z$1001,"A",Fields!$W$2:$W$1001,"Yes")+COUNTIFS(Fields!$A$2:$A$1001,B222,Fields!$Z$2:$Z$1001,"B",Fields!$W$2:$W$1001,"Yes")</f>
        <v>0</v>
      </c>
      <c r="P222" s="11" t="str">
        <f aca="false">IF(L222&gt;0,"A",IF(M222&gt;0,"B",IF(N222&gt;0,"C","")))</f>
        <v/>
      </c>
    </row>
    <row r="223" customFormat="false" ht="15" hidden="false" customHeight="false" outlineLevel="0" collapsed="false">
      <c r="A223" s="8" t="s">
        <v>286</v>
      </c>
      <c r="B223" s="8" t="s">
        <v>291</v>
      </c>
      <c r="C223" s="9"/>
      <c r="D223" s="9" t="s">
        <v>68</v>
      </c>
      <c r="E223" s="9"/>
      <c r="F223" s="9"/>
      <c r="G223" s="9"/>
      <c r="H223" s="9"/>
      <c r="I223" s="9"/>
      <c r="J223" s="10" t="n">
        <f aca="false">COUNTIF(Fields!$A$2:$A$1001,B223)</f>
        <v>0</v>
      </c>
      <c r="K223" s="10" t="n">
        <f aca="false">COUNTIFS(Fields!$A$2:$A$1001,B223,Fields!$T$2:$T$1001,"vetted")</f>
        <v>0</v>
      </c>
      <c r="L223" s="10" t="n">
        <f aca="false">COUNTIFS(Fields!$A$2:$A$1001,B223,Fields!$Z$2:$Z$1001,"A")</f>
        <v>0</v>
      </c>
      <c r="M223" s="10" t="n">
        <f aca="false">COUNTIFS(Fields!$A$2:$A$1001,B223,Fields!$Z$2:$Z$1001,"B")</f>
        <v>0</v>
      </c>
      <c r="N223" s="10" t="n">
        <f aca="false">COUNTIFS(Fields!$A$2:$A$1001,B223,Fields!$Z$2:$Z$1001,"C")</f>
        <v>0</v>
      </c>
      <c r="O223" s="10" t="n">
        <f aca="false">COUNTIFS(Fields!$A$2:$A$1001,B223,Fields!$Z$2:$Z$1001,"A",Fields!$W$2:$W$1001,"Yes")+COUNTIFS(Fields!$A$2:$A$1001,B223,Fields!$Z$2:$Z$1001,"B",Fields!$W$2:$W$1001,"Yes")</f>
        <v>0</v>
      </c>
      <c r="P223" s="11" t="str">
        <f aca="false">IF(L223&gt;0,"A",IF(M223&gt;0,"B",IF(N223&gt;0,"C","")))</f>
        <v/>
      </c>
    </row>
    <row r="224" customFormat="false" ht="15" hidden="false" customHeight="false" outlineLevel="0" collapsed="false">
      <c r="A224" s="8" t="s">
        <v>286</v>
      </c>
      <c r="B224" s="8" t="s">
        <v>292</v>
      </c>
      <c r="C224" s="9"/>
      <c r="D224" s="9" t="s">
        <v>68</v>
      </c>
      <c r="E224" s="9"/>
      <c r="F224" s="9"/>
      <c r="G224" s="9"/>
      <c r="H224" s="9"/>
      <c r="I224" s="9"/>
      <c r="J224" s="10" t="n">
        <f aca="false">COUNTIF(Fields!$A$2:$A$1001,B224)</f>
        <v>0</v>
      </c>
      <c r="K224" s="10" t="n">
        <f aca="false">COUNTIFS(Fields!$A$2:$A$1001,B224,Fields!$T$2:$T$1001,"vetted")</f>
        <v>0</v>
      </c>
      <c r="L224" s="10" t="n">
        <f aca="false">COUNTIFS(Fields!$A$2:$A$1001,B224,Fields!$Z$2:$Z$1001,"A")</f>
        <v>0</v>
      </c>
      <c r="M224" s="10" t="n">
        <f aca="false">COUNTIFS(Fields!$A$2:$A$1001,B224,Fields!$Z$2:$Z$1001,"B")</f>
        <v>0</v>
      </c>
      <c r="N224" s="10" t="n">
        <f aca="false">COUNTIFS(Fields!$A$2:$A$1001,B224,Fields!$Z$2:$Z$1001,"C")</f>
        <v>0</v>
      </c>
      <c r="O224" s="10" t="n">
        <f aca="false">COUNTIFS(Fields!$A$2:$A$1001,B224,Fields!$Z$2:$Z$1001,"A",Fields!$W$2:$W$1001,"Yes")+COUNTIFS(Fields!$A$2:$A$1001,B224,Fields!$Z$2:$Z$1001,"B",Fields!$W$2:$W$1001,"Yes")</f>
        <v>0</v>
      </c>
      <c r="P224" s="11" t="str">
        <f aca="false">IF(L224&gt;0,"A",IF(M224&gt;0,"B",IF(N224&gt;0,"C","")))</f>
        <v/>
      </c>
    </row>
    <row r="225" customFormat="false" ht="15" hidden="false" customHeight="false" outlineLevel="0" collapsed="false">
      <c r="A225" s="8" t="s">
        <v>286</v>
      </c>
      <c r="B225" s="8" t="s">
        <v>293</v>
      </c>
      <c r="C225" s="9"/>
      <c r="D225" s="9" t="s">
        <v>68</v>
      </c>
      <c r="E225" s="9"/>
      <c r="F225" s="9"/>
      <c r="G225" s="9"/>
      <c r="H225" s="9"/>
      <c r="I225" s="9"/>
      <c r="J225" s="10" t="n">
        <f aca="false">COUNTIF(Fields!$A$2:$A$1001,B225)</f>
        <v>0</v>
      </c>
      <c r="K225" s="10" t="n">
        <f aca="false">COUNTIFS(Fields!$A$2:$A$1001,B225,Fields!$T$2:$T$1001,"vetted")</f>
        <v>0</v>
      </c>
      <c r="L225" s="10" t="n">
        <f aca="false">COUNTIFS(Fields!$A$2:$A$1001,B225,Fields!$Z$2:$Z$1001,"A")</f>
        <v>0</v>
      </c>
      <c r="M225" s="10" t="n">
        <f aca="false">COUNTIFS(Fields!$A$2:$A$1001,B225,Fields!$Z$2:$Z$1001,"B")</f>
        <v>0</v>
      </c>
      <c r="N225" s="10" t="n">
        <f aca="false">COUNTIFS(Fields!$A$2:$A$1001,B225,Fields!$Z$2:$Z$1001,"C")</f>
        <v>0</v>
      </c>
      <c r="O225" s="10" t="n">
        <f aca="false">COUNTIFS(Fields!$A$2:$A$1001,B225,Fields!$Z$2:$Z$1001,"A",Fields!$W$2:$W$1001,"Yes")+COUNTIFS(Fields!$A$2:$A$1001,B225,Fields!$Z$2:$Z$1001,"B",Fields!$W$2:$W$1001,"Yes")</f>
        <v>0</v>
      </c>
      <c r="P225" s="11" t="str">
        <f aca="false">IF(L225&gt;0,"A",IF(M225&gt;0,"B",IF(N225&gt;0,"C","")))</f>
        <v/>
      </c>
    </row>
    <row r="226" customFormat="false" ht="15" hidden="false" customHeight="false" outlineLevel="0" collapsed="false">
      <c r="A226" s="8" t="s">
        <v>286</v>
      </c>
      <c r="B226" s="8" t="s">
        <v>294</v>
      </c>
      <c r="C226" s="9"/>
      <c r="D226" s="9" t="s">
        <v>68</v>
      </c>
      <c r="E226" s="9"/>
      <c r="F226" s="9"/>
      <c r="G226" s="9"/>
      <c r="H226" s="9"/>
      <c r="I226" s="9"/>
      <c r="J226" s="10" t="n">
        <f aca="false">COUNTIF(Fields!$A$2:$A$1001,B226)</f>
        <v>0</v>
      </c>
      <c r="K226" s="10" t="n">
        <f aca="false">COUNTIFS(Fields!$A$2:$A$1001,B226,Fields!$T$2:$T$1001,"vetted")</f>
        <v>0</v>
      </c>
      <c r="L226" s="10" t="n">
        <f aca="false">COUNTIFS(Fields!$A$2:$A$1001,B226,Fields!$Z$2:$Z$1001,"A")</f>
        <v>0</v>
      </c>
      <c r="M226" s="10" t="n">
        <f aca="false">COUNTIFS(Fields!$A$2:$A$1001,B226,Fields!$Z$2:$Z$1001,"B")</f>
        <v>0</v>
      </c>
      <c r="N226" s="10" t="n">
        <f aca="false">COUNTIFS(Fields!$A$2:$A$1001,B226,Fields!$Z$2:$Z$1001,"C")</f>
        <v>0</v>
      </c>
      <c r="O226" s="10" t="n">
        <f aca="false">COUNTIFS(Fields!$A$2:$A$1001,B226,Fields!$Z$2:$Z$1001,"A",Fields!$W$2:$W$1001,"Yes")+COUNTIFS(Fields!$A$2:$A$1001,B226,Fields!$Z$2:$Z$1001,"B",Fields!$W$2:$W$1001,"Yes")</f>
        <v>0</v>
      </c>
      <c r="P226" s="11" t="str">
        <f aca="false">IF(L226&gt;0,"A",IF(M226&gt;0,"B",IF(N226&gt;0,"C","")))</f>
        <v/>
      </c>
    </row>
    <row r="227" customFormat="false" ht="15" hidden="false" customHeight="false" outlineLevel="0" collapsed="false">
      <c r="A227" s="8" t="s">
        <v>286</v>
      </c>
      <c r="B227" s="8" t="s">
        <v>295</v>
      </c>
      <c r="C227" s="9"/>
      <c r="D227" s="9" t="s">
        <v>68</v>
      </c>
      <c r="E227" s="9"/>
      <c r="F227" s="9"/>
      <c r="G227" s="9"/>
      <c r="H227" s="9"/>
      <c r="I227" s="9"/>
      <c r="J227" s="10" t="n">
        <f aca="false">COUNTIF(Fields!$A$2:$A$1001,B227)</f>
        <v>0</v>
      </c>
      <c r="K227" s="10" t="n">
        <f aca="false">COUNTIFS(Fields!$A$2:$A$1001,B227,Fields!$T$2:$T$1001,"vetted")</f>
        <v>0</v>
      </c>
      <c r="L227" s="10" t="n">
        <f aca="false">COUNTIFS(Fields!$A$2:$A$1001,B227,Fields!$Z$2:$Z$1001,"A")</f>
        <v>0</v>
      </c>
      <c r="M227" s="10" t="n">
        <f aca="false">COUNTIFS(Fields!$A$2:$A$1001,B227,Fields!$Z$2:$Z$1001,"B")</f>
        <v>0</v>
      </c>
      <c r="N227" s="10" t="n">
        <f aca="false">COUNTIFS(Fields!$A$2:$A$1001,B227,Fields!$Z$2:$Z$1001,"C")</f>
        <v>0</v>
      </c>
      <c r="O227" s="10" t="n">
        <f aca="false">COUNTIFS(Fields!$A$2:$A$1001,B227,Fields!$Z$2:$Z$1001,"A",Fields!$W$2:$W$1001,"Yes")+COUNTIFS(Fields!$A$2:$A$1001,B227,Fields!$Z$2:$Z$1001,"B",Fields!$W$2:$W$1001,"Yes")</f>
        <v>0</v>
      </c>
      <c r="P227" s="11" t="str">
        <f aca="false">IF(L227&gt;0,"A",IF(M227&gt;0,"B",IF(N227&gt;0,"C","")))</f>
        <v/>
      </c>
    </row>
    <row r="228" customFormat="false" ht="15" hidden="false" customHeight="false" outlineLevel="0" collapsed="false">
      <c r="A228" s="8" t="s">
        <v>286</v>
      </c>
      <c r="B228" s="8" t="s">
        <v>296</v>
      </c>
      <c r="C228" s="9"/>
      <c r="D228" s="9" t="s">
        <v>68</v>
      </c>
      <c r="E228" s="9"/>
      <c r="F228" s="9"/>
      <c r="G228" s="9"/>
      <c r="H228" s="9"/>
      <c r="I228" s="9"/>
      <c r="J228" s="10" t="n">
        <f aca="false">COUNTIF(Fields!$A$2:$A$1001,B228)</f>
        <v>0</v>
      </c>
      <c r="K228" s="10" t="n">
        <f aca="false">COUNTIFS(Fields!$A$2:$A$1001,B228,Fields!$T$2:$T$1001,"vetted")</f>
        <v>0</v>
      </c>
      <c r="L228" s="10" t="n">
        <f aca="false">COUNTIFS(Fields!$A$2:$A$1001,B228,Fields!$Z$2:$Z$1001,"A")</f>
        <v>0</v>
      </c>
      <c r="M228" s="10" t="n">
        <f aca="false">COUNTIFS(Fields!$A$2:$A$1001,B228,Fields!$Z$2:$Z$1001,"B")</f>
        <v>0</v>
      </c>
      <c r="N228" s="10" t="n">
        <f aca="false">COUNTIFS(Fields!$A$2:$A$1001,B228,Fields!$Z$2:$Z$1001,"C")</f>
        <v>0</v>
      </c>
      <c r="O228" s="10" t="n">
        <f aca="false">COUNTIFS(Fields!$A$2:$A$1001,B228,Fields!$Z$2:$Z$1001,"A",Fields!$W$2:$W$1001,"Yes")+COUNTIFS(Fields!$A$2:$A$1001,B228,Fields!$Z$2:$Z$1001,"B",Fields!$W$2:$W$1001,"Yes")</f>
        <v>0</v>
      </c>
      <c r="P228" s="11" t="str">
        <f aca="false">IF(L228&gt;0,"A",IF(M228&gt;0,"B",IF(N228&gt;0,"C","")))</f>
        <v/>
      </c>
    </row>
    <row r="229" customFormat="false" ht="15" hidden="false" customHeight="false" outlineLevel="0" collapsed="false">
      <c r="A229" s="8" t="s">
        <v>286</v>
      </c>
      <c r="B229" s="8" t="s">
        <v>297</v>
      </c>
      <c r="C229" s="9"/>
      <c r="D229" s="9" t="s">
        <v>68</v>
      </c>
      <c r="E229" s="9"/>
      <c r="F229" s="9"/>
      <c r="G229" s="9"/>
      <c r="H229" s="9"/>
      <c r="I229" s="9"/>
      <c r="J229" s="10" t="n">
        <f aca="false">COUNTIF(Fields!$A$2:$A$1001,B229)</f>
        <v>0</v>
      </c>
      <c r="K229" s="10" t="n">
        <f aca="false">COUNTIFS(Fields!$A$2:$A$1001,B229,Fields!$T$2:$T$1001,"vetted")</f>
        <v>0</v>
      </c>
      <c r="L229" s="10" t="n">
        <f aca="false">COUNTIFS(Fields!$A$2:$A$1001,B229,Fields!$Z$2:$Z$1001,"A")</f>
        <v>0</v>
      </c>
      <c r="M229" s="10" t="n">
        <f aca="false">COUNTIFS(Fields!$A$2:$A$1001,B229,Fields!$Z$2:$Z$1001,"B")</f>
        <v>0</v>
      </c>
      <c r="N229" s="10" t="n">
        <f aca="false">COUNTIFS(Fields!$A$2:$A$1001,B229,Fields!$Z$2:$Z$1001,"C")</f>
        <v>0</v>
      </c>
      <c r="O229" s="10" t="n">
        <f aca="false">COUNTIFS(Fields!$A$2:$A$1001,B229,Fields!$Z$2:$Z$1001,"A",Fields!$W$2:$W$1001,"Yes")+COUNTIFS(Fields!$A$2:$A$1001,B229,Fields!$Z$2:$Z$1001,"B",Fields!$W$2:$W$1001,"Yes")</f>
        <v>0</v>
      </c>
      <c r="P229" s="11" t="str">
        <f aca="false">IF(L229&gt;0,"A",IF(M229&gt;0,"B",IF(N229&gt;0,"C","")))</f>
        <v/>
      </c>
    </row>
    <row r="230" customFormat="false" ht="15" hidden="false" customHeight="false" outlineLevel="0" collapsed="false">
      <c r="A230" s="8" t="s">
        <v>286</v>
      </c>
      <c r="B230" s="8" t="s">
        <v>298</v>
      </c>
      <c r="C230" s="9"/>
      <c r="D230" s="9" t="s">
        <v>68</v>
      </c>
      <c r="E230" s="9"/>
      <c r="F230" s="9"/>
      <c r="G230" s="9"/>
      <c r="H230" s="9"/>
      <c r="I230" s="9"/>
      <c r="J230" s="10" t="n">
        <f aca="false">COUNTIF(Fields!$A$2:$A$1001,B230)</f>
        <v>0</v>
      </c>
      <c r="K230" s="10" t="n">
        <f aca="false">COUNTIFS(Fields!$A$2:$A$1001,B230,Fields!$T$2:$T$1001,"vetted")</f>
        <v>0</v>
      </c>
      <c r="L230" s="10" t="n">
        <f aca="false">COUNTIFS(Fields!$A$2:$A$1001,B230,Fields!$Z$2:$Z$1001,"A")</f>
        <v>0</v>
      </c>
      <c r="M230" s="10" t="n">
        <f aca="false">COUNTIFS(Fields!$A$2:$A$1001,B230,Fields!$Z$2:$Z$1001,"B")</f>
        <v>0</v>
      </c>
      <c r="N230" s="10" t="n">
        <f aca="false">COUNTIFS(Fields!$A$2:$A$1001,B230,Fields!$Z$2:$Z$1001,"C")</f>
        <v>0</v>
      </c>
      <c r="O230" s="10" t="n">
        <f aca="false">COUNTIFS(Fields!$A$2:$A$1001,B230,Fields!$Z$2:$Z$1001,"A",Fields!$W$2:$W$1001,"Yes")+COUNTIFS(Fields!$A$2:$A$1001,B230,Fields!$Z$2:$Z$1001,"B",Fields!$W$2:$W$1001,"Yes")</f>
        <v>0</v>
      </c>
      <c r="P230" s="11" t="str">
        <f aca="false">IF(L230&gt;0,"A",IF(M230&gt;0,"B",IF(N230&gt;0,"C","")))</f>
        <v/>
      </c>
    </row>
    <row r="231" customFormat="false" ht="15" hidden="false" customHeight="false" outlineLevel="0" collapsed="false">
      <c r="A231" s="8" t="s">
        <v>286</v>
      </c>
      <c r="B231" s="8" t="s">
        <v>299</v>
      </c>
      <c r="C231" s="9"/>
      <c r="D231" s="9" t="s">
        <v>68</v>
      </c>
      <c r="E231" s="9"/>
      <c r="F231" s="9"/>
      <c r="G231" s="9"/>
      <c r="H231" s="9"/>
      <c r="I231" s="9"/>
      <c r="J231" s="10" t="n">
        <f aca="false">COUNTIF(Fields!$A$2:$A$1001,B231)</f>
        <v>0</v>
      </c>
      <c r="K231" s="10" t="n">
        <f aca="false">COUNTIFS(Fields!$A$2:$A$1001,B231,Fields!$T$2:$T$1001,"vetted")</f>
        <v>0</v>
      </c>
      <c r="L231" s="10" t="n">
        <f aca="false">COUNTIFS(Fields!$A$2:$A$1001,B231,Fields!$Z$2:$Z$1001,"A")</f>
        <v>0</v>
      </c>
      <c r="M231" s="10" t="n">
        <f aca="false">COUNTIFS(Fields!$A$2:$A$1001,B231,Fields!$Z$2:$Z$1001,"B")</f>
        <v>0</v>
      </c>
      <c r="N231" s="10" t="n">
        <f aca="false">COUNTIFS(Fields!$A$2:$A$1001,B231,Fields!$Z$2:$Z$1001,"C")</f>
        <v>0</v>
      </c>
      <c r="O231" s="10" t="n">
        <f aca="false">COUNTIFS(Fields!$A$2:$A$1001,B231,Fields!$Z$2:$Z$1001,"A",Fields!$W$2:$W$1001,"Yes")+COUNTIFS(Fields!$A$2:$A$1001,B231,Fields!$Z$2:$Z$1001,"B",Fields!$W$2:$W$1001,"Yes")</f>
        <v>0</v>
      </c>
      <c r="P231" s="11" t="str">
        <f aca="false">IF(L231&gt;0,"A",IF(M231&gt;0,"B",IF(N231&gt;0,"C","")))</f>
        <v/>
      </c>
    </row>
    <row r="232" customFormat="false" ht="15" hidden="false" customHeight="false" outlineLevel="0" collapsed="false">
      <c r="A232" s="8" t="s">
        <v>286</v>
      </c>
      <c r="B232" s="8" t="s">
        <v>300</v>
      </c>
      <c r="C232" s="9"/>
      <c r="D232" s="9" t="s">
        <v>68</v>
      </c>
      <c r="E232" s="9"/>
      <c r="F232" s="9"/>
      <c r="G232" s="9"/>
      <c r="H232" s="9"/>
      <c r="I232" s="9"/>
      <c r="J232" s="10" t="n">
        <f aca="false">COUNTIF(Fields!$A$2:$A$1001,B232)</f>
        <v>0</v>
      </c>
      <c r="K232" s="10" t="n">
        <f aca="false">COUNTIFS(Fields!$A$2:$A$1001,B232,Fields!$T$2:$T$1001,"vetted")</f>
        <v>0</v>
      </c>
      <c r="L232" s="10" t="n">
        <f aca="false">COUNTIFS(Fields!$A$2:$A$1001,B232,Fields!$Z$2:$Z$1001,"A")</f>
        <v>0</v>
      </c>
      <c r="M232" s="10" t="n">
        <f aca="false">COUNTIFS(Fields!$A$2:$A$1001,B232,Fields!$Z$2:$Z$1001,"B")</f>
        <v>0</v>
      </c>
      <c r="N232" s="10" t="n">
        <f aca="false">COUNTIFS(Fields!$A$2:$A$1001,B232,Fields!$Z$2:$Z$1001,"C")</f>
        <v>0</v>
      </c>
      <c r="O232" s="10" t="n">
        <f aca="false">COUNTIFS(Fields!$A$2:$A$1001,B232,Fields!$Z$2:$Z$1001,"A",Fields!$W$2:$W$1001,"Yes")+COUNTIFS(Fields!$A$2:$A$1001,B232,Fields!$Z$2:$Z$1001,"B",Fields!$W$2:$W$1001,"Yes")</f>
        <v>0</v>
      </c>
      <c r="P232" s="11" t="str">
        <f aca="false">IF(L232&gt;0,"A",IF(M232&gt;0,"B",IF(N232&gt;0,"C","")))</f>
        <v/>
      </c>
    </row>
    <row r="233" customFormat="false" ht="15" hidden="false" customHeight="false" outlineLevel="0" collapsed="false">
      <c r="A233" s="8" t="s">
        <v>286</v>
      </c>
      <c r="B233" s="8" t="s">
        <v>301</v>
      </c>
      <c r="C233" s="9"/>
      <c r="D233" s="9" t="s">
        <v>68</v>
      </c>
      <c r="E233" s="9"/>
      <c r="F233" s="9"/>
      <c r="G233" s="9"/>
      <c r="H233" s="9"/>
      <c r="I233" s="9"/>
      <c r="J233" s="10" t="n">
        <f aca="false">COUNTIF(Fields!$A$2:$A$1001,B233)</f>
        <v>0</v>
      </c>
      <c r="K233" s="10" t="n">
        <f aca="false">COUNTIFS(Fields!$A$2:$A$1001,B233,Fields!$T$2:$T$1001,"vetted")</f>
        <v>0</v>
      </c>
      <c r="L233" s="10" t="n">
        <f aca="false">COUNTIFS(Fields!$A$2:$A$1001,B233,Fields!$Z$2:$Z$1001,"A")</f>
        <v>0</v>
      </c>
      <c r="M233" s="10" t="n">
        <f aca="false">COUNTIFS(Fields!$A$2:$A$1001,B233,Fields!$Z$2:$Z$1001,"B")</f>
        <v>0</v>
      </c>
      <c r="N233" s="10" t="n">
        <f aca="false">COUNTIFS(Fields!$A$2:$A$1001,B233,Fields!$Z$2:$Z$1001,"C")</f>
        <v>0</v>
      </c>
      <c r="O233" s="10" t="n">
        <f aca="false">COUNTIFS(Fields!$A$2:$A$1001,B233,Fields!$Z$2:$Z$1001,"A",Fields!$W$2:$W$1001,"Yes")+COUNTIFS(Fields!$A$2:$A$1001,B233,Fields!$Z$2:$Z$1001,"B",Fields!$W$2:$W$1001,"Yes")</f>
        <v>0</v>
      </c>
      <c r="P233" s="11" t="str">
        <f aca="false">IF(L233&gt;0,"A",IF(M233&gt;0,"B",IF(N233&gt;0,"C","")))</f>
        <v/>
      </c>
    </row>
    <row r="234" customFormat="false" ht="15" hidden="false" customHeight="false" outlineLevel="0" collapsed="false">
      <c r="A234" s="8" t="s">
        <v>286</v>
      </c>
      <c r="B234" s="8" t="s">
        <v>302</v>
      </c>
      <c r="C234" s="9"/>
      <c r="D234" s="9" t="s">
        <v>68</v>
      </c>
      <c r="E234" s="9"/>
      <c r="F234" s="9"/>
      <c r="G234" s="9"/>
      <c r="H234" s="9"/>
      <c r="I234" s="9"/>
      <c r="J234" s="10" t="n">
        <f aca="false">COUNTIF(Fields!$A$2:$A$1001,B234)</f>
        <v>0</v>
      </c>
      <c r="K234" s="10" t="n">
        <f aca="false">COUNTIFS(Fields!$A$2:$A$1001,B234,Fields!$T$2:$T$1001,"vetted")</f>
        <v>0</v>
      </c>
      <c r="L234" s="10" t="n">
        <f aca="false">COUNTIFS(Fields!$A$2:$A$1001,B234,Fields!$Z$2:$Z$1001,"A")</f>
        <v>0</v>
      </c>
      <c r="M234" s="10" t="n">
        <f aca="false">COUNTIFS(Fields!$A$2:$A$1001,B234,Fields!$Z$2:$Z$1001,"B")</f>
        <v>0</v>
      </c>
      <c r="N234" s="10" t="n">
        <f aca="false">COUNTIFS(Fields!$A$2:$A$1001,B234,Fields!$Z$2:$Z$1001,"C")</f>
        <v>0</v>
      </c>
      <c r="O234" s="10" t="n">
        <f aca="false">COUNTIFS(Fields!$A$2:$A$1001,B234,Fields!$Z$2:$Z$1001,"A",Fields!$W$2:$W$1001,"Yes")+COUNTIFS(Fields!$A$2:$A$1001,B234,Fields!$Z$2:$Z$1001,"B",Fields!$W$2:$W$1001,"Yes")</f>
        <v>0</v>
      </c>
      <c r="P234" s="11" t="str">
        <f aca="false">IF(L234&gt;0,"A",IF(M234&gt;0,"B",IF(N234&gt;0,"C","")))</f>
        <v/>
      </c>
    </row>
    <row r="235" customFormat="false" ht="15" hidden="false" customHeight="false" outlineLevel="0" collapsed="false">
      <c r="A235" s="8" t="s">
        <v>286</v>
      </c>
      <c r="B235" s="8" t="s">
        <v>303</v>
      </c>
      <c r="C235" s="9"/>
      <c r="D235" s="9" t="s">
        <v>68</v>
      </c>
      <c r="E235" s="9"/>
      <c r="F235" s="9"/>
      <c r="G235" s="9"/>
      <c r="H235" s="9"/>
      <c r="I235" s="9"/>
      <c r="J235" s="10" t="n">
        <f aca="false">COUNTIF(Fields!$A$2:$A$1001,B235)</f>
        <v>0</v>
      </c>
      <c r="K235" s="10" t="n">
        <f aca="false">COUNTIFS(Fields!$A$2:$A$1001,B235,Fields!$T$2:$T$1001,"vetted")</f>
        <v>0</v>
      </c>
      <c r="L235" s="10" t="n">
        <f aca="false">COUNTIFS(Fields!$A$2:$A$1001,B235,Fields!$Z$2:$Z$1001,"A")</f>
        <v>0</v>
      </c>
      <c r="M235" s="10" t="n">
        <f aca="false">COUNTIFS(Fields!$A$2:$A$1001,B235,Fields!$Z$2:$Z$1001,"B")</f>
        <v>0</v>
      </c>
      <c r="N235" s="10" t="n">
        <f aca="false">COUNTIFS(Fields!$A$2:$A$1001,B235,Fields!$Z$2:$Z$1001,"C")</f>
        <v>0</v>
      </c>
      <c r="O235" s="10" t="n">
        <f aca="false">COUNTIFS(Fields!$A$2:$A$1001,B235,Fields!$Z$2:$Z$1001,"A",Fields!$W$2:$W$1001,"Yes")+COUNTIFS(Fields!$A$2:$A$1001,B235,Fields!$Z$2:$Z$1001,"B",Fields!$W$2:$W$1001,"Yes")</f>
        <v>0</v>
      </c>
      <c r="P235" s="11" t="str">
        <f aca="false">IF(L235&gt;0,"A",IF(M235&gt;0,"B",IF(N235&gt;0,"C","")))</f>
        <v/>
      </c>
    </row>
    <row r="236" customFormat="false" ht="15" hidden="false" customHeight="false" outlineLevel="0" collapsed="false">
      <c r="A236" s="8" t="s">
        <v>286</v>
      </c>
      <c r="B236" s="8" t="s">
        <v>304</v>
      </c>
      <c r="C236" s="9"/>
      <c r="D236" s="9" t="s">
        <v>68</v>
      </c>
      <c r="E236" s="9"/>
      <c r="F236" s="9"/>
      <c r="G236" s="9"/>
      <c r="H236" s="9"/>
      <c r="I236" s="9"/>
      <c r="J236" s="10" t="n">
        <f aca="false">COUNTIF(Fields!$A$2:$A$1001,B236)</f>
        <v>0</v>
      </c>
      <c r="K236" s="10" t="n">
        <f aca="false">COUNTIFS(Fields!$A$2:$A$1001,B236,Fields!$T$2:$T$1001,"vetted")</f>
        <v>0</v>
      </c>
      <c r="L236" s="10" t="n">
        <f aca="false">COUNTIFS(Fields!$A$2:$A$1001,B236,Fields!$Z$2:$Z$1001,"A")</f>
        <v>0</v>
      </c>
      <c r="M236" s="10" t="n">
        <f aca="false">COUNTIFS(Fields!$A$2:$A$1001,B236,Fields!$Z$2:$Z$1001,"B")</f>
        <v>0</v>
      </c>
      <c r="N236" s="10" t="n">
        <f aca="false">COUNTIFS(Fields!$A$2:$A$1001,B236,Fields!$Z$2:$Z$1001,"C")</f>
        <v>0</v>
      </c>
      <c r="O236" s="10" t="n">
        <f aca="false">COUNTIFS(Fields!$A$2:$A$1001,B236,Fields!$Z$2:$Z$1001,"A",Fields!$W$2:$W$1001,"Yes")+COUNTIFS(Fields!$A$2:$A$1001,B236,Fields!$Z$2:$Z$1001,"B",Fields!$W$2:$W$1001,"Yes")</f>
        <v>0</v>
      </c>
      <c r="P236" s="11" t="str">
        <f aca="false">IF(L236&gt;0,"A",IF(M236&gt;0,"B",IF(N236&gt;0,"C","")))</f>
        <v/>
      </c>
    </row>
    <row r="237" customFormat="false" ht="15" hidden="false" customHeight="false" outlineLevel="0" collapsed="false">
      <c r="A237" s="8" t="s">
        <v>286</v>
      </c>
      <c r="B237" s="8" t="s">
        <v>305</v>
      </c>
      <c r="C237" s="9"/>
      <c r="D237" s="9" t="s">
        <v>68</v>
      </c>
      <c r="E237" s="9"/>
      <c r="F237" s="9"/>
      <c r="G237" s="9"/>
      <c r="H237" s="9"/>
      <c r="I237" s="9"/>
      <c r="J237" s="10" t="n">
        <f aca="false">COUNTIF(Fields!$A$2:$A$1001,B237)</f>
        <v>0</v>
      </c>
      <c r="K237" s="10" t="n">
        <f aca="false">COUNTIFS(Fields!$A$2:$A$1001,B237,Fields!$T$2:$T$1001,"vetted")</f>
        <v>0</v>
      </c>
      <c r="L237" s="10" t="n">
        <f aca="false">COUNTIFS(Fields!$A$2:$A$1001,B237,Fields!$Z$2:$Z$1001,"A")</f>
        <v>0</v>
      </c>
      <c r="M237" s="10" t="n">
        <f aca="false">COUNTIFS(Fields!$A$2:$A$1001,B237,Fields!$Z$2:$Z$1001,"B")</f>
        <v>0</v>
      </c>
      <c r="N237" s="10" t="n">
        <f aca="false">COUNTIFS(Fields!$A$2:$A$1001,B237,Fields!$Z$2:$Z$1001,"C")</f>
        <v>0</v>
      </c>
      <c r="O237" s="10" t="n">
        <f aca="false">COUNTIFS(Fields!$A$2:$A$1001,B237,Fields!$Z$2:$Z$1001,"A",Fields!$W$2:$W$1001,"Yes")+COUNTIFS(Fields!$A$2:$A$1001,B237,Fields!$Z$2:$Z$1001,"B",Fields!$W$2:$W$1001,"Yes")</f>
        <v>0</v>
      </c>
      <c r="P237" s="11" t="str">
        <f aca="false">IF(L237&gt;0,"A",IF(M237&gt;0,"B",IF(N237&gt;0,"C","")))</f>
        <v/>
      </c>
    </row>
    <row r="238" customFormat="false" ht="15" hidden="false" customHeight="false" outlineLevel="0" collapsed="false">
      <c r="A238" s="8" t="s">
        <v>286</v>
      </c>
      <c r="B238" s="8" t="s">
        <v>306</v>
      </c>
      <c r="C238" s="9"/>
      <c r="D238" s="9" t="s">
        <v>68</v>
      </c>
      <c r="E238" s="9"/>
      <c r="F238" s="9"/>
      <c r="G238" s="9"/>
      <c r="H238" s="9"/>
      <c r="I238" s="9"/>
      <c r="J238" s="10" t="n">
        <f aca="false">COUNTIF(Fields!$A$2:$A$1001,B238)</f>
        <v>0</v>
      </c>
      <c r="K238" s="10" t="n">
        <f aca="false">COUNTIFS(Fields!$A$2:$A$1001,B238,Fields!$T$2:$T$1001,"vetted")</f>
        <v>0</v>
      </c>
      <c r="L238" s="10" t="n">
        <f aca="false">COUNTIFS(Fields!$A$2:$A$1001,B238,Fields!$Z$2:$Z$1001,"A")</f>
        <v>0</v>
      </c>
      <c r="M238" s="10" t="n">
        <f aca="false">COUNTIFS(Fields!$A$2:$A$1001,B238,Fields!$Z$2:$Z$1001,"B")</f>
        <v>0</v>
      </c>
      <c r="N238" s="10" t="n">
        <f aca="false">COUNTIFS(Fields!$A$2:$A$1001,B238,Fields!$Z$2:$Z$1001,"C")</f>
        <v>0</v>
      </c>
      <c r="O238" s="10" t="n">
        <f aca="false">COUNTIFS(Fields!$A$2:$A$1001,B238,Fields!$Z$2:$Z$1001,"A",Fields!$W$2:$W$1001,"Yes")+COUNTIFS(Fields!$A$2:$A$1001,B238,Fields!$Z$2:$Z$1001,"B",Fields!$W$2:$W$1001,"Yes")</f>
        <v>0</v>
      </c>
      <c r="P238" s="11" t="str">
        <f aca="false">IF(L238&gt;0,"A",IF(M238&gt;0,"B",IF(N238&gt;0,"C","")))</f>
        <v/>
      </c>
    </row>
    <row r="239" customFormat="false" ht="15" hidden="false" customHeight="false" outlineLevel="0" collapsed="false">
      <c r="A239" s="8" t="s">
        <v>286</v>
      </c>
      <c r="B239" s="8" t="s">
        <v>307</v>
      </c>
      <c r="C239" s="9"/>
      <c r="D239" s="9" t="s">
        <v>68</v>
      </c>
      <c r="E239" s="9"/>
      <c r="F239" s="9"/>
      <c r="G239" s="9"/>
      <c r="H239" s="9"/>
      <c r="I239" s="9"/>
      <c r="J239" s="10" t="n">
        <f aca="false">COUNTIF(Fields!$A$2:$A$1001,B239)</f>
        <v>0</v>
      </c>
      <c r="K239" s="10" t="n">
        <f aca="false">COUNTIFS(Fields!$A$2:$A$1001,B239,Fields!$T$2:$T$1001,"vetted")</f>
        <v>0</v>
      </c>
      <c r="L239" s="10" t="n">
        <f aca="false">COUNTIFS(Fields!$A$2:$A$1001,B239,Fields!$Z$2:$Z$1001,"A")</f>
        <v>0</v>
      </c>
      <c r="M239" s="10" t="n">
        <f aca="false">COUNTIFS(Fields!$A$2:$A$1001,B239,Fields!$Z$2:$Z$1001,"B")</f>
        <v>0</v>
      </c>
      <c r="N239" s="10" t="n">
        <f aca="false">COUNTIFS(Fields!$A$2:$A$1001,B239,Fields!$Z$2:$Z$1001,"C")</f>
        <v>0</v>
      </c>
      <c r="O239" s="10" t="n">
        <f aca="false">COUNTIFS(Fields!$A$2:$A$1001,B239,Fields!$Z$2:$Z$1001,"A",Fields!$W$2:$W$1001,"Yes")+COUNTIFS(Fields!$A$2:$A$1001,B239,Fields!$Z$2:$Z$1001,"B",Fields!$W$2:$W$1001,"Yes")</f>
        <v>0</v>
      </c>
      <c r="P239" s="11" t="str">
        <f aca="false">IF(L239&gt;0,"A",IF(M239&gt;0,"B",IF(N239&gt;0,"C","")))</f>
        <v/>
      </c>
    </row>
    <row r="240" customFormat="false" ht="15" hidden="false" customHeight="false" outlineLevel="0" collapsed="false">
      <c r="A240" s="8" t="s">
        <v>286</v>
      </c>
      <c r="B240" s="8" t="s">
        <v>308</v>
      </c>
      <c r="C240" s="9"/>
      <c r="D240" s="9" t="s">
        <v>68</v>
      </c>
      <c r="E240" s="9"/>
      <c r="F240" s="9"/>
      <c r="G240" s="9"/>
      <c r="H240" s="9"/>
      <c r="I240" s="9"/>
      <c r="J240" s="10" t="n">
        <f aca="false">COUNTIF(Fields!$A$2:$A$1001,B240)</f>
        <v>0</v>
      </c>
      <c r="K240" s="10" t="n">
        <f aca="false">COUNTIFS(Fields!$A$2:$A$1001,B240,Fields!$T$2:$T$1001,"vetted")</f>
        <v>0</v>
      </c>
      <c r="L240" s="10" t="n">
        <f aca="false">COUNTIFS(Fields!$A$2:$A$1001,B240,Fields!$Z$2:$Z$1001,"A")</f>
        <v>0</v>
      </c>
      <c r="M240" s="10" t="n">
        <f aca="false">COUNTIFS(Fields!$A$2:$A$1001,B240,Fields!$Z$2:$Z$1001,"B")</f>
        <v>0</v>
      </c>
      <c r="N240" s="10" t="n">
        <f aca="false">COUNTIFS(Fields!$A$2:$A$1001,B240,Fields!$Z$2:$Z$1001,"C")</f>
        <v>0</v>
      </c>
      <c r="O240" s="10" t="n">
        <f aca="false">COUNTIFS(Fields!$A$2:$A$1001,B240,Fields!$Z$2:$Z$1001,"A",Fields!$W$2:$W$1001,"Yes")+COUNTIFS(Fields!$A$2:$A$1001,B240,Fields!$Z$2:$Z$1001,"B",Fields!$W$2:$W$1001,"Yes")</f>
        <v>0</v>
      </c>
      <c r="P240" s="11" t="str">
        <f aca="false">IF(L240&gt;0,"A",IF(M240&gt;0,"B",IF(N240&gt;0,"C","")))</f>
        <v/>
      </c>
    </row>
    <row r="241" customFormat="false" ht="15" hidden="false" customHeight="false" outlineLevel="0" collapsed="false">
      <c r="A241" s="8" t="s">
        <v>286</v>
      </c>
      <c r="B241" s="8" t="s">
        <v>309</v>
      </c>
      <c r="C241" s="9"/>
      <c r="D241" s="9" t="s">
        <v>68</v>
      </c>
      <c r="E241" s="9"/>
      <c r="F241" s="9"/>
      <c r="G241" s="9"/>
      <c r="H241" s="9"/>
      <c r="I241" s="9"/>
      <c r="J241" s="10" t="n">
        <f aca="false">COUNTIF(Fields!$A$2:$A$1001,B241)</f>
        <v>0</v>
      </c>
      <c r="K241" s="10" t="n">
        <f aca="false">COUNTIFS(Fields!$A$2:$A$1001,B241,Fields!$T$2:$T$1001,"vetted")</f>
        <v>0</v>
      </c>
      <c r="L241" s="10" t="n">
        <f aca="false">COUNTIFS(Fields!$A$2:$A$1001,B241,Fields!$Z$2:$Z$1001,"A")</f>
        <v>0</v>
      </c>
      <c r="M241" s="10" t="n">
        <f aca="false">COUNTIFS(Fields!$A$2:$A$1001,B241,Fields!$Z$2:$Z$1001,"B")</f>
        <v>0</v>
      </c>
      <c r="N241" s="10" t="n">
        <f aca="false">COUNTIFS(Fields!$A$2:$A$1001,B241,Fields!$Z$2:$Z$1001,"C")</f>
        <v>0</v>
      </c>
      <c r="O241" s="10" t="n">
        <f aca="false">COUNTIFS(Fields!$A$2:$A$1001,B241,Fields!$Z$2:$Z$1001,"A",Fields!$W$2:$W$1001,"Yes")+COUNTIFS(Fields!$A$2:$A$1001,B241,Fields!$Z$2:$Z$1001,"B",Fields!$W$2:$W$1001,"Yes")</f>
        <v>0</v>
      </c>
      <c r="P241" s="11" t="str">
        <f aca="false">IF(L241&gt;0,"A",IF(M241&gt;0,"B",IF(N241&gt;0,"C","")))</f>
        <v/>
      </c>
    </row>
    <row r="242" customFormat="false" ht="15" hidden="false" customHeight="false" outlineLevel="0" collapsed="false">
      <c r="A242" s="8" t="s">
        <v>286</v>
      </c>
      <c r="B242" s="8" t="s">
        <v>310</v>
      </c>
      <c r="C242" s="9"/>
      <c r="D242" s="9" t="s">
        <v>68</v>
      </c>
      <c r="E242" s="9"/>
      <c r="F242" s="9"/>
      <c r="G242" s="9"/>
      <c r="H242" s="9"/>
      <c r="I242" s="9"/>
      <c r="J242" s="10" t="n">
        <f aca="false">COUNTIF(Fields!$A$2:$A$1001,B242)</f>
        <v>0</v>
      </c>
      <c r="K242" s="10" t="n">
        <f aca="false">COUNTIFS(Fields!$A$2:$A$1001,B242,Fields!$T$2:$T$1001,"vetted")</f>
        <v>0</v>
      </c>
      <c r="L242" s="10" t="n">
        <f aca="false">COUNTIFS(Fields!$A$2:$A$1001,B242,Fields!$Z$2:$Z$1001,"A")</f>
        <v>0</v>
      </c>
      <c r="M242" s="10" t="n">
        <f aca="false">COUNTIFS(Fields!$A$2:$A$1001,B242,Fields!$Z$2:$Z$1001,"B")</f>
        <v>0</v>
      </c>
      <c r="N242" s="10" t="n">
        <f aca="false">COUNTIFS(Fields!$A$2:$A$1001,B242,Fields!$Z$2:$Z$1001,"C")</f>
        <v>0</v>
      </c>
      <c r="O242" s="10" t="n">
        <f aca="false">COUNTIFS(Fields!$A$2:$A$1001,B242,Fields!$Z$2:$Z$1001,"A",Fields!$W$2:$W$1001,"Yes")+COUNTIFS(Fields!$A$2:$A$1001,B242,Fields!$Z$2:$Z$1001,"B",Fields!$W$2:$W$1001,"Yes")</f>
        <v>0</v>
      </c>
      <c r="P242" s="11" t="str">
        <f aca="false">IF(L242&gt;0,"A",IF(M242&gt;0,"B",IF(N242&gt;0,"C","")))</f>
        <v/>
      </c>
    </row>
    <row r="243" customFormat="false" ht="15" hidden="false" customHeight="false" outlineLevel="0" collapsed="false">
      <c r="A243" s="8" t="s">
        <v>286</v>
      </c>
      <c r="B243" s="8" t="s">
        <v>311</v>
      </c>
      <c r="C243" s="9"/>
      <c r="D243" s="9" t="s">
        <v>68</v>
      </c>
      <c r="E243" s="9"/>
      <c r="F243" s="9"/>
      <c r="G243" s="9"/>
      <c r="H243" s="9"/>
      <c r="I243" s="9"/>
      <c r="J243" s="10" t="n">
        <f aca="false">COUNTIF(Fields!$A$2:$A$1001,B243)</f>
        <v>0</v>
      </c>
      <c r="K243" s="10" t="n">
        <f aca="false">COUNTIFS(Fields!$A$2:$A$1001,B243,Fields!$T$2:$T$1001,"vetted")</f>
        <v>0</v>
      </c>
      <c r="L243" s="10" t="n">
        <f aca="false">COUNTIFS(Fields!$A$2:$A$1001,B243,Fields!$Z$2:$Z$1001,"A")</f>
        <v>0</v>
      </c>
      <c r="M243" s="10" t="n">
        <f aca="false">COUNTIFS(Fields!$A$2:$A$1001,B243,Fields!$Z$2:$Z$1001,"B")</f>
        <v>0</v>
      </c>
      <c r="N243" s="10" t="n">
        <f aca="false">COUNTIFS(Fields!$A$2:$A$1001,B243,Fields!$Z$2:$Z$1001,"C")</f>
        <v>0</v>
      </c>
      <c r="O243" s="10" t="n">
        <f aca="false">COUNTIFS(Fields!$A$2:$A$1001,B243,Fields!$Z$2:$Z$1001,"A",Fields!$W$2:$W$1001,"Yes")+COUNTIFS(Fields!$A$2:$A$1001,B243,Fields!$Z$2:$Z$1001,"B",Fields!$W$2:$W$1001,"Yes")</f>
        <v>0</v>
      </c>
      <c r="P243" s="11" t="str">
        <f aca="false">IF(L243&gt;0,"A",IF(M243&gt;0,"B",IF(N243&gt;0,"C","")))</f>
        <v/>
      </c>
    </row>
    <row r="244" customFormat="false" ht="15" hidden="false" customHeight="false" outlineLevel="0" collapsed="false">
      <c r="A244" s="8" t="s">
        <v>286</v>
      </c>
      <c r="B244" s="8" t="s">
        <v>312</v>
      </c>
      <c r="C244" s="9"/>
      <c r="D244" s="9" t="s">
        <v>68</v>
      </c>
      <c r="E244" s="9"/>
      <c r="F244" s="9"/>
      <c r="G244" s="9"/>
      <c r="H244" s="9"/>
      <c r="I244" s="9"/>
      <c r="J244" s="10" t="n">
        <f aca="false">COUNTIF(Fields!$A$2:$A$1001,B244)</f>
        <v>0</v>
      </c>
      <c r="K244" s="10" t="n">
        <f aca="false">COUNTIFS(Fields!$A$2:$A$1001,B244,Fields!$T$2:$T$1001,"vetted")</f>
        <v>0</v>
      </c>
      <c r="L244" s="10" t="n">
        <f aca="false">COUNTIFS(Fields!$A$2:$A$1001,B244,Fields!$Z$2:$Z$1001,"A")</f>
        <v>0</v>
      </c>
      <c r="M244" s="10" t="n">
        <f aca="false">COUNTIFS(Fields!$A$2:$A$1001,B244,Fields!$Z$2:$Z$1001,"B")</f>
        <v>0</v>
      </c>
      <c r="N244" s="10" t="n">
        <f aca="false">COUNTIFS(Fields!$A$2:$A$1001,B244,Fields!$Z$2:$Z$1001,"C")</f>
        <v>0</v>
      </c>
      <c r="O244" s="10" t="n">
        <f aca="false">COUNTIFS(Fields!$A$2:$A$1001,B244,Fields!$Z$2:$Z$1001,"A",Fields!$W$2:$W$1001,"Yes")+COUNTIFS(Fields!$A$2:$A$1001,B244,Fields!$Z$2:$Z$1001,"B",Fields!$W$2:$W$1001,"Yes")</f>
        <v>0</v>
      </c>
      <c r="P244" s="11" t="str">
        <f aca="false">IF(L244&gt;0,"A",IF(M244&gt;0,"B",IF(N244&gt;0,"C","")))</f>
        <v/>
      </c>
    </row>
    <row r="245" customFormat="false" ht="15" hidden="false" customHeight="false" outlineLevel="0" collapsed="false">
      <c r="A245" s="8" t="s">
        <v>286</v>
      </c>
      <c r="B245" s="8" t="s">
        <v>313</v>
      </c>
      <c r="C245" s="9"/>
      <c r="D245" s="9" t="s">
        <v>68</v>
      </c>
      <c r="E245" s="9"/>
      <c r="F245" s="9"/>
      <c r="G245" s="9"/>
      <c r="H245" s="9"/>
      <c r="I245" s="9"/>
      <c r="J245" s="10" t="n">
        <f aca="false">COUNTIF(Fields!$A$2:$A$1001,B245)</f>
        <v>0</v>
      </c>
      <c r="K245" s="10" t="n">
        <f aca="false">COUNTIFS(Fields!$A$2:$A$1001,B245,Fields!$T$2:$T$1001,"vetted")</f>
        <v>0</v>
      </c>
      <c r="L245" s="10" t="n">
        <f aca="false">COUNTIFS(Fields!$A$2:$A$1001,B245,Fields!$Z$2:$Z$1001,"A")</f>
        <v>0</v>
      </c>
      <c r="M245" s="10" t="n">
        <f aca="false">COUNTIFS(Fields!$A$2:$A$1001,B245,Fields!$Z$2:$Z$1001,"B")</f>
        <v>0</v>
      </c>
      <c r="N245" s="10" t="n">
        <f aca="false">COUNTIFS(Fields!$A$2:$A$1001,B245,Fields!$Z$2:$Z$1001,"C")</f>
        <v>0</v>
      </c>
      <c r="O245" s="10" t="n">
        <f aca="false">COUNTIFS(Fields!$A$2:$A$1001,B245,Fields!$Z$2:$Z$1001,"A",Fields!$W$2:$W$1001,"Yes")+COUNTIFS(Fields!$A$2:$A$1001,B245,Fields!$Z$2:$Z$1001,"B",Fields!$W$2:$W$1001,"Yes")</f>
        <v>0</v>
      </c>
      <c r="P245" s="11" t="str">
        <f aca="false">IF(L245&gt;0,"A",IF(M245&gt;0,"B",IF(N245&gt;0,"C","")))</f>
        <v/>
      </c>
    </row>
    <row r="246" customFormat="false" ht="15" hidden="false" customHeight="false" outlineLevel="0" collapsed="false">
      <c r="A246" s="8" t="s">
        <v>286</v>
      </c>
      <c r="B246" s="8" t="s">
        <v>314</v>
      </c>
      <c r="C246" s="9"/>
      <c r="D246" s="9" t="s">
        <v>68</v>
      </c>
      <c r="E246" s="9"/>
      <c r="F246" s="9"/>
      <c r="G246" s="9"/>
      <c r="H246" s="9"/>
      <c r="I246" s="9"/>
      <c r="J246" s="10" t="n">
        <f aca="false">COUNTIF(Fields!$A$2:$A$1001,B246)</f>
        <v>0</v>
      </c>
      <c r="K246" s="10" t="n">
        <f aca="false">COUNTIFS(Fields!$A$2:$A$1001,B246,Fields!$T$2:$T$1001,"vetted")</f>
        <v>0</v>
      </c>
      <c r="L246" s="10" t="n">
        <f aca="false">COUNTIFS(Fields!$A$2:$A$1001,B246,Fields!$Z$2:$Z$1001,"A")</f>
        <v>0</v>
      </c>
      <c r="M246" s="10" t="n">
        <f aca="false">COUNTIFS(Fields!$A$2:$A$1001,B246,Fields!$Z$2:$Z$1001,"B")</f>
        <v>0</v>
      </c>
      <c r="N246" s="10" t="n">
        <f aca="false">COUNTIFS(Fields!$A$2:$A$1001,B246,Fields!$Z$2:$Z$1001,"C")</f>
        <v>0</v>
      </c>
      <c r="O246" s="10" t="n">
        <f aca="false">COUNTIFS(Fields!$A$2:$A$1001,B246,Fields!$Z$2:$Z$1001,"A",Fields!$W$2:$W$1001,"Yes")+COUNTIFS(Fields!$A$2:$A$1001,B246,Fields!$Z$2:$Z$1001,"B",Fields!$W$2:$W$1001,"Yes")</f>
        <v>0</v>
      </c>
      <c r="P246" s="11" t="str">
        <f aca="false">IF(L246&gt;0,"A",IF(M246&gt;0,"B",IF(N246&gt;0,"C","")))</f>
        <v/>
      </c>
    </row>
    <row r="247" customFormat="false" ht="15" hidden="false" customHeight="false" outlineLevel="0" collapsed="false">
      <c r="A247" s="8" t="s">
        <v>286</v>
      </c>
      <c r="B247" s="8" t="s">
        <v>315</v>
      </c>
      <c r="C247" s="9"/>
      <c r="D247" s="9" t="s">
        <v>68</v>
      </c>
      <c r="E247" s="9"/>
      <c r="F247" s="9"/>
      <c r="G247" s="9"/>
      <c r="H247" s="9"/>
      <c r="I247" s="9"/>
      <c r="J247" s="10" t="n">
        <f aca="false">COUNTIF(Fields!$A$2:$A$1001,B247)</f>
        <v>0</v>
      </c>
      <c r="K247" s="10" t="n">
        <f aca="false">COUNTIFS(Fields!$A$2:$A$1001,B247,Fields!$T$2:$T$1001,"vetted")</f>
        <v>0</v>
      </c>
      <c r="L247" s="10" t="n">
        <f aca="false">COUNTIFS(Fields!$A$2:$A$1001,B247,Fields!$Z$2:$Z$1001,"A")</f>
        <v>0</v>
      </c>
      <c r="M247" s="10" t="n">
        <f aca="false">COUNTIFS(Fields!$A$2:$A$1001,B247,Fields!$Z$2:$Z$1001,"B")</f>
        <v>0</v>
      </c>
      <c r="N247" s="10" t="n">
        <f aca="false">COUNTIFS(Fields!$A$2:$A$1001,B247,Fields!$Z$2:$Z$1001,"C")</f>
        <v>0</v>
      </c>
      <c r="O247" s="10" t="n">
        <f aca="false">COUNTIFS(Fields!$A$2:$A$1001,B247,Fields!$Z$2:$Z$1001,"A",Fields!$W$2:$W$1001,"Yes")+COUNTIFS(Fields!$A$2:$A$1001,B247,Fields!$Z$2:$Z$1001,"B",Fields!$W$2:$W$1001,"Yes")</f>
        <v>0</v>
      </c>
      <c r="P247" s="11" t="str">
        <f aca="false">IF(L247&gt;0,"A",IF(M247&gt;0,"B",IF(N247&gt;0,"C","")))</f>
        <v/>
      </c>
    </row>
    <row r="248" customFormat="false" ht="15" hidden="false" customHeight="false" outlineLevel="0" collapsed="false">
      <c r="A248" s="8" t="s">
        <v>286</v>
      </c>
      <c r="B248" s="8" t="s">
        <v>316</v>
      </c>
      <c r="C248" s="9"/>
      <c r="D248" s="9" t="s">
        <v>68</v>
      </c>
      <c r="E248" s="9"/>
      <c r="F248" s="9"/>
      <c r="G248" s="9"/>
      <c r="H248" s="9"/>
      <c r="I248" s="9"/>
      <c r="J248" s="10" t="n">
        <f aca="false">COUNTIF(Fields!$A$2:$A$1001,B248)</f>
        <v>0</v>
      </c>
      <c r="K248" s="10" t="n">
        <f aca="false">COUNTIFS(Fields!$A$2:$A$1001,B248,Fields!$T$2:$T$1001,"vetted")</f>
        <v>0</v>
      </c>
      <c r="L248" s="10" t="n">
        <f aca="false">COUNTIFS(Fields!$A$2:$A$1001,B248,Fields!$Z$2:$Z$1001,"A")</f>
        <v>0</v>
      </c>
      <c r="M248" s="10" t="n">
        <f aca="false">COUNTIFS(Fields!$A$2:$A$1001,B248,Fields!$Z$2:$Z$1001,"B")</f>
        <v>0</v>
      </c>
      <c r="N248" s="10" t="n">
        <f aca="false">COUNTIFS(Fields!$A$2:$A$1001,B248,Fields!$Z$2:$Z$1001,"C")</f>
        <v>0</v>
      </c>
      <c r="O248" s="10" t="n">
        <f aca="false">COUNTIFS(Fields!$A$2:$A$1001,B248,Fields!$Z$2:$Z$1001,"A",Fields!$W$2:$W$1001,"Yes")+COUNTIFS(Fields!$A$2:$A$1001,B248,Fields!$Z$2:$Z$1001,"B",Fields!$W$2:$W$1001,"Yes")</f>
        <v>0</v>
      </c>
      <c r="P248" s="11" t="str">
        <f aca="false">IF(L248&gt;0,"A",IF(M248&gt;0,"B",IF(N248&gt;0,"C","")))</f>
        <v/>
      </c>
    </row>
    <row r="249" customFormat="false" ht="15" hidden="false" customHeight="false" outlineLevel="0" collapsed="false">
      <c r="A249" s="8" t="s">
        <v>286</v>
      </c>
      <c r="B249" s="8" t="s">
        <v>317</v>
      </c>
      <c r="C249" s="9"/>
      <c r="D249" s="9" t="s">
        <v>68</v>
      </c>
      <c r="E249" s="9"/>
      <c r="F249" s="9"/>
      <c r="G249" s="9"/>
      <c r="H249" s="9"/>
      <c r="I249" s="9"/>
      <c r="J249" s="10" t="n">
        <f aca="false">COUNTIF(Fields!$A$2:$A$1001,B249)</f>
        <v>0</v>
      </c>
      <c r="K249" s="10" t="n">
        <f aca="false">COUNTIFS(Fields!$A$2:$A$1001,B249,Fields!$T$2:$T$1001,"vetted")</f>
        <v>0</v>
      </c>
      <c r="L249" s="10" t="n">
        <f aca="false">COUNTIFS(Fields!$A$2:$A$1001,B249,Fields!$Z$2:$Z$1001,"A")</f>
        <v>0</v>
      </c>
      <c r="M249" s="10" t="n">
        <f aca="false">COUNTIFS(Fields!$A$2:$A$1001,B249,Fields!$Z$2:$Z$1001,"B")</f>
        <v>0</v>
      </c>
      <c r="N249" s="10" t="n">
        <f aca="false">COUNTIFS(Fields!$A$2:$A$1001,B249,Fields!$Z$2:$Z$1001,"C")</f>
        <v>0</v>
      </c>
      <c r="O249" s="10" t="n">
        <f aca="false">COUNTIFS(Fields!$A$2:$A$1001,B249,Fields!$Z$2:$Z$1001,"A",Fields!$W$2:$W$1001,"Yes")+COUNTIFS(Fields!$A$2:$A$1001,B249,Fields!$Z$2:$Z$1001,"B",Fields!$W$2:$W$1001,"Yes")</f>
        <v>0</v>
      </c>
      <c r="P249" s="11" t="str">
        <f aca="false">IF(L249&gt;0,"A",IF(M249&gt;0,"B",IF(N249&gt;0,"C","")))</f>
        <v/>
      </c>
    </row>
    <row r="250" customFormat="false" ht="15" hidden="false" customHeight="false" outlineLevel="0" collapsed="false">
      <c r="A250" s="8" t="s">
        <v>286</v>
      </c>
      <c r="B250" s="8" t="s">
        <v>318</v>
      </c>
      <c r="C250" s="9"/>
      <c r="D250" s="9" t="s">
        <v>68</v>
      </c>
      <c r="E250" s="9"/>
      <c r="F250" s="9"/>
      <c r="G250" s="9"/>
      <c r="H250" s="9"/>
      <c r="I250" s="9"/>
      <c r="J250" s="10" t="n">
        <f aca="false">COUNTIF(Fields!$A$2:$A$1001,B250)</f>
        <v>0</v>
      </c>
      <c r="K250" s="10" t="n">
        <f aca="false">COUNTIFS(Fields!$A$2:$A$1001,B250,Fields!$T$2:$T$1001,"vetted")</f>
        <v>0</v>
      </c>
      <c r="L250" s="10" t="n">
        <f aca="false">COUNTIFS(Fields!$A$2:$A$1001,B250,Fields!$Z$2:$Z$1001,"A")</f>
        <v>0</v>
      </c>
      <c r="M250" s="10" t="n">
        <f aca="false">COUNTIFS(Fields!$A$2:$A$1001,B250,Fields!$Z$2:$Z$1001,"B")</f>
        <v>0</v>
      </c>
      <c r="N250" s="10" t="n">
        <f aca="false">COUNTIFS(Fields!$A$2:$A$1001,B250,Fields!$Z$2:$Z$1001,"C")</f>
        <v>0</v>
      </c>
      <c r="O250" s="10" t="n">
        <f aca="false">COUNTIFS(Fields!$A$2:$A$1001,B250,Fields!$Z$2:$Z$1001,"A",Fields!$W$2:$W$1001,"Yes")+COUNTIFS(Fields!$A$2:$A$1001,B250,Fields!$Z$2:$Z$1001,"B",Fields!$W$2:$W$1001,"Yes")</f>
        <v>0</v>
      </c>
      <c r="P250" s="11" t="str">
        <f aca="false">IF(L250&gt;0,"A",IF(M250&gt;0,"B",IF(N250&gt;0,"C","")))</f>
        <v/>
      </c>
    </row>
    <row r="251" customFormat="false" ht="15" hidden="false" customHeight="false" outlineLevel="0" collapsed="false">
      <c r="A251" s="8" t="s">
        <v>286</v>
      </c>
      <c r="B251" s="8" t="s">
        <v>319</v>
      </c>
      <c r="C251" s="9"/>
      <c r="D251" s="9" t="s">
        <v>68</v>
      </c>
      <c r="E251" s="9"/>
      <c r="F251" s="9"/>
      <c r="G251" s="9"/>
      <c r="H251" s="9"/>
      <c r="I251" s="9"/>
      <c r="J251" s="10" t="n">
        <f aca="false">COUNTIF(Fields!$A$2:$A$1001,B251)</f>
        <v>0</v>
      </c>
      <c r="K251" s="10" t="n">
        <f aca="false">COUNTIFS(Fields!$A$2:$A$1001,B251,Fields!$T$2:$T$1001,"vetted")</f>
        <v>0</v>
      </c>
      <c r="L251" s="10" t="n">
        <f aca="false">COUNTIFS(Fields!$A$2:$A$1001,B251,Fields!$Z$2:$Z$1001,"A")</f>
        <v>0</v>
      </c>
      <c r="M251" s="10" t="n">
        <f aca="false">COUNTIFS(Fields!$A$2:$A$1001,B251,Fields!$Z$2:$Z$1001,"B")</f>
        <v>0</v>
      </c>
      <c r="N251" s="10" t="n">
        <f aca="false">COUNTIFS(Fields!$A$2:$A$1001,B251,Fields!$Z$2:$Z$1001,"C")</f>
        <v>0</v>
      </c>
      <c r="O251" s="10" t="n">
        <f aca="false">COUNTIFS(Fields!$A$2:$A$1001,B251,Fields!$Z$2:$Z$1001,"A",Fields!$W$2:$W$1001,"Yes")+COUNTIFS(Fields!$A$2:$A$1001,B251,Fields!$Z$2:$Z$1001,"B",Fields!$W$2:$W$1001,"Yes")</f>
        <v>0</v>
      </c>
      <c r="P251" s="11" t="str">
        <f aca="false">IF(L251&gt;0,"A",IF(M251&gt;0,"B",IF(N251&gt;0,"C","")))</f>
        <v/>
      </c>
    </row>
    <row r="252" customFormat="false" ht="15" hidden="false" customHeight="false" outlineLevel="0" collapsed="false">
      <c r="A252" s="8" t="s">
        <v>286</v>
      </c>
      <c r="B252" s="8" t="s">
        <v>320</v>
      </c>
      <c r="C252" s="9"/>
      <c r="D252" s="9" t="s">
        <v>68</v>
      </c>
      <c r="E252" s="9"/>
      <c r="F252" s="9"/>
      <c r="G252" s="9"/>
      <c r="H252" s="9"/>
      <c r="I252" s="9"/>
      <c r="J252" s="10" t="n">
        <f aca="false">COUNTIF(Fields!$A$2:$A$1001,B252)</f>
        <v>0</v>
      </c>
      <c r="K252" s="10" t="n">
        <f aca="false">COUNTIFS(Fields!$A$2:$A$1001,B252,Fields!$T$2:$T$1001,"vetted")</f>
        <v>0</v>
      </c>
      <c r="L252" s="10" t="n">
        <f aca="false">COUNTIFS(Fields!$A$2:$A$1001,B252,Fields!$Z$2:$Z$1001,"A")</f>
        <v>0</v>
      </c>
      <c r="M252" s="10" t="n">
        <f aca="false">COUNTIFS(Fields!$A$2:$A$1001,B252,Fields!$Z$2:$Z$1001,"B")</f>
        <v>0</v>
      </c>
      <c r="N252" s="10" t="n">
        <f aca="false">COUNTIFS(Fields!$A$2:$A$1001,B252,Fields!$Z$2:$Z$1001,"C")</f>
        <v>0</v>
      </c>
      <c r="O252" s="10" t="n">
        <f aca="false">COUNTIFS(Fields!$A$2:$A$1001,B252,Fields!$Z$2:$Z$1001,"A",Fields!$W$2:$W$1001,"Yes")+COUNTIFS(Fields!$A$2:$A$1001,B252,Fields!$Z$2:$Z$1001,"B",Fields!$W$2:$W$1001,"Yes")</f>
        <v>0</v>
      </c>
      <c r="P252" s="11" t="str">
        <f aca="false">IF(L252&gt;0,"A",IF(M252&gt;0,"B",IF(N252&gt;0,"C","")))</f>
        <v/>
      </c>
    </row>
    <row r="253" customFormat="false" ht="15" hidden="false" customHeight="false" outlineLevel="0" collapsed="false">
      <c r="A253" s="8" t="s">
        <v>286</v>
      </c>
      <c r="B253" s="8" t="s">
        <v>321</v>
      </c>
      <c r="C253" s="9"/>
      <c r="D253" s="9" t="s">
        <v>68</v>
      </c>
      <c r="E253" s="9"/>
      <c r="F253" s="9"/>
      <c r="G253" s="9"/>
      <c r="H253" s="9"/>
      <c r="I253" s="9"/>
      <c r="J253" s="10" t="n">
        <f aca="false">COUNTIF(Fields!$A$2:$A$1001,B253)</f>
        <v>0</v>
      </c>
      <c r="K253" s="10" t="n">
        <f aca="false">COUNTIFS(Fields!$A$2:$A$1001,B253,Fields!$T$2:$T$1001,"vetted")</f>
        <v>0</v>
      </c>
      <c r="L253" s="10" t="n">
        <f aca="false">COUNTIFS(Fields!$A$2:$A$1001,B253,Fields!$Z$2:$Z$1001,"A")</f>
        <v>0</v>
      </c>
      <c r="M253" s="10" t="n">
        <f aca="false">COUNTIFS(Fields!$A$2:$A$1001,B253,Fields!$Z$2:$Z$1001,"B")</f>
        <v>0</v>
      </c>
      <c r="N253" s="10" t="n">
        <f aca="false">COUNTIFS(Fields!$A$2:$A$1001,B253,Fields!$Z$2:$Z$1001,"C")</f>
        <v>0</v>
      </c>
      <c r="O253" s="10" t="n">
        <f aca="false">COUNTIFS(Fields!$A$2:$A$1001,B253,Fields!$Z$2:$Z$1001,"A",Fields!$W$2:$W$1001,"Yes")+COUNTIFS(Fields!$A$2:$A$1001,B253,Fields!$Z$2:$Z$1001,"B",Fields!$W$2:$W$1001,"Yes")</f>
        <v>0</v>
      </c>
      <c r="P253" s="11" t="str">
        <f aca="false">IF(L253&gt;0,"A",IF(M253&gt;0,"B",IF(N253&gt;0,"C","")))</f>
        <v/>
      </c>
    </row>
    <row r="254" customFormat="false" ht="15" hidden="false" customHeight="false" outlineLevel="0" collapsed="false">
      <c r="A254" s="8" t="s">
        <v>286</v>
      </c>
      <c r="B254" s="8" t="s">
        <v>322</v>
      </c>
      <c r="C254" s="9"/>
      <c r="D254" s="9" t="s">
        <v>68</v>
      </c>
      <c r="E254" s="9"/>
      <c r="F254" s="9"/>
      <c r="G254" s="9"/>
      <c r="H254" s="9"/>
      <c r="I254" s="9"/>
      <c r="J254" s="10" t="n">
        <f aca="false">COUNTIF(Fields!$A$2:$A$1001,B254)</f>
        <v>0</v>
      </c>
      <c r="K254" s="10" t="n">
        <f aca="false">COUNTIFS(Fields!$A$2:$A$1001,B254,Fields!$T$2:$T$1001,"vetted")</f>
        <v>0</v>
      </c>
      <c r="L254" s="10" t="n">
        <f aca="false">COUNTIFS(Fields!$A$2:$A$1001,B254,Fields!$Z$2:$Z$1001,"A")</f>
        <v>0</v>
      </c>
      <c r="M254" s="10" t="n">
        <f aca="false">COUNTIFS(Fields!$A$2:$A$1001,B254,Fields!$Z$2:$Z$1001,"B")</f>
        <v>0</v>
      </c>
      <c r="N254" s="10" t="n">
        <f aca="false">COUNTIFS(Fields!$A$2:$A$1001,B254,Fields!$Z$2:$Z$1001,"C")</f>
        <v>0</v>
      </c>
      <c r="O254" s="10" t="n">
        <f aca="false">COUNTIFS(Fields!$A$2:$A$1001,B254,Fields!$Z$2:$Z$1001,"A",Fields!$W$2:$W$1001,"Yes")+COUNTIFS(Fields!$A$2:$A$1001,B254,Fields!$Z$2:$Z$1001,"B",Fields!$W$2:$W$1001,"Yes")</f>
        <v>0</v>
      </c>
      <c r="P254" s="11" t="str">
        <f aca="false">IF(L254&gt;0,"A",IF(M254&gt;0,"B",IF(N254&gt;0,"C","")))</f>
        <v/>
      </c>
    </row>
    <row r="255" customFormat="false" ht="15" hidden="false" customHeight="false" outlineLevel="0" collapsed="false">
      <c r="A255" s="8" t="s">
        <v>286</v>
      </c>
      <c r="B255" s="8" t="s">
        <v>323</v>
      </c>
      <c r="C255" s="9"/>
      <c r="D255" s="9" t="s">
        <v>68</v>
      </c>
      <c r="E255" s="9"/>
      <c r="F255" s="9"/>
      <c r="G255" s="9"/>
      <c r="H255" s="9"/>
      <c r="I255" s="9"/>
      <c r="J255" s="10" t="n">
        <f aca="false">COUNTIF(Fields!$A$2:$A$1001,B255)</f>
        <v>0</v>
      </c>
      <c r="K255" s="10" t="n">
        <f aca="false">COUNTIFS(Fields!$A$2:$A$1001,B255,Fields!$T$2:$T$1001,"vetted")</f>
        <v>0</v>
      </c>
      <c r="L255" s="10" t="n">
        <f aca="false">COUNTIFS(Fields!$A$2:$A$1001,B255,Fields!$Z$2:$Z$1001,"A")</f>
        <v>0</v>
      </c>
      <c r="M255" s="10" t="n">
        <f aca="false">COUNTIFS(Fields!$A$2:$A$1001,B255,Fields!$Z$2:$Z$1001,"B")</f>
        <v>0</v>
      </c>
      <c r="N255" s="10" t="n">
        <f aca="false">COUNTIFS(Fields!$A$2:$A$1001,B255,Fields!$Z$2:$Z$1001,"C")</f>
        <v>0</v>
      </c>
      <c r="O255" s="10" t="n">
        <f aca="false">COUNTIFS(Fields!$A$2:$A$1001,B255,Fields!$Z$2:$Z$1001,"A",Fields!$W$2:$W$1001,"Yes")+COUNTIFS(Fields!$A$2:$A$1001,B255,Fields!$Z$2:$Z$1001,"B",Fields!$W$2:$W$1001,"Yes")</f>
        <v>0</v>
      </c>
      <c r="P255" s="11" t="str">
        <f aca="false">IF(L255&gt;0,"A",IF(M255&gt;0,"B",IF(N255&gt;0,"C","")))</f>
        <v/>
      </c>
    </row>
  </sheetData>
  <autoFilter ref="A1:P255"/>
  <conditionalFormatting sqref="P2:P255">
    <cfRule type="expression" priority="2" aboveAverage="0" equalAverage="0" bottom="0" percent="0" rank="0" text="" dxfId="5">
      <formula>$P2="A"</formula>
    </cfRule>
    <cfRule type="expression" priority="3" aboveAverage="0" equalAverage="0" bottom="0" percent="0" rank="0" text="" dxfId="6">
      <formula>$P2="B"</formula>
    </cfRule>
    <cfRule type="expression" priority="4" aboveAverage="0" equalAverage="0" bottom="0" percent="0" rank="0" text="" dxfId="7">
      <formula>$P2="C"</formula>
    </cfRule>
  </conditionalFormatting>
  <dataValidations count="5">
    <dataValidation allowBlank="true" errorStyle="stop" operator="between" showDropDown="false" showErrorMessage="false" showInputMessage="false" sqref="C2:C255" type="list">
      <formula1>Lists!$G$2:$G$4</formula1>
      <formula2>0</formula2>
    </dataValidation>
    <dataValidation allowBlank="true" errorStyle="stop" operator="between" showDropDown="false" showErrorMessage="false" showInputMessage="false" sqref="D2:D255" type="list">
      <formula1>Lists!$F$2:$F$5</formula1>
      <formula2>0</formula2>
    </dataValidation>
    <dataValidation allowBlank="true" errorStyle="stop" operator="between" showDropDown="false" showErrorMessage="false" showInputMessage="false" sqref="F2:F255" type="list">
      <formula1>Lists!$I$2:$I$4</formula1>
      <formula2>0</formula2>
    </dataValidation>
    <dataValidation allowBlank="true" errorStyle="stop" operator="between" showDropDown="false" showErrorMessage="false" showInputMessage="false" sqref="G2:G255" type="list">
      <formula1>Lists!$I$2:$I$4</formula1>
      <formula2>0</formula2>
    </dataValidation>
    <dataValidation allowBlank="true" errorStyle="stop" operator="between" showDropDown="false" showErrorMessage="false" showInputMessage="false" sqref="H2:H255" type="list">
      <formula1>Lists!$I$2:$I$4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26"/>
    <col collapsed="false" customWidth="true" hidden="false" outlineLevel="0" max="15" min="13" style="0" width="10"/>
    <col collapsed="false" customWidth="true" hidden="false" outlineLevel="0" max="16" min="16" style="0" width="9"/>
    <col collapsed="false" customWidth="true" hidden="false" outlineLevel="0" max="17" min="17" style="0" width="26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22"/>
    <col collapsed="false" customWidth="true" hidden="false" outlineLevel="0" max="22" min="22" style="0" width="36"/>
    <col collapsed="false" customWidth="true" hidden="false" outlineLevel="0" max="25" min="23" style="0" width="9"/>
    <col collapsed="false" customWidth="true" hidden="false" outlineLevel="0" max="26" min="26" style="0" width="8"/>
  </cols>
  <sheetData>
    <row r="1" customFormat="false" ht="30" hidden="false" customHeight="true" outlineLevel="0" collapsed="false">
      <c r="A1" s="7" t="s">
        <v>20</v>
      </c>
      <c r="B1" s="7" t="s">
        <v>51</v>
      </c>
      <c r="C1" s="7" t="s">
        <v>21</v>
      </c>
      <c r="D1" s="7" t="s">
        <v>324</v>
      </c>
      <c r="E1" s="7" t="s">
        <v>22</v>
      </c>
      <c r="F1" s="7" t="s">
        <v>23</v>
      </c>
      <c r="G1" s="7" t="s">
        <v>9</v>
      </c>
      <c r="H1" s="7" t="s">
        <v>24</v>
      </c>
      <c r="I1" s="7" t="s">
        <v>325</v>
      </c>
      <c r="J1" s="7" t="s">
        <v>326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11</v>
      </c>
      <c r="P1" s="7" t="s">
        <v>327</v>
      </c>
      <c r="Q1" s="7" t="s">
        <v>328</v>
      </c>
      <c r="R1" s="7" t="s">
        <v>31</v>
      </c>
      <c r="S1" s="7" t="s">
        <v>32</v>
      </c>
      <c r="T1" s="7" t="s">
        <v>30</v>
      </c>
      <c r="U1" s="7" t="s">
        <v>329</v>
      </c>
      <c r="V1" s="7" t="s">
        <v>330</v>
      </c>
      <c r="W1" s="7" t="s">
        <v>331</v>
      </c>
      <c r="X1" s="7" t="s">
        <v>332</v>
      </c>
      <c r="Y1" s="7" t="s">
        <v>333</v>
      </c>
      <c r="Z1" s="7" t="s">
        <v>334</v>
      </c>
    </row>
    <row r="2" customFormat="false" ht="15" hidden="false" customHeight="false" outlineLevel="0" collapsed="false">
      <c r="A2" s="9" t="s">
        <v>35</v>
      </c>
      <c r="B2" s="10" t="str">
        <f aca="false">IF(A2="","",IFERROR(INDEX(Parks!$A$2:$A$255,MATCH(A2,Parks!$B$2:$B$255,0)),"?"))</f>
        <v>North</v>
      </c>
      <c r="C2" s="9" t="s">
        <v>335</v>
      </c>
      <c r="D2" s="10" t="str">
        <f aca="false">IF(C2="","",IF(SUMPRODUCT(--ISNUMBER(SEARCH({"Nets","Wicket","Diamond","Softball","T-ball","Baseball","Netball","Tennis","Bocce","Pentaque","Petanque","Skate","Car Park","Pond","Bridle","Amphitheatre","Perimeter","Passive"},C2)))&gt;0,"no",IF(SUMPRODUCT(--ISNUMBER(SEARCH({"Cricket","Junior","Mini","Summer Football","Small"},C2)))&gt;0,"reduced",IF(SUMPRODUCT(--ISNUMBER(SEARCH({"Rugby","Football","League","Touch","Gaelic","Australian","Lacrosse","General Sport","Training Area","Ultimate"},C2)))&gt;0,"full","unknown"))))</f>
        <v>reduced</v>
      </c>
      <c r="E2" s="9"/>
      <c r="F2" s="9"/>
      <c r="G2" s="9"/>
      <c r="H2" s="9"/>
      <c r="I2" s="12"/>
      <c r="J2" s="9"/>
      <c r="K2" s="9"/>
      <c r="L2" s="9"/>
      <c r="M2" s="9"/>
      <c r="N2" s="9"/>
      <c r="O2" s="13" t="str">
        <f aca="false">IF(C2="","",IF(N(M2)+N(N2)&lt;Settings!$C$9,"untested",M2/(M2+N2)))</f>
        <v>untested</v>
      </c>
      <c r="P2" s="9"/>
      <c r="Q2" s="9"/>
      <c r="R2" s="9"/>
      <c r="S2" s="12"/>
      <c r="T2" s="9" t="s">
        <v>336</v>
      </c>
      <c r="U2" s="9"/>
      <c r="V2" s="9"/>
      <c r="W2" s="10" t="str">
        <f aca="false">IF(C2="","",IF(OR(G2="training",G2="full"),"Yes",IF(G2="none","No","?")))</f>
        <v>?</v>
      </c>
      <c r="X2" s="10" t="str">
        <f aca="false">IF(C2="","",IF(OR(E2="",E2="unknown"),D2,E2))</f>
        <v>reduced</v>
      </c>
      <c r="Y2" s="10" t="str">
        <f aca="false">IF(C2="","",IF(OR(T2="unsuitable",T2="retired",X2="no"),"—",IF(J2="","unrated",IF(AND(X2="full",J2&gt;=Settings!$C$5,OR(O2="untested",O2&gt;=Settings!$C$6)),"A",IF(AND(OR(X2="full",X2="reduced"),J2&gt;=Settings!$C$7,OR(O2="untested",O2&gt;=Settings!$C$8)),"B","C")))))</f>
        <v>unrated</v>
      </c>
      <c r="Z2" s="11" t="str">
        <f aca="false">IF(C2="","",IF(P2&lt;&gt;"",P2,Y2))</f>
        <v>unrated</v>
      </c>
    </row>
    <row r="3" customFormat="false" ht="15" hidden="false" customHeight="false" outlineLevel="0" collapsed="false">
      <c r="A3" s="9" t="s">
        <v>35</v>
      </c>
      <c r="B3" s="10" t="str">
        <f aca="false">IF(A3="","",IFERROR(INDEX(Parks!$A$2:$A$255,MATCH(A3,Parks!$B$2:$B$255,0)),"?"))</f>
        <v>North</v>
      </c>
      <c r="C3" s="9" t="s">
        <v>337</v>
      </c>
      <c r="D3" s="10" t="str">
        <f aca="false">IF(C3="","",IF(SUMPRODUCT(--ISNUMBER(SEARCH({"Nets","Wicket","Diamond","Softball","T-ball","Baseball","Netball","Tennis","Bocce","Pentaque","Petanque","Skate","Car Park","Pond","Bridle","Amphitheatre","Perimeter","Passive"},C3)))&gt;0,"no",IF(SUMPRODUCT(--ISNUMBER(SEARCH({"Cricket","Junior","Mini","Summer Football","Small"},C3)))&gt;0,"reduced",IF(SUMPRODUCT(--ISNUMBER(SEARCH({"Rugby","Football","League","Touch","Gaelic","Australian","Lacrosse","General Sport","Training Area","Ultimate"},C3)))&gt;0,"full","unknown"))))</f>
        <v>reduced</v>
      </c>
      <c r="E3" s="9"/>
      <c r="F3" s="9"/>
      <c r="G3" s="9"/>
      <c r="H3" s="9"/>
      <c r="I3" s="12"/>
      <c r="J3" s="9"/>
      <c r="K3" s="9"/>
      <c r="L3" s="9"/>
      <c r="M3" s="9"/>
      <c r="N3" s="9"/>
      <c r="O3" s="13" t="str">
        <f aca="false">IF(C3="","",IF(N(M3)+N(N3)&lt;Settings!$C$9,"untested",M3/(M3+N3)))</f>
        <v>untested</v>
      </c>
      <c r="P3" s="9"/>
      <c r="Q3" s="9"/>
      <c r="R3" s="9"/>
      <c r="S3" s="12"/>
      <c r="T3" s="9" t="s">
        <v>336</v>
      </c>
      <c r="U3" s="9"/>
      <c r="V3" s="9"/>
      <c r="W3" s="10" t="str">
        <f aca="false">IF(C3="","",IF(OR(G3="training",G3="full"),"Yes",IF(G3="none","No","?")))</f>
        <v>?</v>
      </c>
      <c r="X3" s="10" t="str">
        <f aca="false">IF(C3="","",IF(OR(E3="",E3="unknown"),D3,E3))</f>
        <v>reduced</v>
      </c>
      <c r="Y3" s="10" t="str">
        <f aca="false">IF(C3="","",IF(OR(T3="unsuitable",T3="retired",X3="no"),"—",IF(J3="","unrated",IF(AND(X3="full",J3&gt;=Settings!$C$5,OR(O3="untested",O3&gt;=Settings!$C$6)),"A",IF(AND(OR(X3="full",X3="reduced"),J3&gt;=Settings!$C$7,OR(O3="untested",O3&gt;=Settings!$C$8)),"B","C")))))</f>
        <v>unrated</v>
      </c>
      <c r="Z3" s="11" t="str">
        <f aca="false">IF(C3="","",IF(P3&lt;&gt;"",P3,Y3))</f>
        <v>unrated</v>
      </c>
    </row>
    <row r="4" customFormat="false" ht="15" hidden="false" customHeight="false" outlineLevel="0" collapsed="false">
      <c r="A4" s="9" t="s">
        <v>35</v>
      </c>
      <c r="B4" s="10" t="str">
        <f aca="false">IF(A4="","",IFERROR(INDEX(Parks!$A$2:$A$255,MATCH(A4,Parks!$B$2:$B$255,0)),"?"))</f>
        <v>North</v>
      </c>
      <c r="C4" s="9" t="s">
        <v>338</v>
      </c>
      <c r="D4" s="10" t="str">
        <f aca="false">IF(C4="","",IF(SUMPRODUCT(--ISNUMBER(SEARCH({"Nets","Wicket","Diamond","Softball","T-ball","Baseball","Netball","Tennis","Bocce","Pentaque","Petanque","Skate","Car Park","Pond","Bridle","Amphitheatre","Perimeter","Passive"},C4)))&gt;0,"no",IF(SUMPRODUCT(--ISNUMBER(SEARCH({"Cricket","Junior","Mini","Summer Football","Small"},C4)))&gt;0,"reduced",IF(SUMPRODUCT(--ISNUMBER(SEARCH({"Rugby","Football","League","Touch","Gaelic","Australian","Lacrosse","General Sport","Training Area","Ultimate"},C4)))&gt;0,"full","unknown"))))</f>
        <v>reduced</v>
      </c>
      <c r="E4" s="9"/>
      <c r="F4" s="9"/>
      <c r="G4" s="9"/>
      <c r="H4" s="9"/>
      <c r="I4" s="12"/>
      <c r="J4" s="9"/>
      <c r="K4" s="9"/>
      <c r="L4" s="9"/>
      <c r="M4" s="9"/>
      <c r="N4" s="9"/>
      <c r="O4" s="13" t="str">
        <f aca="false">IF(C4="","",IF(N(M4)+N(N4)&lt;Settings!$C$9,"untested",M4/(M4+N4)))</f>
        <v>untested</v>
      </c>
      <c r="P4" s="9"/>
      <c r="Q4" s="9"/>
      <c r="R4" s="9"/>
      <c r="S4" s="12"/>
      <c r="T4" s="9" t="s">
        <v>336</v>
      </c>
      <c r="U4" s="9"/>
      <c r="V4" s="9"/>
      <c r="W4" s="10" t="str">
        <f aca="false">IF(C4="","",IF(OR(G4="training",G4="full"),"Yes",IF(G4="none","No","?")))</f>
        <v>?</v>
      </c>
      <c r="X4" s="10" t="str">
        <f aca="false">IF(C4="","",IF(OR(E4="",E4="unknown"),D4,E4))</f>
        <v>reduced</v>
      </c>
      <c r="Y4" s="10" t="str">
        <f aca="false">IF(C4="","",IF(OR(T4="unsuitable",T4="retired",X4="no"),"—",IF(J4="","unrated",IF(AND(X4="full",J4&gt;=Settings!$C$5,OR(O4="untested",O4&gt;=Settings!$C$6)),"A",IF(AND(OR(X4="full",X4="reduced"),J4&gt;=Settings!$C$7,OR(O4="untested",O4&gt;=Settings!$C$8)),"B","C")))))</f>
        <v>unrated</v>
      </c>
      <c r="Z4" s="11" t="str">
        <f aca="false">IF(C4="","",IF(P4&lt;&gt;"",P4,Y4))</f>
        <v>unrated</v>
      </c>
    </row>
    <row r="5" customFormat="false" ht="15" hidden="false" customHeight="false" outlineLevel="0" collapsed="false">
      <c r="A5" s="9" t="s">
        <v>35</v>
      </c>
      <c r="B5" s="10" t="str">
        <f aca="false">IF(A5="","",IFERROR(INDEX(Parks!$A$2:$A$255,MATCH(A5,Parks!$B$2:$B$255,0)),"?"))</f>
        <v>North</v>
      </c>
      <c r="C5" s="9" t="s">
        <v>339</v>
      </c>
      <c r="D5" s="10" t="str">
        <f aca="false">IF(C5="","",IF(SUMPRODUCT(--ISNUMBER(SEARCH({"Nets","Wicket","Diamond","Softball","T-ball","Baseball","Netball","Tennis","Bocce","Pentaque","Petanque","Skate","Car Park","Pond","Bridle","Amphitheatre","Perimeter","Passive"},C5)))&gt;0,"no",IF(SUMPRODUCT(--ISNUMBER(SEARCH({"Cricket","Junior","Mini","Summer Football","Small"},C5)))&gt;0,"reduced",IF(SUMPRODUCT(--ISNUMBER(SEARCH({"Rugby","Football","League","Touch","Gaelic","Australian","Lacrosse","General Sport","Training Area","Ultimate"},C5)))&gt;0,"full","unknown"))))</f>
        <v>reduced</v>
      </c>
      <c r="E5" s="9"/>
      <c r="F5" s="9"/>
      <c r="G5" s="9"/>
      <c r="H5" s="9"/>
      <c r="I5" s="12"/>
      <c r="J5" s="9"/>
      <c r="K5" s="9"/>
      <c r="L5" s="9"/>
      <c r="M5" s="9"/>
      <c r="N5" s="9"/>
      <c r="O5" s="13" t="str">
        <f aca="false">IF(C5="","",IF(N(M5)+N(N5)&lt;Settings!$C$9,"untested",M5/(M5+N5)))</f>
        <v>untested</v>
      </c>
      <c r="P5" s="9"/>
      <c r="Q5" s="9"/>
      <c r="R5" s="9"/>
      <c r="S5" s="12"/>
      <c r="T5" s="9" t="s">
        <v>336</v>
      </c>
      <c r="U5" s="9"/>
      <c r="V5" s="9"/>
      <c r="W5" s="10" t="str">
        <f aca="false">IF(C5="","",IF(OR(G5="training",G5="full"),"Yes",IF(G5="none","No","?")))</f>
        <v>?</v>
      </c>
      <c r="X5" s="10" t="str">
        <f aca="false">IF(C5="","",IF(OR(E5="",E5="unknown"),D5,E5))</f>
        <v>reduced</v>
      </c>
      <c r="Y5" s="10" t="str">
        <f aca="false">IF(C5="","",IF(OR(T5="unsuitable",T5="retired",X5="no"),"—",IF(J5="","unrated",IF(AND(X5="full",J5&gt;=Settings!$C$5,OR(O5="untested",O5&gt;=Settings!$C$6)),"A",IF(AND(OR(X5="full",X5="reduced"),J5&gt;=Settings!$C$7,OR(O5="untested",O5&gt;=Settings!$C$8)),"B","C")))))</f>
        <v>unrated</v>
      </c>
      <c r="Z5" s="11" t="str">
        <f aca="false">IF(C5="","",IF(P5&lt;&gt;"",P5,Y5))</f>
        <v>unrated</v>
      </c>
    </row>
    <row r="6" customFormat="false" ht="15" hidden="false" customHeight="false" outlineLevel="0" collapsed="false">
      <c r="A6" s="9" t="s">
        <v>35</v>
      </c>
      <c r="B6" s="10" t="str">
        <f aca="false">IF(A6="","",IFERROR(INDEX(Parks!$A$2:$A$255,MATCH(A6,Parks!$B$2:$B$255,0)),"?"))</f>
        <v>North</v>
      </c>
      <c r="C6" s="9" t="s">
        <v>340</v>
      </c>
      <c r="D6" s="10" t="str">
        <f aca="false">IF(C6="","",IF(SUMPRODUCT(--ISNUMBER(SEARCH({"Nets","Wicket","Diamond","Softball","T-ball","Baseball","Netball","Tennis","Bocce","Pentaque","Petanque","Skate","Car Park","Pond","Bridle","Amphitheatre","Perimeter","Passive"},C6)))&gt;0,"no",IF(SUMPRODUCT(--ISNUMBER(SEARCH({"Cricket","Junior","Mini","Summer Football","Small"},C6)))&gt;0,"reduced",IF(SUMPRODUCT(--ISNUMBER(SEARCH({"Rugby","Football","League","Touch","Gaelic","Australian","Lacrosse","General Sport","Training Area","Ultimate"},C6)))&gt;0,"full","unknown"))))</f>
        <v>no</v>
      </c>
      <c r="E6" s="9"/>
      <c r="F6" s="9"/>
      <c r="G6" s="9"/>
      <c r="H6" s="9"/>
      <c r="I6" s="12"/>
      <c r="J6" s="9"/>
      <c r="K6" s="9"/>
      <c r="L6" s="9"/>
      <c r="M6" s="9"/>
      <c r="N6" s="9"/>
      <c r="O6" s="13" t="str">
        <f aca="false">IF(C6="","",IF(N(M6)+N(N6)&lt;Settings!$C$9,"untested",M6/(M6+N6)))</f>
        <v>untested</v>
      </c>
      <c r="P6" s="9"/>
      <c r="Q6" s="9"/>
      <c r="R6" s="9"/>
      <c r="S6" s="12"/>
      <c r="T6" s="9" t="s">
        <v>336</v>
      </c>
      <c r="U6" s="9"/>
      <c r="V6" s="9"/>
      <c r="W6" s="10" t="str">
        <f aca="false">IF(C6="","",IF(OR(G6="training",G6="full"),"Yes",IF(G6="none","No","?")))</f>
        <v>?</v>
      </c>
      <c r="X6" s="10" t="str">
        <f aca="false">IF(C6="","",IF(OR(E6="",E6="unknown"),D6,E6))</f>
        <v>no</v>
      </c>
      <c r="Y6" s="10" t="str">
        <f aca="false">IF(C6="","",IF(OR(T6="unsuitable",T6="retired",X6="no"),"—",IF(J6="","unrated",IF(AND(X6="full",J6&gt;=Settings!$C$5,OR(O6="untested",O6&gt;=Settings!$C$6)),"A",IF(AND(OR(X6="full",X6="reduced"),J6&gt;=Settings!$C$7,OR(O6="untested",O6&gt;=Settings!$C$8)),"B","C")))))</f>
        <v>—</v>
      </c>
      <c r="Z6" s="11" t="str">
        <f aca="false">IF(C6="","",IF(P6&lt;&gt;"",P6,Y6))</f>
        <v>—</v>
      </c>
    </row>
    <row r="7" customFormat="false" ht="15" hidden="false" customHeight="false" outlineLevel="0" collapsed="false">
      <c r="A7" s="9" t="s">
        <v>35</v>
      </c>
      <c r="B7" s="10" t="str">
        <f aca="false">IF(A7="","",IFERROR(INDEX(Parks!$A$2:$A$255,MATCH(A7,Parks!$B$2:$B$255,0)),"?"))</f>
        <v>North</v>
      </c>
      <c r="C7" s="9" t="s">
        <v>341</v>
      </c>
      <c r="D7" s="10" t="str">
        <f aca="false">IF(C7="","",IF(SUMPRODUCT(--ISNUMBER(SEARCH({"Nets","Wicket","Diamond","Softball","T-ball","Baseball","Netball","Tennis","Bocce","Pentaque","Petanque","Skate","Car Park","Pond","Bridle","Amphitheatre","Perimeter","Passive"},C7)))&gt;0,"no",IF(SUMPRODUCT(--ISNUMBER(SEARCH({"Cricket","Junior","Mini","Summer Football","Small"},C7)))&gt;0,"reduced",IF(SUMPRODUCT(--ISNUMBER(SEARCH({"Rugby","Football","League","Touch","Gaelic","Australian","Lacrosse","General Sport","Training Area","Ultimate"},C7)))&gt;0,"full","unknown"))))</f>
        <v>full</v>
      </c>
      <c r="E7" s="9"/>
      <c r="F7" s="9"/>
      <c r="G7" s="9"/>
      <c r="H7" s="9"/>
      <c r="I7" s="12"/>
      <c r="J7" s="9"/>
      <c r="K7" s="9"/>
      <c r="L7" s="9"/>
      <c r="M7" s="9"/>
      <c r="N7" s="9"/>
      <c r="O7" s="13" t="str">
        <f aca="false">IF(C7="","",IF(N(M7)+N(N7)&lt;Settings!$C$9,"untested",M7/(M7+N7)))</f>
        <v>untested</v>
      </c>
      <c r="P7" s="9"/>
      <c r="Q7" s="9"/>
      <c r="R7" s="9"/>
      <c r="S7" s="12"/>
      <c r="T7" s="9" t="s">
        <v>336</v>
      </c>
      <c r="U7" s="9"/>
      <c r="V7" s="9"/>
      <c r="W7" s="10" t="str">
        <f aca="false">IF(C7="","",IF(OR(G7="training",G7="full"),"Yes",IF(G7="none","No","?")))</f>
        <v>?</v>
      </c>
      <c r="X7" s="10" t="str">
        <f aca="false">IF(C7="","",IF(OR(E7="",E7="unknown"),D7,E7))</f>
        <v>full</v>
      </c>
      <c r="Y7" s="10" t="str">
        <f aca="false">IF(C7="","",IF(OR(T7="unsuitable",T7="retired",X7="no"),"—",IF(J7="","unrated",IF(AND(X7="full",J7&gt;=Settings!$C$5,OR(O7="untested",O7&gt;=Settings!$C$6)),"A",IF(AND(OR(X7="full",X7="reduced"),J7&gt;=Settings!$C$7,OR(O7="untested",O7&gt;=Settings!$C$8)),"B","C")))))</f>
        <v>unrated</v>
      </c>
      <c r="Z7" s="11" t="str">
        <f aca="false">IF(C7="","",IF(P7&lt;&gt;"",P7,Y7))</f>
        <v>unrated</v>
      </c>
    </row>
    <row r="8" customFormat="false" ht="15" hidden="false" customHeight="false" outlineLevel="0" collapsed="false">
      <c r="A8" s="9" t="s">
        <v>35</v>
      </c>
      <c r="B8" s="10" t="str">
        <f aca="false">IF(A8="","",IFERROR(INDEX(Parks!$A$2:$A$255,MATCH(A8,Parks!$B$2:$B$255,0)),"?"))</f>
        <v>North</v>
      </c>
      <c r="C8" s="9" t="s">
        <v>36</v>
      </c>
      <c r="D8" s="10" t="str">
        <f aca="false">IF(C8="","",IF(SUMPRODUCT(--ISNUMBER(SEARCH({"Nets","Wicket","Diamond","Softball","T-ball","Baseball","Netball","Tennis","Bocce","Pentaque","Petanque","Skate","Car Park","Pond","Bridle","Amphitheatre","Perimeter","Passive"},C8)))&gt;0,"no",IF(SUMPRODUCT(--ISNUMBER(SEARCH({"Cricket","Junior","Mini","Summer Football","Small"},C8)))&gt;0,"reduced",IF(SUMPRODUCT(--ISNUMBER(SEARCH({"Rugby","Football","League","Touch","Gaelic","Australian","Lacrosse","General Sport","Training Area","Ultimate"},C8)))&gt;0,"full","unknown"))))</f>
        <v>full</v>
      </c>
      <c r="E8" s="9"/>
      <c r="F8" s="9"/>
      <c r="G8" s="9"/>
      <c r="H8" s="9"/>
      <c r="I8" s="12"/>
      <c r="J8" s="9"/>
      <c r="K8" s="9"/>
      <c r="L8" s="9"/>
      <c r="M8" s="9"/>
      <c r="N8" s="9"/>
      <c r="O8" s="13" t="str">
        <f aca="false">IF(C8="","",IF(N(M8)+N(N8)&lt;Settings!$C$9,"untested",M8/(M8+N8)))</f>
        <v>untested</v>
      </c>
      <c r="P8" s="9"/>
      <c r="Q8" s="9"/>
      <c r="R8" s="9"/>
      <c r="S8" s="12"/>
      <c r="T8" s="9" t="s">
        <v>336</v>
      </c>
      <c r="U8" s="9"/>
      <c r="V8" s="9"/>
      <c r="W8" s="10" t="str">
        <f aca="false">IF(C8="","",IF(OR(G8="training",G8="full"),"Yes",IF(G8="none","No","?")))</f>
        <v>?</v>
      </c>
      <c r="X8" s="10" t="str">
        <f aca="false">IF(C8="","",IF(OR(E8="",E8="unknown"),D8,E8))</f>
        <v>full</v>
      </c>
      <c r="Y8" s="10" t="str">
        <f aca="false">IF(C8="","",IF(OR(T8="unsuitable",T8="retired",X8="no"),"—",IF(J8="","unrated",IF(AND(X8="full",J8&gt;=Settings!$C$5,OR(O8="untested",O8&gt;=Settings!$C$6)),"A",IF(AND(OR(X8="full",X8="reduced"),J8&gt;=Settings!$C$7,OR(O8="untested",O8&gt;=Settings!$C$8)),"B","C")))))</f>
        <v>unrated</v>
      </c>
      <c r="Z8" s="11" t="str">
        <f aca="false">IF(C8="","",IF(P8&lt;&gt;"",P8,Y8))</f>
        <v>unrated</v>
      </c>
    </row>
    <row r="9" customFormat="false" ht="15" hidden="false" customHeight="false" outlineLevel="0" collapsed="false">
      <c r="A9" s="9" t="s">
        <v>35</v>
      </c>
      <c r="B9" s="10" t="str">
        <f aca="false">IF(A9="","",IFERROR(INDEX(Parks!$A$2:$A$255,MATCH(A9,Parks!$B$2:$B$255,0)),"?"))</f>
        <v>North</v>
      </c>
      <c r="C9" s="9" t="s">
        <v>342</v>
      </c>
      <c r="D9" s="10" t="str">
        <f aca="false">IF(C9="","",IF(SUMPRODUCT(--ISNUMBER(SEARCH({"Nets","Wicket","Diamond","Softball","T-ball","Baseball","Netball","Tennis","Bocce","Pentaque","Petanque","Skate","Car Park","Pond","Bridle","Amphitheatre","Perimeter","Passive"},C9)))&gt;0,"no",IF(SUMPRODUCT(--ISNUMBER(SEARCH({"Cricket","Junior","Mini","Summer Football","Small"},C9)))&gt;0,"reduced",IF(SUMPRODUCT(--ISNUMBER(SEARCH({"Rugby","Football","League","Touch","Gaelic","Australian","Lacrosse","General Sport","Training Area","Ultimate"},C9)))&gt;0,"full","unknown"))))</f>
        <v>full</v>
      </c>
      <c r="E9" s="9"/>
      <c r="F9" s="9"/>
      <c r="G9" s="9"/>
      <c r="H9" s="9"/>
      <c r="I9" s="12"/>
      <c r="J9" s="9"/>
      <c r="K9" s="9"/>
      <c r="L9" s="9"/>
      <c r="M9" s="9"/>
      <c r="N9" s="9"/>
      <c r="O9" s="13" t="str">
        <f aca="false">IF(C9="","",IF(N(M9)+N(N9)&lt;Settings!$C$9,"untested",M9/(M9+N9)))</f>
        <v>untested</v>
      </c>
      <c r="P9" s="9"/>
      <c r="Q9" s="9"/>
      <c r="R9" s="9"/>
      <c r="S9" s="12"/>
      <c r="T9" s="9" t="s">
        <v>336</v>
      </c>
      <c r="U9" s="9"/>
      <c r="V9" s="9"/>
      <c r="W9" s="10" t="str">
        <f aca="false">IF(C9="","",IF(OR(G9="training",G9="full"),"Yes",IF(G9="none","No","?")))</f>
        <v>?</v>
      </c>
      <c r="X9" s="10" t="str">
        <f aca="false">IF(C9="","",IF(OR(E9="",E9="unknown"),D9,E9))</f>
        <v>full</v>
      </c>
      <c r="Y9" s="10" t="str">
        <f aca="false">IF(C9="","",IF(OR(T9="unsuitable",T9="retired",X9="no"),"—",IF(J9="","unrated",IF(AND(X9="full",J9&gt;=Settings!$C$5,OR(O9="untested",O9&gt;=Settings!$C$6)),"A",IF(AND(OR(X9="full",X9="reduced"),J9&gt;=Settings!$C$7,OR(O9="untested",O9&gt;=Settings!$C$8)),"B","C")))))</f>
        <v>unrated</v>
      </c>
      <c r="Z9" s="11" t="str">
        <f aca="false">IF(C9="","",IF(P9&lt;&gt;"",P9,Y9))</f>
        <v>unrated</v>
      </c>
    </row>
    <row r="10" customFormat="false" ht="15" hidden="false" customHeight="false" outlineLevel="0" collapsed="false">
      <c r="A10" s="9"/>
      <c r="B10" s="10" t="str">
        <f aca="false">IF(A10="","",IFERROR(INDEX(Parks!$A$2:$A$255,MATCH(A10,Parks!$B$2:$B$255,0)),"?"))</f>
        <v/>
      </c>
      <c r="C10" s="9"/>
      <c r="D10" s="10" t="str">
        <f aca="false">IF(C10="","",IF(SUMPRODUCT(--ISNUMBER(SEARCH({"Nets","Wicket","Diamond","Softball","T-ball","Baseball","Netball","Tennis","Bocce","Pentaque","Petanque","Skate","Car Park","Pond","Bridle","Amphitheatre","Perimeter","Passive"},C10)))&gt;0,"no",IF(SUMPRODUCT(--ISNUMBER(SEARCH({"Cricket","Junior","Mini","Summer Football","Small"},C10)))&gt;0,"reduced",IF(SUMPRODUCT(--ISNUMBER(SEARCH({"Rugby","Football","League","Touch","Gaelic","Australian","Lacrosse","General Sport","Training Area","Ultimate"},C10)))&gt;0,"full","unknown"))))</f>
        <v/>
      </c>
      <c r="E10" s="9"/>
      <c r="F10" s="9"/>
      <c r="G10" s="9"/>
      <c r="H10" s="9"/>
      <c r="I10" s="12"/>
      <c r="J10" s="9"/>
      <c r="K10" s="9"/>
      <c r="L10" s="9"/>
      <c r="M10" s="9"/>
      <c r="N10" s="9"/>
      <c r="O10" s="13" t="str">
        <f aca="false">IF(C10="","",IF(N(M10)+N(N10)&lt;Settings!$C$9,"untested",M10/(M10+N10)))</f>
        <v/>
      </c>
      <c r="P10" s="9"/>
      <c r="Q10" s="9"/>
      <c r="R10" s="9"/>
      <c r="S10" s="12"/>
      <c r="T10" s="9"/>
      <c r="U10" s="9"/>
      <c r="V10" s="9"/>
      <c r="W10" s="10" t="str">
        <f aca="false">IF(C10="","",IF(OR(G10="training",G10="full"),"Yes",IF(G10="none","No","?")))</f>
        <v/>
      </c>
      <c r="X10" s="10" t="str">
        <f aca="false">IF(C10="","",IF(OR(E10="",E10="unknown"),D10,E10))</f>
        <v/>
      </c>
      <c r="Y10" s="10" t="str">
        <f aca="false">IF(C10="","",IF(OR(T10="unsuitable",T10="retired",X10="no"),"—",IF(J10="","unrated",IF(AND(X10="full",J10&gt;=Settings!$C$5,OR(O10="untested",O10&gt;=Settings!$C$6)),"A",IF(AND(OR(X10="full",X10="reduced"),J10&gt;=Settings!$C$7,OR(O10="untested",O10&gt;=Settings!$C$8)),"B","C")))))</f>
        <v/>
      </c>
      <c r="Z10" s="11" t="str">
        <f aca="false">IF(C10="","",IF(P10&lt;&gt;"",P10,Y10))</f>
        <v/>
      </c>
    </row>
    <row r="11" customFormat="false" ht="15" hidden="false" customHeight="false" outlineLevel="0" collapsed="false">
      <c r="A11" s="9"/>
      <c r="B11" s="10" t="str">
        <f aca="false">IF(A11="","",IFERROR(INDEX(Parks!$A$2:$A$255,MATCH(A11,Parks!$B$2:$B$255,0)),"?"))</f>
        <v/>
      </c>
      <c r="C11" s="9"/>
      <c r="D11" s="10" t="str">
        <f aca="false">IF(C11="","",IF(SUMPRODUCT(--ISNUMBER(SEARCH({"Nets","Wicket","Diamond","Softball","T-ball","Baseball","Netball","Tennis","Bocce","Pentaque","Petanque","Skate","Car Park","Pond","Bridle","Amphitheatre","Perimeter","Passive"},C11)))&gt;0,"no",IF(SUMPRODUCT(--ISNUMBER(SEARCH({"Cricket","Junior","Mini","Summer Football","Small"},C11)))&gt;0,"reduced",IF(SUMPRODUCT(--ISNUMBER(SEARCH({"Rugby","Football","League","Touch","Gaelic","Australian","Lacrosse","General Sport","Training Area","Ultimate"},C11)))&gt;0,"full","unknown"))))</f>
        <v/>
      </c>
      <c r="E11" s="9"/>
      <c r="F11" s="9"/>
      <c r="G11" s="9"/>
      <c r="H11" s="9"/>
      <c r="I11" s="12"/>
      <c r="J11" s="9"/>
      <c r="K11" s="9"/>
      <c r="L11" s="9"/>
      <c r="M11" s="9"/>
      <c r="N11" s="9"/>
      <c r="O11" s="13" t="str">
        <f aca="false">IF(C11="","",IF(N(M11)+N(N11)&lt;Settings!$C$9,"untested",M11/(M11+N11)))</f>
        <v/>
      </c>
      <c r="P11" s="9"/>
      <c r="Q11" s="9"/>
      <c r="R11" s="9"/>
      <c r="S11" s="12"/>
      <c r="T11" s="9"/>
      <c r="U11" s="9"/>
      <c r="V11" s="9"/>
      <c r="W11" s="10" t="str">
        <f aca="false">IF(C11="","",IF(OR(G11="training",G11="full"),"Yes",IF(G11="none","No","?")))</f>
        <v/>
      </c>
      <c r="X11" s="10" t="str">
        <f aca="false">IF(C11="","",IF(OR(E11="",E11="unknown"),D11,E11))</f>
        <v/>
      </c>
      <c r="Y11" s="10" t="str">
        <f aca="false">IF(C11="","",IF(OR(T11="unsuitable",T11="retired",X11="no"),"—",IF(J11="","unrated",IF(AND(X11="full",J11&gt;=Settings!$C$5,OR(O11="untested",O11&gt;=Settings!$C$6)),"A",IF(AND(OR(X11="full",X11="reduced"),J11&gt;=Settings!$C$7,OR(O11="untested",O11&gt;=Settings!$C$8)),"B","C")))))</f>
        <v/>
      </c>
      <c r="Z11" s="11" t="str">
        <f aca="false">IF(C11="","",IF(P11&lt;&gt;"",P11,Y11))</f>
        <v/>
      </c>
    </row>
    <row r="12" customFormat="false" ht="15" hidden="false" customHeight="false" outlineLevel="0" collapsed="false">
      <c r="A12" s="9"/>
      <c r="B12" s="10" t="str">
        <f aca="false">IF(A12="","",IFERROR(INDEX(Parks!$A$2:$A$255,MATCH(A12,Parks!$B$2:$B$255,0)),"?"))</f>
        <v/>
      </c>
      <c r="C12" s="9"/>
      <c r="D12" s="10" t="str">
        <f aca="false">IF(C12="","",IF(SUMPRODUCT(--ISNUMBER(SEARCH({"Nets","Wicket","Diamond","Softball","T-ball","Baseball","Netball","Tennis","Bocce","Pentaque","Petanque","Skate","Car Park","Pond","Bridle","Amphitheatre","Perimeter","Passive"},C12)))&gt;0,"no",IF(SUMPRODUCT(--ISNUMBER(SEARCH({"Cricket","Junior","Mini","Summer Football","Small"},C12)))&gt;0,"reduced",IF(SUMPRODUCT(--ISNUMBER(SEARCH({"Rugby","Football","League","Touch","Gaelic","Australian","Lacrosse","General Sport","Training Area","Ultimate"},C12)))&gt;0,"full","unknown"))))</f>
        <v/>
      </c>
      <c r="E12" s="9"/>
      <c r="F12" s="9"/>
      <c r="G12" s="9"/>
      <c r="H12" s="9"/>
      <c r="I12" s="12"/>
      <c r="J12" s="9"/>
      <c r="K12" s="9"/>
      <c r="L12" s="9"/>
      <c r="M12" s="9"/>
      <c r="N12" s="9"/>
      <c r="O12" s="13" t="str">
        <f aca="false">IF(C12="","",IF(N(M12)+N(N12)&lt;Settings!$C$9,"untested",M12/(M12+N12)))</f>
        <v/>
      </c>
      <c r="P12" s="9"/>
      <c r="Q12" s="9"/>
      <c r="R12" s="9"/>
      <c r="S12" s="12"/>
      <c r="T12" s="9"/>
      <c r="U12" s="9"/>
      <c r="V12" s="9"/>
      <c r="W12" s="10" t="str">
        <f aca="false">IF(C12="","",IF(OR(G12="training",G12="full"),"Yes",IF(G12="none","No","?")))</f>
        <v/>
      </c>
      <c r="X12" s="10" t="str">
        <f aca="false">IF(C12="","",IF(OR(E12="",E12="unknown"),D12,E12))</f>
        <v/>
      </c>
      <c r="Y12" s="10" t="str">
        <f aca="false">IF(C12="","",IF(OR(T12="unsuitable",T12="retired",X12="no"),"—",IF(J12="","unrated",IF(AND(X12="full",J12&gt;=Settings!$C$5,OR(O12="untested",O12&gt;=Settings!$C$6)),"A",IF(AND(OR(X12="full",X12="reduced"),J12&gt;=Settings!$C$7,OR(O12="untested",O12&gt;=Settings!$C$8)),"B","C")))))</f>
        <v/>
      </c>
      <c r="Z12" s="11" t="str">
        <f aca="false">IF(C12="","",IF(P12&lt;&gt;"",P12,Y12))</f>
        <v/>
      </c>
    </row>
    <row r="13" customFormat="false" ht="15" hidden="false" customHeight="false" outlineLevel="0" collapsed="false">
      <c r="A13" s="9"/>
      <c r="B13" s="10" t="str">
        <f aca="false">IF(A13="","",IFERROR(INDEX(Parks!$A$2:$A$255,MATCH(A13,Parks!$B$2:$B$255,0)),"?"))</f>
        <v/>
      </c>
      <c r="C13" s="9"/>
      <c r="D13" s="10" t="str">
        <f aca="false">IF(C13="","",IF(SUMPRODUCT(--ISNUMBER(SEARCH({"Nets","Wicket","Diamond","Softball","T-ball","Baseball","Netball","Tennis","Bocce","Pentaque","Petanque","Skate","Car Park","Pond","Bridle","Amphitheatre","Perimeter","Passive"},C13)))&gt;0,"no",IF(SUMPRODUCT(--ISNUMBER(SEARCH({"Cricket","Junior","Mini","Summer Football","Small"},C13)))&gt;0,"reduced",IF(SUMPRODUCT(--ISNUMBER(SEARCH({"Rugby","Football","League","Touch","Gaelic","Australian","Lacrosse","General Sport","Training Area","Ultimate"},C13)))&gt;0,"full","unknown"))))</f>
        <v/>
      </c>
      <c r="E13" s="9"/>
      <c r="F13" s="9"/>
      <c r="G13" s="9"/>
      <c r="H13" s="9"/>
      <c r="I13" s="12"/>
      <c r="J13" s="9"/>
      <c r="K13" s="9"/>
      <c r="L13" s="9"/>
      <c r="M13" s="9"/>
      <c r="N13" s="9"/>
      <c r="O13" s="13" t="str">
        <f aca="false">IF(C13="","",IF(N(M13)+N(N13)&lt;Settings!$C$9,"untested",M13/(M13+N13)))</f>
        <v/>
      </c>
      <c r="P13" s="9"/>
      <c r="Q13" s="9"/>
      <c r="R13" s="9"/>
      <c r="S13" s="12"/>
      <c r="T13" s="9"/>
      <c r="U13" s="9"/>
      <c r="V13" s="9"/>
      <c r="W13" s="10" t="str">
        <f aca="false">IF(C13="","",IF(OR(G13="training",G13="full"),"Yes",IF(G13="none","No","?")))</f>
        <v/>
      </c>
      <c r="X13" s="10" t="str">
        <f aca="false">IF(C13="","",IF(OR(E13="",E13="unknown"),D13,E13))</f>
        <v/>
      </c>
      <c r="Y13" s="10" t="str">
        <f aca="false">IF(C13="","",IF(OR(T13="unsuitable",T13="retired",X13="no"),"—",IF(J13="","unrated",IF(AND(X13="full",J13&gt;=Settings!$C$5,OR(O13="untested",O13&gt;=Settings!$C$6)),"A",IF(AND(OR(X13="full",X13="reduced"),J13&gt;=Settings!$C$7,OR(O13="untested",O13&gt;=Settings!$C$8)),"B","C")))))</f>
        <v/>
      </c>
      <c r="Z13" s="11" t="str">
        <f aca="false">IF(C13="","",IF(P13&lt;&gt;"",P13,Y13))</f>
        <v/>
      </c>
    </row>
    <row r="14" customFormat="false" ht="15" hidden="false" customHeight="false" outlineLevel="0" collapsed="false">
      <c r="A14" s="9"/>
      <c r="B14" s="10" t="str">
        <f aca="false">IF(A14="","",IFERROR(INDEX(Parks!$A$2:$A$255,MATCH(A14,Parks!$B$2:$B$255,0)),"?"))</f>
        <v/>
      </c>
      <c r="C14" s="9"/>
      <c r="D14" s="10" t="str">
        <f aca="false">IF(C14="","",IF(SUMPRODUCT(--ISNUMBER(SEARCH({"Nets","Wicket","Diamond","Softball","T-ball","Baseball","Netball","Tennis","Bocce","Pentaque","Petanque","Skate","Car Park","Pond","Bridle","Amphitheatre","Perimeter","Passive"},C14)))&gt;0,"no",IF(SUMPRODUCT(--ISNUMBER(SEARCH({"Cricket","Junior","Mini","Summer Football","Small"},C14)))&gt;0,"reduced",IF(SUMPRODUCT(--ISNUMBER(SEARCH({"Rugby","Football","League","Touch","Gaelic","Australian","Lacrosse","General Sport","Training Area","Ultimate"},C14)))&gt;0,"full","unknown"))))</f>
        <v/>
      </c>
      <c r="E14" s="9"/>
      <c r="F14" s="9"/>
      <c r="G14" s="9"/>
      <c r="H14" s="9"/>
      <c r="I14" s="12"/>
      <c r="J14" s="9"/>
      <c r="K14" s="9"/>
      <c r="L14" s="9"/>
      <c r="M14" s="9"/>
      <c r="N14" s="9"/>
      <c r="O14" s="13" t="str">
        <f aca="false">IF(C14="","",IF(N(M14)+N(N14)&lt;Settings!$C$9,"untested",M14/(M14+N14)))</f>
        <v/>
      </c>
      <c r="P14" s="9"/>
      <c r="Q14" s="9"/>
      <c r="R14" s="9"/>
      <c r="S14" s="12"/>
      <c r="T14" s="9"/>
      <c r="U14" s="9"/>
      <c r="V14" s="9"/>
      <c r="W14" s="10" t="str">
        <f aca="false">IF(C14="","",IF(OR(G14="training",G14="full"),"Yes",IF(G14="none","No","?")))</f>
        <v/>
      </c>
      <c r="X14" s="10" t="str">
        <f aca="false">IF(C14="","",IF(OR(E14="",E14="unknown"),D14,E14))</f>
        <v/>
      </c>
      <c r="Y14" s="10" t="str">
        <f aca="false">IF(C14="","",IF(OR(T14="unsuitable",T14="retired",X14="no"),"—",IF(J14="","unrated",IF(AND(X14="full",J14&gt;=Settings!$C$5,OR(O14="untested",O14&gt;=Settings!$C$6)),"A",IF(AND(OR(X14="full",X14="reduced"),J14&gt;=Settings!$C$7,OR(O14="untested",O14&gt;=Settings!$C$8)),"B","C")))))</f>
        <v/>
      </c>
      <c r="Z14" s="11" t="str">
        <f aca="false">IF(C14="","",IF(P14&lt;&gt;"",P14,Y14))</f>
        <v/>
      </c>
    </row>
    <row r="15" customFormat="false" ht="15" hidden="false" customHeight="false" outlineLevel="0" collapsed="false">
      <c r="A15" s="9"/>
      <c r="B15" s="10" t="str">
        <f aca="false">IF(A15="","",IFERROR(INDEX(Parks!$A$2:$A$255,MATCH(A15,Parks!$B$2:$B$255,0)),"?"))</f>
        <v/>
      </c>
      <c r="C15" s="9"/>
      <c r="D15" s="10" t="str">
        <f aca="false">IF(C15="","",IF(SUMPRODUCT(--ISNUMBER(SEARCH({"Nets","Wicket","Diamond","Softball","T-ball","Baseball","Netball","Tennis","Bocce","Pentaque","Petanque","Skate","Car Park","Pond","Bridle","Amphitheatre","Perimeter","Passive"},C15)))&gt;0,"no",IF(SUMPRODUCT(--ISNUMBER(SEARCH({"Cricket","Junior","Mini","Summer Football","Small"},C15)))&gt;0,"reduced",IF(SUMPRODUCT(--ISNUMBER(SEARCH({"Rugby","Football","League","Touch","Gaelic","Australian","Lacrosse","General Sport","Training Area","Ultimate"},C15)))&gt;0,"full","unknown"))))</f>
        <v/>
      </c>
      <c r="E15" s="9"/>
      <c r="F15" s="9"/>
      <c r="G15" s="9"/>
      <c r="H15" s="9"/>
      <c r="I15" s="12"/>
      <c r="J15" s="9"/>
      <c r="K15" s="9"/>
      <c r="L15" s="9"/>
      <c r="M15" s="9"/>
      <c r="N15" s="9"/>
      <c r="O15" s="13" t="str">
        <f aca="false">IF(C15="","",IF(N(M15)+N(N15)&lt;Settings!$C$9,"untested",M15/(M15+N15)))</f>
        <v/>
      </c>
      <c r="P15" s="9"/>
      <c r="Q15" s="9"/>
      <c r="R15" s="9"/>
      <c r="S15" s="12"/>
      <c r="T15" s="9"/>
      <c r="U15" s="9"/>
      <c r="V15" s="9"/>
      <c r="W15" s="10" t="str">
        <f aca="false">IF(C15="","",IF(OR(G15="training",G15="full"),"Yes",IF(G15="none","No","?")))</f>
        <v/>
      </c>
      <c r="X15" s="10" t="str">
        <f aca="false">IF(C15="","",IF(OR(E15="",E15="unknown"),D15,E15))</f>
        <v/>
      </c>
      <c r="Y15" s="10" t="str">
        <f aca="false">IF(C15="","",IF(OR(T15="unsuitable",T15="retired",X15="no"),"—",IF(J15="","unrated",IF(AND(X15="full",J15&gt;=Settings!$C$5,OR(O15="untested",O15&gt;=Settings!$C$6)),"A",IF(AND(OR(X15="full",X15="reduced"),J15&gt;=Settings!$C$7,OR(O15="untested",O15&gt;=Settings!$C$8)),"B","C")))))</f>
        <v/>
      </c>
      <c r="Z15" s="11" t="str">
        <f aca="false">IF(C15="","",IF(P15&lt;&gt;"",P15,Y15))</f>
        <v/>
      </c>
    </row>
    <row r="16" customFormat="false" ht="15" hidden="false" customHeight="false" outlineLevel="0" collapsed="false">
      <c r="A16" s="9"/>
      <c r="B16" s="10" t="str">
        <f aca="false">IF(A16="","",IFERROR(INDEX(Parks!$A$2:$A$255,MATCH(A16,Parks!$B$2:$B$255,0)),"?"))</f>
        <v/>
      </c>
      <c r="C16" s="9"/>
      <c r="D16" s="10" t="str">
        <f aca="false">IF(C16="","",IF(SUMPRODUCT(--ISNUMBER(SEARCH({"Nets","Wicket","Diamond","Softball","T-ball","Baseball","Netball","Tennis","Bocce","Pentaque","Petanque","Skate","Car Park","Pond","Bridle","Amphitheatre","Perimeter","Passive"},C16)))&gt;0,"no",IF(SUMPRODUCT(--ISNUMBER(SEARCH({"Cricket","Junior","Mini","Summer Football","Small"},C16)))&gt;0,"reduced",IF(SUMPRODUCT(--ISNUMBER(SEARCH({"Rugby","Football","League","Touch","Gaelic","Australian","Lacrosse","General Sport","Training Area","Ultimate"},C16)))&gt;0,"full","unknown"))))</f>
        <v/>
      </c>
      <c r="E16" s="9"/>
      <c r="F16" s="9"/>
      <c r="G16" s="9"/>
      <c r="H16" s="9"/>
      <c r="I16" s="12"/>
      <c r="J16" s="9"/>
      <c r="K16" s="9"/>
      <c r="L16" s="9"/>
      <c r="M16" s="9"/>
      <c r="N16" s="9"/>
      <c r="O16" s="13" t="str">
        <f aca="false">IF(C16="","",IF(N(M16)+N(N16)&lt;Settings!$C$9,"untested",M16/(M16+N16)))</f>
        <v/>
      </c>
      <c r="P16" s="9"/>
      <c r="Q16" s="9"/>
      <c r="R16" s="9"/>
      <c r="S16" s="12"/>
      <c r="T16" s="9"/>
      <c r="U16" s="9"/>
      <c r="V16" s="9"/>
      <c r="W16" s="10" t="str">
        <f aca="false">IF(C16="","",IF(OR(G16="training",G16="full"),"Yes",IF(G16="none","No","?")))</f>
        <v/>
      </c>
      <c r="X16" s="10" t="str">
        <f aca="false">IF(C16="","",IF(OR(E16="",E16="unknown"),D16,E16))</f>
        <v/>
      </c>
      <c r="Y16" s="10" t="str">
        <f aca="false">IF(C16="","",IF(OR(T16="unsuitable",T16="retired",X16="no"),"—",IF(J16="","unrated",IF(AND(X16="full",J16&gt;=Settings!$C$5,OR(O16="untested",O16&gt;=Settings!$C$6)),"A",IF(AND(OR(X16="full",X16="reduced"),J16&gt;=Settings!$C$7,OR(O16="untested",O16&gt;=Settings!$C$8)),"B","C")))))</f>
        <v/>
      </c>
      <c r="Z16" s="11" t="str">
        <f aca="false">IF(C16="","",IF(P16&lt;&gt;"",P16,Y16))</f>
        <v/>
      </c>
    </row>
    <row r="17" customFormat="false" ht="15" hidden="false" customHeight="false" outlineLevel="0" collapsed="false">
      <c r="A17" s="9"/>
      <c r="B17" s="10" t="str">
        <f aca="false">IF(A17="","",IFERROR(INDEX(Parks!$A$2:$A$255,MATCH(A17,Parks!$B$2:$B$255,0)),"?"))</f>
        <v/>
      </c>
      <c r="C17" s="9"/>
      <c r="D17" s="10" t="str">
        <f aca="false">IF(C17="","",IF(SUMPRODUCT(--ISNUMBER(SEARCH({"Nets","Wicket","Diamond","Softball","T-ball","Baseball","Netball","Tennis","Bocce","Pentaque","Petanque","Skate","Car Park","Pond","Bridle","Amphitheatre","Perimeter","Passive"},C17)))&gt;0,"no",IF(SUMPRODUCT(--ISNUMBER(SEARCH({"Cricket","Junior","Mini","Summer Football","Small"},C17)))&gt;0,"reduced",IF(SUMPRODUCT(--ISNUMBER(SEARCH({"Rugby","Football","League","Touch","Gaelic","Australian","Lacrosse","General Sport","Training Area","Ultimate"},C17)))&gt;0,"full","unknown"))))</f>
        <v/>
      </c>
      <c r="E17" s="9"/>
      <c r="F17" s="9"/>
      <c r="G17" s="9"/>
      <c r="H17" s="9"/>
      <c r="I17" s="12"/>
      <c r="J17" s="9"/>
      <c r="K17" s="9"/>
      <c r="L17" s="9"/>
      <c r="M17" s="9"/>
      <c r="N17" s="9"/>
      <c r="O17" s="13" t="str">
        <f aca="false">IF(C17="","",IF(N(M17)+N(N17)&lt;Settings!$C$9,"untested",M17/(M17+N17)))</f>
        <v/>
      </c>
      <c r="P17" s="9"/>
      <c r="Q17" s="9"/>
      <c r="R17" s="9"/>
      <c r="S17" s="12"/>
      <c r="T17" s="9"/>
      <c r="U17" s="9"/>
      <c r="V17" s="9"/>
      <c r="W17" s="10" t="str">
        <f aca="false">IF(C17="","",IF(OR(G17="training",G17="full"),"Yes",IF(G17="none","No","?")))</f>
        <v/>
      </c>
      <c r="X17" s="10" t="str">
        <f aca="false">IF(C17="","",IF(OR(E17="",E17="unknown"),D17,E17))</f>
        <v/>
      </c>
      <c r="Y17" s="10" t="str">
        <f aca="false">IF(C17="","",IF(OR(T17="unsuitable",T17="retired",X17="no"),"—",IF(J17="","unrated",IF(AND(X17="full",J17&gt;=Settings!$C$5,OR(O17="untested",O17&gt;=Settings!$C$6)),"A",IF(AND(OR(X17="full",X17="reduced"),J17&gt;=Settings!$C$7,OR(O17="untested",O17&gt;=Settings!$C$8)),"B","C")))))</f>
        <v/>
      </c>
      <c r="Z17" s="11" t="str">
        <f aca="false">IF(C17="","",IF(P17&lt;&gt;"",P17,Y17))</f>
        <v/>
      </c>
    </row>
    <row r="18" customFormat="false" ht="15" hidden="false" customHeight="false" outlineLevel="0" collapsed="false">
      <c r="A18" s="9"/>
      <c r="B18" s="10" t="str">
        <f aca="false">IF(A18="","",IFERROR(INDEX(Parks!$A$2:$A$255,MATCH(A18,Parks!$B$2:$B$255,0)),"?"))</f>
        <v/>
      </c>
      <c r="C18" s="9"/>
      <c r="D18" s="10" t="str">
        <f aca="false">IF(C18="","",IF(SUMPRODUCT(--ISNUMBER(SEARCH({"Nets","Wicket","Diamond","Softball","T-ball","Baseball","Netball","Tennis","Bocce","Pentaque","Petanque","Skate","Car Park","Pond","Bridle","Amphitheatre","Perimeter","Passive"},C18)))&gt;0,"no",IF(SUMPRODUCT(--ISNUMBER(SEARCH({"Cricket","Junior","Mini","Summer Football","Small"},C18)))&gt;0,"reduced",IF(SUMPRODUCT(--ISNUMBER(SEARCH({"Rugby","Football","League","Touch","Gaelic","Australian","Lacrosse","General Sport","Training Area","Ultimate"},C18)))&gt;0,"full","unknown"))))</f>
        <v/>
      </c>
      <c r="E18" s="9"/>
      <c r="F18" s="9"/>
      <c r="G18" s="9"/>
      <c r="H18" s="9"/>
      <c r="I18" s="12"/>
      <c r="J18" s="9"/>
      <c r="K18" s="9"/>
      <c r="L18" s="9"/>
      <c r="M18" s="9"/>
      <c r="N18" s="9"/>
      <c r="O18" s="13" t="str">
        <f aca="false">IF(C18="","",IF(N(M18)+N(N18)&lt;Settings!$C$9,"untested",M18/(M18+N18)))</f>
        <v/>
      </c>
      <c r="P18" s="9"/>
      <c r="Q18" s="9"/>
      <c r="R18" s="9"/>
      <c r="S18" s="12"/>
      <c r="T18" s="9"/>
      <c r="U18" s="9"/>
      <c r="V18" s="9"/>
      <c r="W18" s="10" t="str">
        <f aca="false">IF(C18="","",IF(OR(G18="training",G18="full"),"Yes",IF(G18="none","No","?")))</f>
        <v/>
      </c>
      <c r="X18" s="10" t="str">
        <f aca="false">IF(C18="","",IF(OR(E18="",E18="unknown"),D18,E18))</f>
        <v/>
      </c>
      <c r="Y18" s="10" t="str">
        <f aca="false">IF(C18="","",IF(OR(T18="unsuitable",T18="retired",X18="no"),"—",IF(J18="","unrated",IF(AND(X18="full",J18&gt;=Settings!$C$5,OR(O18="untested",O18&gt;=Settings!$C$6)),"A",IF(AND(OR(X18="full",X18="reduced"),J18&gt;=Settings!$C$7,OR(O18="untested",O18&gt;=Settings!$C$8)),"B","C")))))</f>
        <v/>
      </c>
      <c r="Z18" s="11" t="str">
        <f aca="false">IF(C18="","",IF(P18&lt;&gt;"",P18,Y18))</f>
        <v/>
      </c>
    </row>
    <row r="19" customFormat="false" ht="15" hidden="false" customHeight="false" outlineLevel="0" collapsed="false">
      <c r="A19" s="9"/>
      <c r="B19" s="10" t="str">
        <f aca="false">IF(A19="","",IFERROR(INDEX(Parks!$A$2:$A$255,MATCH(A19,Parks!$B$2:$B$255,0)),"?"))</f>
        <v/>
      </c>
      <c r="C19" s="9"/>
      <c r="D19" s="10" t="str">
        <f aca="false">IF(C19="","",IF(SUMPRODUCT(--ISNUMBER(SEARCH({"Nets","Wicket","Diamond","Softball","T-ball","Baseball","Netball","Tennis","Bocce","Pentaque","Petanque","Skate","Car Park","Pond","Bridle","Amphitheatre","Perimeter","Passive"},C19)))&gt;0,"no",IF(SUMPRODUCT(--ISNUMBER(SEARCH({"Cricket","Junior","Mini","Summer Football","Small"},C19)))&gt;0,"reduced",IF(SUMPRODUCT(--ISNUMBER(SEARCH({"Rugby","Football","League","Touch","Gaelic","Australian","Lacrosse","General Sport","Training Area","Ultimate"},C19)))&gt;0,"full","unknown"))))</f>
        <v/>
      </c>
      <c r="E19" s="9"/>
      <c r="F19" s="9"/>
      <c r="G19" s="9"/>
      <c r="H19" s="9"/>
      <c r="I19" s="12"/>
      <c r="J19" s="9"/>
      <c r="K19" s="9"/>
      <c r="L19" s="9"/>
      <c r="M19" s="9"/>
      <c r="N19" s="9"/>
      <c r="O19" s="13" t="str">
        <f aca="false">IF(C19="","",IF(N(M19)+N(N19)&lt;Settings!$C$9,"untested",M19/(M19+N19)))</f>
        <v/>
      </c>
      <c r="P19" s="9"/>
      <c r="Q19" s="9"/>
      <c r="R19" s="9"/>
      <c r="S19" s="12"/>
      <c r="T19" s="9"/>
      <c r="U19" s="9"/>
      <c r="V19" s="9"/>
      <c r="W19" s="10" t="str">
        <f aca="false">IF(C19="","",IF(OR(G19="training",G19="full"),"Yes",IF(G19="none","No","?")))</f>
        <v/>
      </c>
      <c r="X19" s="10" t="str">
        <f aca="false">IF(C19="","",IF(OR(E19="",E19="unknown"),D19,E19))</f>
        <v/>
      </c>
      <c r="Y19" s="10" t="str">
        <f aca="false">IF(C19="","",IF(OR(T19="unsuitable",T19="retired",X19="no"),"—",IF(J19="","unrated",IF(AND(X19="full",J19&gt;=Settings!$C$5,OR(O19="untested",O19&gt;=Settings!$C$6)),"A",IF(AND(OR(X19="full",X19="reduced"),J19&gt;=Settings!$C$7,OR(O19="untested",O19&gt;=Settings!$C$8)),"B","C")))))</f>
        <v/>
      </c>
      <c r="Z19" s="11" t="str">
        <f aca="false">IF(C19="","",IF(P19&lt;&gt;"",P19,Y19))</f>
        <v/>
      </c>
    </row>
    <row r="20" customFormat="false" ht="15" hidden="false" customHeight="false" outlineLevel="0" collapsed="false">
      <c r="A20" s="9"/>
      <c r="B20" s="10" t="str">
        <f aca="false">IF(A20="","",IFERROR(INDEX(Parks!$A$2:$A$255,MATCH(A20,Parks!$B$2:$B$255,0)),"?"))</f>
        <v/>
      </c>
      <c r="C20" s="9"/>
      <c r="D20" s="10" t="str">
        <f aca="false">IF(C20="","",IF(SUMPRODUCT(--ISNUMBER(SEARCH({"Nets","Wicket","Diamond","Softball","T-ball","Baseball","Netball","Tennis","Bocce","Pentaque","Petanque","Skate","Car Park","Pond","Bridle","Amphitheatre","Perimeter","Passive"},C20)))&gt;0,"no",IF(SUMPRODUCT(--ISNUMBER(SEARCH({"Cricket","Junior","Mini","Summer Football","Small"},C20)))&gt;0,"reduced",IF(SUMPRODUCT(--ISNUMBER(SEARCH({"Rugby","Football","League","Touch","Gaelic","Australian","Lacrosse","General Sport","Training Area","Ultimate"},C20)))&gt;0,"full","unknown"))))</f>
        <v/>
      </c>
      <c r="E20" s="9"/>
      <c r="F20" s="9"/>
      <c r="G20" s="9"/>
      <c r="H20" s="9"/>
      <c r="I20" s="12"/>
      <c r="J20" s="9"/>
      <c r="K20" s="9"/>
      <c r="L20" s="9"/>
      <c r="M20" s="9"/>
      <c r="N20" s="9"/>
      <c r="O20" s="13" t="str">
        <f aca="false">IF(C20="","",IF(N(M20)+N(N20)&lt;Settings!$C$9,"untested",M20/(M20+N20)))</f>
        <v/>
      </c>
      <c r="P20" s="9"/>
      <c r="Q20" s="9"/>
      <c r="R20" s="9"/>
      <c r="S20" s="12"/>
      <c r="T20" s="9"/>
      <c r="U20" s="9"/>
      <c r="V20" s="9"/>
      <c r="W20" s="10" t="str">
        <f aca="false">IF(C20="","",IF(OR(G20="training",G20="full"),"Yes",IF(G20="none","No","?")))</f>
        <v/>
      </c>
      <c r="X20" s="10" t="str">
        <f aca="false">IF(C20="","",IF(OR(E20="",E20="unknown"),D20,E20))</f>
        <v/>
      </c>
      <c r="Y20" s="10" t="str">
        <f aca="false">IF(C20="","",IF(OR(T20="unsuitable",T20="retired",X20="no"),"—",IF(J20="","unrated",IF(AND(X20="full",J20&gt;=Settings!$C$5,OR(O20="untested",O20&gt;=Settings!$C$6)),"A",IF(AND(OR(X20="full",X20="reduced"),J20&gt;=Settings!$C$7,OR(O20="untested",O20&gt;=Settings!$C$8)),"B","C")))))</f>
        <v/>
      </c>
      <c r="Z20" s="11" t="str">
        <f aca="false">IF(C20="","",IF(P20&lt;&gt;"",P20,Y20))</f>
        <v/>
      </c>
    </row>
    <row r="21" customFormat="false" ht="15" hidden="false" customHeight="false" outlineLevel="0" collapsed="false">
      <c r="A21" s="9"/>
      <c r="B21" s="10" t="str">
        <f aca="false">IF(A21="","",IFERROR(INDEX(Parks!$A$2:$A$255,MATCH(A21,Parks!$B$2:$B$255,0)),"?"))</f>
        <v/>
      </c>
      <c r="C21" s="9"/>
      <c r="D21" s="10" t="str">
        <f aca="false">IF(C21="","",IF(SUMPRODUCT(--ISNUMBER(SEARCH({"Nets","Wicket","Diamond","Softball","T-ball","Baseball","Netball","Tennis","Bocce","Pentaque","Petanque","Skate","Car Park","Pond","Bridle","Amphitheatre","Perimeter","Passive"},C21)))&gt;0,"no",IF(SUMPRODUCT(--ISNUMBER(SEARCH({"Cricket","Junior","Mini","Summer Football","Small"},C21)))&gt;0,"reduced",IF(SUMPRODUCT(--ISNUMBER(SEARCH({"Rugby","Football","League","Touch","Gaelic","Australian","Lacrosse","General Sport","Training Area","Ultimate"},C21)))&gt;0,"full","unknown"))))</f>
        <v/>
      </c>
      <c r="E21" s="9"/>
      <c r="F21" s="9"/>
      <c r="G21" s="9"/>
      <c r="H21" s="9"/>
      <c r="I21" s="12"/>
      <c r="J21" s="9"/>
      <c r="K21" s="9"/>
      <c r="L21" s="9"/>
      <c r="M21" s="9"/>
      <c r="N21" s="9"/>
      <c r="O21" s="13" t="str">
        <f aca="false">IF(C21="","",IF(N(M21)+N(N21)&lt;Settings!$C$9,"untested",M21/(M21+N21)))</f>
        <v/>
      </c>
      <c r="P21" s="9"/>
      <c r="Q21" s="9"/>
      <c r="R21" s="9"/>
      <c r="S21" s="12"/>
      <c r="T21" s="9"/>
      <c r="U21" s="9"/>
      <c r="V21" s="9"/>
      <c r="W21" s="10" t="str">
        <f aca="false">IF(C21="","",IF(OR(G21="training",G21="full"),"Yes",IF(G21="none","No","?")))</f>
        <v/>
      </c>
      <c r="X21" s="10" t="str">
        <f aca="false">IF(C21="","",IF(OR(E21="",E21="unknown"),D21,E21))</f>
        <v/>
      </c>
      <c r="Y21" s="10" t="str">
        <f aca="false">IF(C21="","",IF(OR(T21="unsuitable",T21="retired",X21="no"),"—",IF(J21="","unrated",IF(AND(X21="full",J21&gt;=Settings!$C$5,OR(O21="untested",O21&gt;=Settings!$C$6)),"A",IF(AND(OR(X21="full",X21="reduced"),J21&gt;=Settings!$C$7,OR(O21="untested",O21&gt;=Settings!$C$8)),"B","C")))))</f>
        <v/>
      </c>
      <c r="Z21" s="11" t="str">
        <f aca="false">IF(C21="","",IF(P21&lt;&gt;"",P21,Y21))</f>
        <v/>
      </c>
    </row>
    <row r="22" customFormat="false" ht="15" hidden="false" customHeight="false" outlineLevel="0" collapsed="false">
      <c r="A22" s="9"/>
      <c r="B22" s="10" t="str">
        <f aca="false">IF(A22="","",IFERROR(INDEX(Parks!$A$2:$A$255,MATCH(A22,Parks!$B$2:$B$255,0)),"?"))</f>
        <v/>
      </c>
      <c r="C22" s="9"/>
      <c r="D22" s="10" t="str">
        <f aca="false">IF(C22="","",IF(SUMPRODUCT(--ISNUMBER(SEARCH({"Nets","Wicket","Diamond","Softball","T-ball","Baseball","Netball","Tennis","Bocce","Pentaque","Petanque","Skate","Car Park","Pond","Bridle","Amphitheatre","Perimeter","Passive"},C22)))&gt;0,"no",IF(SUMPRODUCT(--ISNUMBER(SEARCH({"Cricket","Junior","Mini","Summer Football","Small"},C22)))&gt;0,"reduced",IF(SUMPRODUCT(--ISNUMBER(SEARCH({"Rugby","Football","League","Touch","Gaelic","Australian","Lacrosse","General Sport","Training Area","Ultimate"},C22)))&gt;0,"full","unknown"))))</f>
        <v/>
      </c>
      <c r="E22" s="9"/>
      <c r="F22" s="9"/>
      <c r="G22" s="9"/>
      <c r="H22" s="9"/>
      <c r="I22" s="12"/>
      <c r="J22" s="9"/>
      <c r="K22" s="9"/>
      <c r="L22" s="9"/>
      <c r="M22" s="9"/>
      <c r="N22" s="9"/>
      <c r="O22" s="13" t="str">
        <f aca="false">IF(C22="","",IF(N(M22)+N(N22)&lt;Settings!$C$9,"untested",M22/(M22+N22)))</f>
        <v/>
      </c>
      <c r="P22" s="9"/>
      <c r="Q22" s="9"/>
      <c r="R22" s="9"/>
      <c r="S22" s="12"/>
      <c r="T22" s="9"/>
      <c r="U22" s="9"/>
      <c r="V22" s="9"/>
      <c r="W22" s="10" t="str">
        <f aca="false">IF(C22="","",IF(OR(G22="training",G22="full"),"Yes",IF(G22="none","No","?")))</f>
        <v/>
      </c>
      <c r="X22" s="10" t="str">
        <f aca="false">IF(C22="","",IF(OR(E22="",E22="unknown"),D22,E22))</f>
        <v/>
      </c>
      <c r="Y22" s="10" t="str">
        <f aca="false">IF(C22="","",IF(OR(T22="unsuitable",T22="retired",X22="no"),"—",IF(J22="","unrated",IF(AND(X22="full",J22&gt;=Settings!$C$5,OR(O22="untested",O22&gt;=Settings!$C$6)),"A",IF(AND(OR(X22="full",X22="reduced"),J22&gt;=Settings!$C$7,OR(O22="untested",O22&gt;=Settings!$C$8)),"B","C")))))</f>
        <v/>
      </c>
      <c r="Z22" s="11" t="str">
        <f aca="false">IF(C22="","",IF(P22&lt;&gt;"",P22,Y22))</f>
        <v/>
      </c>
    </row>
    <row r="23" customFormat="false" ht="15" hidden="false" customHeight="false" outlineLevel="0" collapsed="false">
      <c r="A23" s="9"/>
      <c r="B23" s="10" t="str">
        <f aca="false">IF(A23="","",IFERROR(INDEX(Parks!$A$2:$A$255,MATCH(A23,Parks!$B$2:$B$255,0)),"?"))</f>
        <v/>
      </c>
      <c r="C23" s="9"/>
      <c r="D23" s="10" t="str">
        <f aca="false">IF(C23="","",IF(SUMPRODUCT(--ISNUMBER(SEARCH({"Nets","Wicket","Diamond","Softball","T-ball","Baseball","Netball","Tennis","Bocce","Pentaque","Petanque","Skate","Car Park","Pond","Bridle","Amphitheatre","Perimeter","Passive"},C23)))&gt;0,"no",IF(SUMPRODUCT(--ISNUMBER(SEARCH({"Cricket","Junior","Mini","Summer Football","Small"},C23)))&gt;0,"reduced",IF(SUMPRODUCT(--ISNUMBER(SEARCH({"Rugby","Football","League","Touch","Gaelic","Australian","Lacrosse","General Sport","Training Area","Ultimate"},C23)))&gt;0,"full","unknown"))))</f>
        <v/>
      </c>
      <c r="E23" s="9"/>
      <c r="F23" s="9"/>
      <c r="G23" s="9"/>
      <c r="H23" s="9"/>
      <c r="I23" s="12"/>
      <c r="J23" s="9"/>
      <c r="K23" s="9"/>
      <c r="L23" s="9"/>
      <c r="M23" s="9"/>
      <c r="N23" s="9"/>
      <c r="O23" s="13" t="str">
        <f aca="false">IF(C23="","",IF(N(M23)+N(N23)&lt;Settings!$C$9,"untested",M23/(M23+N23)))</f>
        <v/>
      </c>
      <c r="P23" s="9"/>
      <c r="Q23" s="9"/>
      <c r="R23" s="9"/>
      <c r="S23" s="12"/>
      <c r="T23" s="9"/>
      <c r="U23" s="9"/>
      <c r="V23" s="9"/>
      <c r="W23" s="10" t="str">
        <f aca="false">IF(C23="","",IF(OR(G23="training",G23="full"),"Yes",IF(G23="none","No","?")))</f>
        <v/>
      </c>
      <c r="X23" s="10" t="str">
        <f aca="false">IF(C23="","",IF(OR(E23="",E23="unknown"),D23,E23))</f>
        <v/>
      </c>
      <c r="Y23" s="10" t="str">
        <f aca="false">IF(C23="","",IF(OR(T23="unsuitable",T23="retired",X23="no"),"—",IF(J23="","unrated",IF(AND(X23="full",J23&gt;=Settings!$C$5,OR(O23="untested",O23&gt;=Settings!$C$6)),"A",IF(AND(OR(X23="full",X23="reduced"),J23&gt;=Settings!$C$7,OR(O23="untested",O23&gt;=Settings!$C$8)),"B","C")))))</f>
        <v/>
      </c>
      <c r="Z23" s="11" t="str">
        <f aca="false">IF(C23="","",IF(P23&lt;&gt;"",P23,Y23))</f>
        <v/>
      </c>
    </row>
    <row r="24" customFormat="false" ht="15" hidden="false" customHeight="false" outlineLevel="0" collapsed="false">
      <c r="A24" s="9"/>
      <c r="B24" s="10" t="str">
        <f aca="false">IF(A24="","",IFERROR(INDEX(Parks!$A$2:$A$255,MATCH(A24,Parks!$B$2:$B$255,0)),"?"))</f>
        <v/>
      </c>
      <c r="C24" s="9"/>
      <c r="D24" s="10" t="str">
        <f aca="false">IF(C24="","",IF(SUMPRODUCT(--ISNUMBER(SEARCH({"Nets","Wicket","Diamond","Softball","T-ball","Baseball","Netball","Tennis","Bocce","Pentaque","Petanque","Skate","Car Park","Pond","Bridle","Amphitheatre","Perimeter","Passive"},C24)))&gt;0,"no",IF(SUMPRODUCT(--ISNUMBER(SEARCH({"Cricket","Junior","Mini","Summer Football","Small"},C24)))&gt;0,"reduced",IF(SUMPRODUCT(--ISNUMBER(SEARCH({"Rugby","Football","League","Touch","Gaelic","Australian","Lacrosse","General Sport","Training Area","Ultimate"},C24)))&gt;0,"full","unknown"))))</f>
        <v/>
      </c>
      <c r="E24" s="9"/>
      <c r="F24" s="9"/>
      <c r="G24" s="9"/>
      <c r="H24" s="9"/>
      <c r="I24" s="12"/>
      <c r="J24" s="9"/>
      <c r="K24" s="9"/>
      <c r="L24" s="9"/>
      <c r="M24" s="9"/>
      <c r="N24" s="9"/>
      <c r="O24" s="13" t="str">
        <f aca="false">IF(C24="","",IF(N(M24)+N(N24)&lt;Settings!$C$9,"untested",M24/(M24+N24)))</f>
        <v/>
      </c>
      <c r="P24" s="9"/>
      <c r="Q24" s="9"/>
      <c r="R24" s="9"/>
      <c r="S24" s="12"/>
      <c r="T24" s="9"/>
      <c r="U24" s="9"/>
      <c r="V24" s="9"/>
      <c r="W24" s="10" t="str">
        <f aca="false">IF(C24="","",IF(OR(G24="training",G24="full"),"Yes",IF(G24="none","No","?")))</f>
        <v/>
      </c>
      <c r="X24" s="10" t="str">
        <f aca="false">IF(C24="","",IF(OR(E24="",E24="unknown"),D24,E24))</f>
        <v/>
      </c>
      <c r="Y24" s="10" t="str">
        <f aca="false">IF(C24="","",IF(OR(T24="unsuitable",T24="retired",X24="no"),"—",IF(J24="","unrated",IF(AND(X24="full",J24&gt;=Settings!$C$5,OR(O24="untested",O24&gt;=Settings!$C$6)),"A",IF(AND(OR(X24="full",X24="reduced"),J24&gt;=Settings!$C$7,OR(O24="untested",O24&gt;=Settings!$C$8)),"B","C")))))</f>
        <v/>
      </c>
      <c r="Z24" s="11" t="str">
        <f aca="false">IF(C24="","",IF(P24&lt;&gt;"",P24,Y24))</f>
        <v/>
      </c>
    </row>
    <row r="25" customFormat="false" ht="15" hidden="false" customHeight="false" outlineLevel="0" collapsed="false">
      <c r="A25" s="9"/>
      <c r="B25" s="10" t="str">
        <f aca="false">IF(A25="","",IFERROR(INDEX(Parks!$A$2:$A$255,MATCH(A25,Parks!$B$2:$B$255,0)),"?"))</f>
        <v/>
      </c>
      <c r="C25" s="9"/>
      <c r="D25" s="10" t="str">
        <f aca="false">IF(C25="","",IF(SUMPRODUCT(--ISNUMBER(SEARCH({"Nets","Wicket","Diamond","Softball","T-ball","Baseball","Netball","Tennis","Bocce","Pentaque","Petanque","Skate","Car Park","Pond","Bridle","Amphitheatre","Perimeter","Passive"},C25)))&gt;0,"no",IF(SUMPRODUCT(--ISNUMBER(SEARCH({"Cricket","Junior","Mini","Summer Football","Small"},C25)))&gt;0,"reduced",IF(SUMPRODUCT(--ISNUMBER(SEARCH({"Rugby","Football","League","Touch","Gaelic","Australian","Lacrosse","General Sport","Training Area","Ultimate"},C25)))&gt;0,"full","unknown"))))</f>
        <v/>
      </c>
      <c r="E25" s="9"/>
      <c r="F25" s="9"/>
      <c r="G25" s="9"/>
      <c r="H25" s="9"/>
      <c r="I25" s="12"/>
      <c r="J25" s="9"/>
      <c r="K25" s="9"/>
      <c r="L25" s="9"/>
      <c r="M25" s="9"/>
      <c r="N25" s="9"/>
      <c r="O25" s="13" t="str">
        <f aca="false">IF(C25="","",IF(N(M25)+N(N25)&lt;Settings!$C$9,"untested",M25/(M25+N25)))</f>
        <v/>
      </c>
      <c r="P25" s="9"/>
      <c r="Q25" s="9"/>
      <c r="R25" s="9"/>
      <c r="S25" s="12"/>
      <c r="T25" s="9"/>
      <c r="U25" s="9"/>
      <c r="V25" s="9"/>
      <c r="W25" s="10" t="str">
        <f aca="false">IF(C25="","",IF(OR(G25="training",G25="full"),"Yes",IF(G25="none","No","?")))</f>
        <v/>
      </c>
      <c r="X25" s="10" t="str">
        <f aca="false">IF(C25="","",IF(OR(E25="",E25="unknown"),D25,E25))</f>
        <v/>
      </c>
      <c r="Y25" s="10" t="str">
        <f aca="false">IF(C25="","",IF(OR(T25="unsuitable",T25="retired",X25="no"),"—",IF(J25="","unrated",IF(AND(X25="full",J25&gt;=Settings!$C$5,OR(O25="untested",O25&gt;=Settings!$C$6)),"A",IF(AND(OR(X25="full",X25="reduced"),J25&gt;=Settings!$C$7,OR(O25="untested",O25&gt;=Settings!$C$8)),"B","C")))))</f>
        <v/>
      </c>
      <c r="Z25" s="11" t="str">
        <f aca="false">IF(C25="","",IF(P25&lt;&gt;"",P25,Y25))</f>
        <v/>
      </c>
    </row>
    <row r="26" customFormat="false" ht="15" hidden="false" customHeight="false" outlineLevel="0" collapsed="false">
      <c r="A26" s="9"/>
      <c r="B26" s="10" t="str">
        <f aca="false">IF(A26="","",IFERROR(INDEX(Parks!$A$2:$A$255,MATCH(A26,Parks!$B$2:$B$255,0)),"?"))</f>
        <v/>
      </c>
      <c r="C26" s="9"/>
      <c r="D26" s="10" t="str">
        <f aca="false">IF(C26="","",IF(SUMPRODUCT(--ISNUMBER(SEARCH({"Nets","Wicket","Diamond","Softball","T-ball","Baseball","Netball","Tennis","Bocce","Pentaque","Petanque","Skate","Car Park","Pond","Bridle","Amphitheatre","Perimeter","Passive"},C26)))&gt;0,"no",IF(SUMPRODUCT(--ISNUMBER(SEARCH({"Cricket","Junior","Mini","Summer Football","Small"},C26)))&gt;0,"reduced",IF(SUMPRODUCT(--ISNUMBER(SEARCH({"Rugby","Football","League","Touch","Gaelic","Australian","Lacrosse","General Sport","Training Area","Ultimate"},C26)))&gt;0,"full","unknown"))))</f>
        <v/>
      </c>
      <c r="E26" s="9"/>
      <c r="F26" s="9"/>
      <c r="G26" s="9"/>
      <c r="H26" s="9"/>
      <c r="I26" s="12"/>
      <c r="J26" s="9"/>
      <c r="K26" s="9"/>
      <c r="L26" s="9"/>
      <c r="M26" s="9"/>
      <c r="N26" s="9"/>
      <c r="O26" s="13" t="str">
        <f aca="false">IF(C26="","",IF(N(M26)+N(N26)&lt;Settings!$C$9,"untested",M26/(M26+N26)))</f>
        <v/>
      </c>
      <c r="P26" s="9"/>
      <c r="Q26" s="9"/>
      <c r="R26" s="9"/>
      <c r="S26" s="12"/>
      <c r="T26" s="9"/>
      <c r="U26" s="9"/>
      <c r="V26" s="9"/>
      <c r="W26" s="10" t="str">
        <f aca="false">IF(C26="","",IF(OR(G26="training",G26="full"),"Yes",IF(G26="none","No","?")))</f>
        <v/>
      </c>
      <c r="X26" s="10" t="str">
        <f aca="false">IF(C26="","",IF(OR(E26="",E26="unknown"),D26,E26))</f>
        <v/>
      </c>
      <c r="Y26" s="10" t="str">
        <f aca="false">IF(C26="","",IF(OR(T26="unsuitable",T26="retired",X26="no"),"—",IF(J26="","unrated",IF(AND(X26="full",J26&gt;=Settings!$C$5,OR(O26="untested",O26&gt;=Settings!$C$6)),"A",IF(AND(OR(X26="full",X26="reduced"),J26&gt;=Settings!$C$7,OR(O26="untested",O26&gt;=Settings!$C$8)),"B","C")))))</f>
        <v/>
      </c>
      <c r="Z26" s="11" t="str">
        <f aca="false">IF(C26="","",IF(P26&lt;&gt;"",P26,Y26))</f>
        <v/>
      </c>
    </row>
    <row r="27" customFormat="false" ht="15" hidden="false" customHeight="false" outlineLevel="0" collapsed="false">
      <c r="A27" s="9"/>
      <c r="B27" s="10" t="str">
        <f aca="false">IF(A27="","",IFERROR(INDEX(Parks!$A$2:$A$255,MATCH(A27,Parks!$B$2:$B$255,0)),"?"))</f>
        <v/>
      </c>
      <c r="C27" s="9"/>
      <c r="D27" s="10" t="str">
        <f aca="false">IF(C27="","",IF(SUMPRODUCT(--ISNUMBER(SEARCH({"Nets","Wicket","Diamond","Softball","T-ball","Baseball","Netball","Tennis","Bocce","Pentaque","Petanque","Skate","Car Park","Pond","Bridle","Amphitheatre","Perimeter","Passive"},C27)))&gt;0,"no",IF(SUMPRODUCT(--ISNUMBER(SEARCH({"Cricket","Junior","Mini","Summer Football","Small"},C27)))&gt;0,"reduced",IF(SUMPRODUCT(--ISNUMBER(SEARCH({"Rugby","Football","League","Touch","Gaelic","Australian","Lacrosse","General Sport","Training Area","Ultimate"},C27)))&gt;0,"full","unknown"))))</f>
        <v/>
      </c>
      <c r="E27" s="9"/>
      <c r="F27" s="9"/>
      <c r="G27" s="9"/>
      <c r="H27" s="9"/>
      <c r="I27" s="12"/>
      <c r="J27" s="9"/>
      <c r="K27" s="9"/>
      <c r="L27" s="9"/>
      <c r="M27" s="9"/>
      <c r="N27" s="9"/>
      <c r="O27" s="13" t="str">
        <f aca="false">IF(C27="","",IF(N(M27)+N(N27)&lt;Settings!$C$9,"untested",M27/(M27+N27)))</f>
        <v/>
      </c>
      <c r="P27" s="9"/>
      <c r="Q27" s="9"/>
      <c r="R27" s="9"/>
      <c r="S27" s="12"/>
      <c r="T27" s="9"/>
      <c r="U27" s="9"/>
      <c r="V27" s="9"/>
      <c r="W27" s="10" t="str">
        <f aca="false">IF(C27="","",IF(OR(G27="training",G27="full"),"Yes",IF(G27="none","No","?")))</f>
        <v/>
      </c>
      <c r="X27" s="10" t="str">
        <f aca="false">IF(C27="","",IF(OR(E27="",E27="unknown"),D27,E27))</f>
        <v/>
      </c>
      <c r="Y27" s="10" t="str">
        <f aca="false">IF(C27="","",IF(OR(T27="unsuitable",T27="retired",X27="no"),"—",IF(J27="","unrated",IF(AND(X27="full",J27&gt;=Settings!$C$5,OR(O27="untested",O27&gt;=Settings!$C$6)),"A",IF(AND(OR(X27="full",X27="reduced"),J27&gt;=Settings!$C$7,OR(O27="untested",O27&gt;=Settings!$C$8)),"B","C")))))</f>
        <v/>
      </c>
      <c r="Z27" s="11" t="str">
        <f aca="false">IF(C27="","",IF(P27&lt;&gt;"",P27,Y27))</f>
        <v/>
      </c>
    </row>
    <row r="28" customFormat="false" ht="15" hidden="false" customHeight="false" outlineLevel="0" collapsed="false">
      <c r="A28" s="9"/>
      <c r="B28" s="10" t="str">
        <f aca="false">IF(A28="","",IFERROR(INDEX(Parks!$A$2:$A$255,MATCH(A28,Parks!$B$2:$B$255,0)),"?"))</f>
        <v/>
      </c>
      <c r="C28" s="9"/>
      <c r="D28" s="10" t="str">
        <f aca="false">IF(C28="","",IF(SUMPRODUCT(--ISNUMBER(SEARCH({"Nets","Wicket","Diamond","Softball","T-ball","Baseball","Netball","Tennis","Bocce","Pentaque","Petanque","Skate","Car Park","Pond","Bridle","Amphitheatre","Perimeter","Passive"},C28)))&gt;0,"no",IF(SUMPRODUCT(--ISNUMBER(SEARCH({"Cricket","Junior","Mini","Summer Football","Small"},C28)))&gt;0,"reduced",IF(SUMPRODUCT(--ISNUMBER(SEARCH({"Rugby","Football","League","Touch","Gaelic","Australian","Lacrosse","General Sport","Training Area","Ultimate"},C28)))&gt;0,"full","unknown"))))</f>
        <v/>
      </c>
      <c r="E28" s="9"/>
      <c r="F28" s="9"/>
      <c r="G28" s="9"/>
      <c r="H28" s="9"/>
      <c r="I28" s="12"/>
      <c r="J28" s="9"/>
      <c r="K28" s="9"/>
      <c r="L28" s="9"/>
      <c r="M28" s="9"/>
      <c r="N28" s="9"/>
      <c r="O28" s="13" t="str">
        <f aca="false">IF(C28="","",IF(N(M28)+N(N28)&lt;Settings!$C$9,"untested",M28/(M28+N28)))</f>
        <v/>
      </c>
      <c r="P28" s="9"/>
      <c r="Q28" s="9"/>
      <c r="R28" s="9"/>
      <c r="S28" s="12"/>
      <c r="T28" s="9"/>
      <c r="U28" s="9"/>
      <c r="V28" s="9"/>
      <c r="W28" s="10" t="str">
        <f aca="false">IF(C28="","",IF(OR(G28="training",G28="full"),"Yes",IF(G28="none","No","?")))</f>
        <v/>
      </c>
      <c r="X28" s="10" t="str">
        <f aca="false">IF(C28="","",IF(OR(E28="",E28="unknown"),D28,E28))</f>
        <v/>
      </c>
      <c r="Y28" s="10" t="str">
        <f aca="false">IF(C28="","",IF(OR(T28="unsuitable",T28="retired",X28="no"),"—",IF(J28="","unrated",IF(AND(X28="full",J28&gt;=Settings!$C$5,OR(O28="untested",O28&gt;=Settings!$C$6)),"A",IF(AND(OR(X28="full",X28="reduced"),J28&gt;=Settings!$C$7,OR(O28="untested",O28&gt;=Settings!$C$8)),"B","C")))))</f>
        <v/>
      </c>
      <c r="Z28" s="11" t="str">
        <f aca="false">IF(C28="","",IF(P28&lt;&gt;"",P28,Y28))</f>
        <v/>
      </c>
    </row>
    <row r="29" customFormat="false" ht="15" hidden="false" customHeight="false" outlineLevel="0" collapsed="false">
      <c r="A29" s="9"/>
      <c r="B29" s="10" t="str">
        <f aca="false">IF(A29="","",IFERROR(INDEX(Parks!$A$2:$A$255,MATCH(A29,Parks!$B$2:$B$255,0)),"?"))</f>
        <v/>
      </c>
      <c r="C29" s="9"/>
      <c r="D29" s="10" t="str">
        <f aca="false">IF(C29="","",IF(SUMPRODUCT(--ISNUMBER(SEARCH({"Nets","Wicket","Diamond","Softball","T-ball","Baseball","Netball","Tennis","Bocce","Pentaque","Petanque","Skate","Car Park","Pond","Bridle","Amphitheatre","Perimeter","Passive"},C29)))&gt;0,"no",IF(SUMPRODUCT(--ISNUMBER(SEARCH({"Cricket","Junior","Mini","Summer Football","Small"},C29)))&gt;0,"reduced",IF(SUMPRODUCT(--ISNUMBER(SEARCH({"Rugby","Football","League","Touch","Gaelic","Australian","Lacrosse","General Sport","Training Area","Ultimate"},C29)))&gt;0,"full","unknown"))))</f>
        <v/>
      </c>
      <c r="E29" s="9"/>
      <c r="F29" s="9"/>
      <c r="G29" s="9"/>
      <c r="H29" s="9"/>
      <c r="I29" s="12"/>
      <c r="J29" s="9"/>
      <c r="K29" s="9"/>
      <c r="L29" s="9"/>
      <c r="M29" s="9"/>
      <c r="N29" s="9"/>
      <c r="O29" s="13" t="str">
        <f aca="false">IF(C29="","",IF(N(M29)+N(N29)&lt;Settings!$C$9,"untested",M29/(M29+N29)))</f>
        <v/>
      </c>
      <c r="P29" s="9"/>
      <c r="Q29" s="9"/>
      <c r="R29" s="9"/>
      <c r="S29" s="12"/>
      <c r="T29" s="9"/>
      <c r="U29" s="9"/>
      <c r="V29" s="9"/>
      <c r="W29" s="10" t="str">
        <f aca="false">IF(C29="","",IF(OR(G29="training",G29="full"),"Yes",IF(G29="none","No","?")))</f>
        <v/>
      </c>
      <c r="X29" s="10" t="str">
        <f aca="false">IF(C29="","",IF(OR(E29="",E29="unknown"),D29,E29))</f>
        <v/>
      </c>
      <c r="Y29" s="10" t="str">
        <f aca="false">IF(C29="","",IF(OR(T29="unsuitable",T29="retired",X29="no"),"—",IF(J29="","unrated",IF(AND(X29="full",J29&gt;=Settings!$C$5,OR(O29="untested",O29&gt;=Settings!$C$6)),"A",IF(AND(OR(X29="full",X29="reduced"),J29&gt;=Settings!$C$7,OR(O29="untested",O29&gt;=Settings!$C$8)),"B","C")))))</f>
        <v/>
      </c>
      <c r="Z29" s="11" t="str">
        <f aca="false">IF(C29="","",IF(P29&lt;&gt;"",P29,Y29))</f>
        <v/>
      </c>
    </row>
    <row r="30" customFormat="false" ht="15" hidden="false" customHeight="false" outlineLevel="0" collapsed="false">
      <c r="A30" s="9"/>
      <c r="B30" s="10" t="str">
        <f aca="false">IF(A30="","",IFERROR(INDEX(Parks!$A$2:$A$255,MATCH(A30,Parks!$B$2:$B$255,0)),"?"))</f>
        <v/>
      </c>
      <c r="C30" s="9"/>
      <c r="D30" s="10" t="str">
        <f aca="false">IF(C30="","",IF(SUMPRODUCT(--ISNUMBER(SEARCH({"Nets","Wicket","Diamond","Softball","T-ball","Baseball","Netball","Tennis","Bocce","Pentaque","Petanque","Skate","Car Park","Pond","Bridle","Amphitheatre","Perimeter","Passive"},C30)))&gt;0,"no",IF(SUMPRODUCT(--ISNUMBER(SEARCH({"Cricket","Junior","Mini","Summer Football","Small"},C30)))&gt;0,"reduced",IF(SUMPRODUCT(--ISNUMBER(SEARCH({"Rugby","Football","League","Touch","Gaelic","Australian","Lacrosse","General Sport","Training Area","Ultimate"},C30)))&gt;0,"full","unknown"))))</f>
        <v/>
      </c>
      <c r="E30" s="9"/>
      <c r="F30" s="9"/>
      <c r="G30" s="9"/>
      <c r="H30" s="9"/>
      <c r="I30" s="12"/>
      <c r="J30" s="9"/>
      <c r="K30" s="9"/>
      <c r="L30" s="9"/>
      <c r="M30" s="9"/>
      <c r="N30" s="9"/>
      <c r="O30" s="13" t="str">
        <f aca="false">IF(C30="","",IF(N(M30)+N(N30)&lt;Settings!$C$9,"untested",M30/(M30+N30)))</f>
        <v/>
      </c>
      <c r="P30" s="9"/>
      <c r="Q30" s="9"/>
      <c r="R30" s="9"/>
      <c r="S30" s="12"/>
      <c r="T30" s="9"/>
      <c r="U30" s="9"/>
      <c r="V30" s="9"/>
      <c r="W30" s="10" t="str">
        <f aca="false">IF(C30="","",IF(OR(G30="training",G30="full"),"Yes",IF(G30="none","No","?")))</f>
        <v/>
      </c>
      <c r="X30" s="10" t="str">
        <f aca="false">IF(C30="","",IF(OR(E30="",E30="unknown"),D30,E30))</f>
        <v/>
      </c>
      <c r="Y30" s="10" t="str">
        <f aca="false">IF(C30="","",IF(OR(T30="unsuitable",T30="retired",X30="no"),"—",IF(J30="","unrated",IF(AND(X30="full",J30&gt;=Settings!$C$5,OR(O30="untested",O30&gt;=Settings!$C$6)),"A",IF(AND(OR(X30="full",X30="reduced"),J30&gt;=Settings!$C$7,OR(O30="untested",O30&gt;=Settings!$C$8)),"B","C")))))</f>
        <v/>
      </c>
      <c r="Z30" s="11" t="str">
        <f aca="false">IF(C30="","",IF(P30&lt;&gt;"",P30,Y30))</f>
        <v/>
      </c>
    </row>
    <row r="31" customFormat="false" ht="15" hidden="false" customHeight="false" outlineLevel="0" collapsed="false">
      <c r="A31" s="9"/>
      <c r="B31" s="10" t="str">
        <f aca="false">IF(A31="","",IFERROR(INDEX(Parks!$A$2:$A$255,MATCH(A31,Parks!$B$2:$B$255,0)),"?"))</f>
        <v/>
      </c>
      <c r="C31" s="9"/>
      <c r="D31" s="10" t="str">
        <f aca="false">IF(C31="","",IF(SUMPRODUCT(--ISNUMBER(SEARCH({"Nets","Wicket","Diamond","Softball","T-ball","Baseball","Netball","Tennis","Bocce","Pentaque","Petanque","Skate","Car Park","Pond","Bridle","Amphitheatre","Perimeter","Passive"},C31)))&gt;0,"no",IF(SUMPRODUCT(--ISNUMBER(SEARCH({"Cricket","Junior","Mini","Summer Football","Small"},C31)))&gt;0,"reduced",IF(SUMPRODUCT(--ISNUMBER(SEARCH({"Rugby","Football","League","Touch","Gaelic","Australian","Lacrosse","General Sport","Training Area","Ultimate"},C31)))&gt;0,"full","unknown"))))</f>
        <v/>
      </c>
      <c r="E31" s="9"/>
      <c r="F31" s="9"/>
      <c r="G31" s="9"/>
      <c r="H31" s="9"/>
      <c r="I31" s="12"/>
      <c r="J31" s="9"/>
      <c r="K31" s="9"/>
      <c r="L31" s="9"/>
      <c r="M31" s="9"/>
      <c r="N31" s="9"/>
      <c r="O31" s="13" t="str">
        <f aca="false">IF(C31="","",IF(N(M31)+N(N31)&lt;Settings!$C$9,"untested",M31/(M31+N31)))</f>
        <v/>
      </c>
      <c r="P31" s="9"/>
      <c r="Q31" s="9"/>
      <c r="R31" s="9"/>
      <c r="S31" s="12"/>
      <c r="T31" s="9"/>
      <c r="U31" s="9"/>
      <c r="V31" s="9"/>
      <c r="W31" s="10" t="str">
        <f aca="false">IF(C31="","",IF(OR(G31="training",G31="full"),"Yes",IF(G31="none","No","?")))</f>
        <v/>
      </c>
      <c r="X31" s="10" t="str">
        <f aca="false">IF(C31="","",IF(OR(E31="",E31="unknown"),D31,E31))</f>
        <v/>
      </c>
      <c r="Y31" s="10" t="str">
        <f aca="false">IF(C31="","",IF(OR(T31="unsuitable",T31="retired",X31="no"),"—",IF(J31="","unrated",IF(AND(X31="full",J31&gt;=Settings!$C$5,OR(O31="untested",O31&gt;=Settings!$C$6)),"A",IF(AND(OR(X31="full",X31="reduced"),J31&gt;=Settings!$C$7,OR(O31="untested",O31&gt;=Settings!$C$8)),"B","C")))))</f>
        <v/>
      </c>
      <c r="Z31" s="11" t="str">
        <f aca="false">IF(C31="","",IF(P31&lt;&gt;"",P31,Y31))</f>
        <v/>
      </c>
    </row>
    <row r="32" customFormat="false" ht="15" hidden="false" customHeight="false" outlineLevel="0" collapsed="false">
      <c r="A32" s="9"/>
      <c r="B32" s="10" t="str">
        <f aca="false">IF(A32="","",IFERROR(INDEX(Parks!$A$2:$A$255,MATCH(A32,Parks!$B$2:$B$255,0)),"?"))</f>
        <v/>
      </c>
      <c r="C32" s="9"/>
      <c r="D32" s="10" t="str">
        <f aca="false">IF(C32="","",IF(SUMPRODUCT(--ISNUMBER(SEARCH({"Nets","Wicket","Diamond","Softball","T-ball","Baseball","Netball","Tennis","Bocce","Pentaque","Petanque","Skate","Car Park","Pond","Bridle","Amphitheatre","Perimeter","Passive"},C32)))&gt;0,"no",IF(SUMPRODUCT(--ISNUMBER(SEARCH({"Cricket","Junior","Mini","Summer Football","Small"},C32)))&gt;0,"reduced",IF(SUMPRODUCT(--ISNUMBER(SEARCH({"Rugby","Football","League","Touch","Gaelic","Australian","Lacrosse","General Sport","Training Area","Ultimate"},C32)))&gt;0,"full","unknown"))))</f>
        <v/>
      </c>
      <c r="E32" s="9"/>
      <c r="F32" s="9"/>
      <c r="G32" s="9"/>
      <c r="H32" s="9"/>
      <c r="I32" s="12"/>
      <c r="J32" s="9"/>
      <c r="K32" s="9"/>
      <c r="L32" s="9"/>
      <c r="M32" s="9"/>
      <c r="N32" s="9"/>
      <c r="O32" s="13" t="str">
        <f aca="false">IF(C32="","",IF(N(M32)+N(N32)&lt;Settings!$C$9,"untested",M32/(M32+N32)))</f>
        <v/>
      </c>
      <c r="P32" s="9"/>
      <c r="Q32" s="9"/>
      <c r="R32" s="9"/>
      <c r="S32" s="12"/>
      <c r="T32" s="9"/>
      <c r="U32" s="9"/>
      <c r="V32" s="9"/>
      <c r="W32" s="10" t="str">
        <f aca="false">IF(C32="","",IF(OR(G32="training",G32="full"),"Yes",IF(G32="none","No","?")))</f>
        <v/>
      </c>
      <c r="X32" s="10" t="str">
        <f aca="false">IF(C32="","",IF(OR(E32="",E32="unknown"),D32,E32))</f>
        <v/>
      </c>
      <c r="Y32" s="10" t="str">
        <f aca="false">IF(C32="","",IF(OR(T32="unsuitable",T32="retired",X32="no"),"—",IF(J32="","unrated",IF(AND(X32="full",J32&gt;=Settings!$C$5,OR(O32="untested",O32&gt;=Settings!$C$6)),"A",IF(AND(OR(X32="full",X32="reduced"),J32&gt;=Settings!$C$7,OR(O32="untested",O32&gt;=Settings!$C$8)),"B","C")))))</f>
        <v/>
      </c>
      <c r="Z32" s="11" t="str">
        <f aca="false">IF(C32="","",IF(P32&lt;&gt;"",P32,Y32))</f>
        <v/>
      </c>
    </row>
    <row r="33" customFormat="false" ht="15" hidden="false" customHeight="false" outlineLevel="0" collapsed="false">
      <c r="A33" s="9"/>
      <c r="B33" s="10" t="str">
        <f aca="false">IF(A33="","",IFERROR(INDEX(Parks!$A$2:$A$255,MATCH(A33,Parks!$B$2:$B$255,0)),"?"))</f>
        <v/>
      </c>
      <c r="C33" s="9"/>
      <c r="D33" s="10" t="str">
        <f aca="false">IF(C33="","",IF(SUMPRODUCT(--ISNUMBER(SEARCH({"Nets","Wicket","Diamond","Softball","T-ball","Baseball","Netball","Tennis","Bocce","Pentaque","Petanque","Skate","Car Park","Pond","Bridle","Amphitheatre","Perimeter","Passive"},C33)))&gt;0,"no",IF(SUMPRODUCT(--ISNUMBER(SEARCH({"Cricket","Junior","Mini","Summer Football","Small"},C33)))&gt;0,"reduced",IF(SUMPRODUCT(--ISNUMBER(SEARCH({"Rugby","Football","League","Touch","Gaelic","Australian","Lacrosse","General Sport","Training Area","Ultimate"},C33)))&gt;0,"full","unknown"))))</f>
        <v/>
      </c>
      <c r="E33" s="9"/>
      <c r="F33" s="9"/>
      <c r="G33" s="9"/>
      <c r="H33" s="9"/>
      <c r="I33" s="12"/>
      <c r="J33" s="9"/>
      <c r="K33" s="9"/>
      <c r="L33" s="9"/>
      <c r="M33" s="9"/>
      <c r="N33" s="9"/>
      <c r="O33" s="13" t="str">
        <f aca="false">IF(C33="","",IF(N(M33)+N(N33)&lt;Settings!$C$9,"untested",M33/(M33+N33)))</f>
        <v/>
      </c>
      <c r="P33" s="9"/>
      <c r="Q33" s="9"/>
      <c r="R33" s="9"/>
      <c r="S33" s="12"/>
      <c r="T33" s="9"/>
      <c r="U33" s="9"/>
      <c r="V33" s="9"/>
      <c r="W33" s="10" t="str">
        <f aca="false">IF(C33="","",IF(OR(G33="training",G33="full"),"Yes",IF(G33="none","No","?")))</f>
        <v/>
      </c>
      <c r="X33" s="10" t="str">
        <f aca="false">IF(C33="","",IF(OR(E33="",E33="unknown"),D33,E33))</f>
        <v/>
      </c>
      <c r="Y33" s="10" t="str">
        <f aca="false">IF(C33="","",IF(OR(T33="unsuitable",T33="retired",X33="no"),"—",IF(J33="","unrated",IF(AND(X33="full",J33&gt;=Settings!$C$5,OR(O33="untested",O33&gt;=Settings!$C$6)),"A",IF(AND(OR(X33="full",X33="reduced"),J33&gt;=Settings!$C$7,OR(O33="untested",O33&gt;=Settings!$C$8)),"B","C")))))</f>
        <v/>
      </c>
      <c r="Z33" s="11" t="str">
        <f aca="false">IF(C33="","",IF(P33&lt;&gt;"",P33,Y33))</f>
        <v/>
      </c>
    </row>
    <row r="34" customFormat="false" ht="15" hidden="false" customHeight="false" outlineLevel="0" collapsed="false">
      <c r="A34" s="9"/>
      <c r="B34" s="10" t="str">
        <f aca="false">IF(A34="","",IFERROR(INDEX(Parks!$A$2:$A$255,MATCH(A34,Parks!$B$2:$B$255,0)),"?"))</f>
        <v/>
      </c>
      <c r="C34" s="9"/>
      <c r="D34" s="10" t="str">
        <f aca="false">IF(C34="","",IF(SUMPRODUCT(--ISNUMBER(SEARCH({"Nets","Wicket","Diamond","Softball","T-ball","Baseball","Netball","Tennis","Bocce","Pentaque","Petanque","Skate","Car Park","Pond","Bridle","Amphitheatre","Perimeter","Passive"},C34)))&gt;0,"no",IF(SUMPRODUCT(--ISNUMBER(SEARCH({"Cricket","Junior","Mini","Summer Football","Small"},C34)))&gt;0,"reduced",IF(SUMPRODUCT(--ISNUMBER(SEARCH({"Rugby","Football","League","Touch","Gaelic","Australian","Lacrosse","General Sport","Training Area","Ultimate"},C34)))&gt;0,"full","unknown"))))</f>
        <v/>
      </c>
      <c r="E34" s="9"/>
      <c r="F34" s="9"/>
      <c r="G34" s="9"/>
      <c r="H34" s="9"/>
      <c r="I34" s="12"/>
      <c r="J34" s="9"/>
      <c r="K34" s="9"/>
      <c r="L34" s="9"/>
      <c r="M34" s="9"/>
      <c r="N34" s="9"/>
      <c r="O34" s="13" t="str">
        <f aca="false">IF(C34="","",IF(N(M34)+N(N34)&lt;Settings!$C$9,"untested",M34/(M34+N34)))</f>
        <v/>
      </c>
      <c r="P34" s="9"/>
      <c r="Q34" s="9"/>
      <c r="R34" s="9"/>
      <c r="S34" s="12"/>
      <c r="T34" s="9"/>
      <c r="U34" s="9"/>
      <c r="V34" s="9"/>
      <c r="W34" s="10" t="str">
        <f aca="false">IF(C34="","",IF(OR(G34="training",G34="full"),"Yes",IF(G34="none","No","?")))</f>
        <v/>
      </c>
      <c r="X34" s="10" t="str">
        <f aca="false">IF(C34="","",IF(OR(E34="",E34="unknown"),D34,E34))</f>
        <v/>
      </c>
      <c r="Y34" s="10" t="str">
        <f aca="false">IF(C34="","",IF(OR(T34="unsuitable",T34="retired",X34="no"),"—",IF(J34="","unrated",IF(AND(X34="full",J34&gt;=Settings!$C$5,OR(O34="untested",O34&gt;=Settings!$C$6)),"A",IF(AND(OR(X34="full",X34="reduced"),J34&gt;=Settings!$C$7,OR(O34="untested",O34&gt;=Settings!$C$8)),"B","C")))))</f>
        <v/>
      </c>
      <c r="Z34" s="11" t="str">
        <f aca="false">IF(C34="","",IF(P34&lt;&gt;"",P34,Y34))</f>
        <v/>
      </c>
    </row>
    <row r="35" customFormat="false" ht="15" hidden="false" customHeight="false" outlineLevel="0" collapsed="false">
      <c r="A35" s="9"/>
      <c r="B35" s="10" t="str">
        <f aca="false">IF(A35="","",IFERROR(INDEX(Parks!$A$2:$A$255,MATCH(A35,Parks!$B$2:$B$255,0)),"?"))</f>
        <v/>
      </c>
      <c r="C35" s="9"/>
      <c r="D35" s="10" t="str">
        <f aca="false">IF(C35="","",IF(SUMPRODUCT(--ISNUMBER(SEARCH({"Nets","Wicket","Diamond","Softball","T-ball","Baseball","Netball","Tennis","Bocce","Pentaque","Petanque","Skate","Car Park","Pond","Bridle","Amphitheatre","Perimeter","Passive"},C35)))&gt;0,"no",IF(SUMPRODUCT(--ISNUMBER(SEARCH({"Cricket","Junior","Mini","Summer Football","Small"},C35)))&gt;0,"reduced",IF(SUMPRODUCT(--ISNUMBER(SEARCH({"Rugby","Football","League","Touch","Gaelic","Australian","Lacrosse","General Sport","Training Area","Ultimate"},C35)))&gt;0,"full","unknown"))))</f>
        <v/>
      </c>
      <c r="E35" s="9"/>
      <c r="F35" s="9"/>
      <c r="G35" s="9"/>
      <c r="H35" s="9"/>
      <c r="I35" s="12"/>
      <c r="J35" s="9"/>
      <c r="K35" s="9"/>
      <c r="L35" s="9"/>
      <c r="M35" s="9"/>
      <c r="N35" s="9"/>
      <c r="O35" s="13" t="str">
        <f aca="false">IF(C35="","",IF(N(M35)+N(N35)&lt;Settings!$C$9,"untested",M35/(M35+N35)))</f>
        <v/>
      </c>
      <c r="P35" s="9"/>
      <c r="Q35" s="9"/>
      <c r="R35" s="9"/>
      <c r="S35" s="12"/>
      <c r="T35" s="9"/>
      <c r="U35" s="9"/>
      <c r="V35" s="9"/>
      <c r="W35" s="10" t="str">
        <f aca="false">IF(C35="","",IF(OR(G35="training",G35="full"),"Yes",IF(G35="none","No","?")))</f>
        <v/>
      </c>
      <c r="X35" s="10" t="str">
        <f aca="false">IF(C35="","",IF(OR(E35="",E35="unknown"),D35,E35))</f>
        <v/>
      </c>
      <c r="Y35" s="10" t="str">
        <f aca="false">IF(C35="","",IF(OR(T35="unsuitable",T35="retired",X35="no"),"—",IF(J35="","unrated",IF(AND(X35="full",J35&gt;=Settings!$C$5,OR(O35="untested",O35&gt;=Settings!$C$6)),"A",IF(AND(OR(X35="full",X35="reduced"),J35&gt;=Settings!$C$7,OR(O35="untested",O35&gt;=Settings!$C$8)),"B","C")))))</f>
        <v/>
      </c>
      <c r="Z35" s="11" t="str">
        <f aca="false">IF(C35="","",IF(P35&lt;&gt;"",P35,Y35))</f>
        <v/>
      </c>
    </row>
    <row r="36" customFormat="false" ht="15" hidden="false" customHeight="false" outlineLevel="0" collapsed="false">
      <c r="A36" s="9"/>
      <c r="B36" s="10" t="str">
        <f aca="false">IF(A36="","",IFERROR(INDEX(Parks!$A$2:$A$255,MATCH(A36,Parks!$B$2:$B$255,0)),"?"))</f>
        <v/>
      </c>
      <c r="C36" s="9"/>
      <c r="D36" s="10" t="str">
        <f aca="false">IF(C36="","",IF(SUMPRODUCT(--ISNUMBER(SEARCH({"Nets","Wicket","Diamond","Softball","T-ball","Baseball","Netball","Tennis","Bocce","Pentaque","Petanque","Skate","Car Park","Pond","Bridle","Amphitheatre","Perimeter","Passive"},C36)))&gt;0,"no",IF(SUMPRODUCT(--ISNUMBER(SEARCH({"Cricket","Junior","Mini","Summer Football","Small"},C36)))&gt;0,"reduced",IF(SUMPRODUCT(--ISNUMBER(SEARCH({"Rugby","Football","League","Touch","Gaelic","Australian","Lacrosse","General Sport","Training Area","Ultimate"},C36)))&gt;0,"full","unknown"))))</f>
        <v/>
      </c>
      <c r="E36" s="9"/>
      <c r="F36" s="9"/>
      <c r="G36" s="9"/>
      <c r="H36" s="9"/>
      <c r="I36" s="12"/>
      <c r="J36" s="9"/>
      <c r="K36" s="9"/>
      <c r="L36" s="9"/>
      <c r="M36" s="9"/>
      <c r="N36" s="9"/>
      <c r="O36" s="13" t="str">
        <f aca="false">IF(C36="","",IF(N(M36)+N(N36)&lt;Settings!$C$9,"untested",M36/(M36+N36)))</f>
        <v/>
      </c>
      <c r="P36" s="9"/>
      <c r="Q36" s="9"/>
      <c r="R36" s="9"/>
      <c r="S36" s="12"/>
      <c r="T36" s="9"/>
      <c r="U36" s="9"/>
      <c r="V36" s="9"/>
      <c r="W36" s="10" t="str">
        <f aca="false">IF(C36="","",IF(OR(G36="training",G36="full"),"Yes",IF(G36="none","No","?")))</f>
        <v/>
      </c>
      <c r="X36" s="10" t="str">
        <f aca="false">IF(C36="","",IF(OR(E36="",E36="unknown"),D36,E36))</f>
        <v/>
      </c>
      <c r="Y36" s="10" t="str">
        <f aca="false">IF(C36="","",IF(OR(T36="unsuitable",T36="retired",X36="no"),"—",IF(J36="","unrated",IF(AND(X36="full",J36&gt;=Settings!$C$5,OR(O36="untested",O36&gt;=Settings!$C$6)),"A",IF(AND(OR(X36="full",X36="reduced"),J36&gt;=Settings!$C$7,OR(O36="untested",O36&gt;=Settings!$C$8)),"B","C")))))</f>
        <v/>
      </c>
      <c r="Z36" s="11" t="str">
        <f aca="false">IF(C36="","",IF(P36&lt;&gt;"",P36,Y36))</f>
        <v/>
      </c>
    </row>
    <row r="37" customFormat="false" ht="15" hidden="false" customHeight="false" outlineLevel="0" collapsed="false">
      <c r="A37" s="9"/>
      <c r="B37" s="10" t="str">
        <f aca="false">IF(A37="","",IFERROR(INDEX(Parks!$A$2:$A$255,MATCH(A37,Parks!$B$2:$B$255,0)),"?"))</f>
        <v/>
      </c>
      <c r="C37" s="9"/>
      <c r="D37" s="10" t="str">
        <f aca="false">IF(C37="","",IF(SUMPRODUCT(--ISNUMBER(SEARCH({"Nets","Wicket","Diamond","Softball","T-ball","Baseball","Netball","Tennis","Bocce","Pentaque","Petanque","Skate","Car Park","Pond","Bridle","Amphitheatre","Perimeter","Passive"},C37)))&gt;0,"no",IF(SUMPRODUCT(--ISNUMBER(SEARCH({"Cricket","Junior","Mini","Summer Football","Small"},C37)))&gt;0,"reduced",IF(SUMPRODUCT(--ISNUMBER(SEARCH({"Rugby","Football","League","Touch","Gaelic","Australian","Lacrosse","General Sport","Training Area","Ultimate"},C37)))&gt;0,"full","unknown"))))</f>
        <v/>
      </c>
      <c r="E37" s="9"/>
      <c r="F37" s="9"/>
      <c r="G37" s="9"/>
      <c r="H37" s="9"/>
      <c r="I37" s="12"/>
      <c r="J37" s="9"/>
      <c r="K37" s="9"/>
      <c r="L37" s="9"/>
      <c r="M37" s="9"/>
      <c r="N37" s="9"/>
      <c r="O37" s="13" t="str">
        <f aca="false">IF(C37="","",IF(N(M37)+N(N37)&lt;Settings!$C$9,"untested",M37/(M37+N37)))</f>
        <v/>
      </c>
      <c r="P37" s="9"/>
      <c r="Q37" s="9"/>
      <c r="R37" s="9"/>
      <c r="S37" s="12"/>
      <c r="T37" s="9"/>
      <c r="U37" s="9"/>
      <c r="V37" s="9"/>
      <c r="W37" s="10" t="str">
        <f aca="false">IF(C37="","",IF(OR(G37="training",G37="full"),"Yes",IF(G37="none","No","?")))</f>
        <v/>
      </c>
      <c r="X37" s="10" t="str">
        <f aca="false">IF(C37="","",IF(OR(E37="",E37="unknown"),D37,E37))</f>
        <v/>
      </c>
      <c r="Y37" s="10" t="str">
        <f aca="false">IF(C37="","",IF(OR(T37="unsuitable",T37="retired",X37="no"),"—",IF(J37="","unrated",IF(AND(X37="full",J37&gt;=Settings!$C$5,OR(O37="untested",O37&gt;=Settings!$C$6)),"A",IF(AND(OR(X37="full",X37="reduced"),J37&gt;=Settings!$C$7,OR(O37="untested",O37&gt;=Settings!$C$8)),"B","C")))))</f>
        <v/>
      </c>
      <c r="Z37" s="11" t="str">
        <f aca="false">IF(C37="","",IF(P37&lt;&gt;"",P37,Y37))</f>
        <v/>
      </c>
    </row>
    <row r="38" customFormat="false" ht="15" hidden="false" customHeight="false" outlineLevel="0" collapsed="false">
      <c r="A38" s="9"/>
      <c r="B38" s="10" t="str">
        <f aca="false">IF(A38="","",IFERROR(INDEX(Parks!$A$2:$A$255,MATCH(A38,Parks!$B$2:$B$255,0)),"?"))</f>
        <v/>
      </c>
      <c r="C38" s="9"/>
      <c r="D38" s="10" t="str">
        <f aca="false">IF(C38="","",IF(SUMPRODUCT(--ISNUMBER(SEARCH({"Nets","Wicket","Diamond","Softball","T-ball","Baseball","Netball","Tennis","Bocce","Pentaque","Petanque","Skate","Car Park","Pond","Bridle","Amphitheatre","Perimeter","Passive"},C38)))&gt;0,"no",IF(SUMPRODUCT(--ISNUMBER(SEARCH({"Cricket","Junior","Mini","Summer Football","Small"},C38)))&gt;0,"reduced",IF(SUMPRODUCT(--ISNUMBER(SEARCH({"Rugby","Football","League","Touch","Gaelic","Australian","Lacrosse","General Sport","Training Area","Ultimate"},C38)))&gt;0,"full","unknown"))))</f>
        <v/>
      </c>
      <c r="E38" s="9"/>
      <c r="F38" s="9"/>
      <c r="G38" s="9"/>
      <c r="H38" s="9"/>
      <c r="I38" s="12"/>
      <c r="J38" s="9"/>
      <c r="K38" s="9"/>
      <c r="L38" s="9"/>
      <c r="M38" s="9"/>
      <c r="N38" s="9"/>
      <c r="O38" s="13" t="str">
        <f aca="false">IF(C38="","",IF(N(M38)+N(N38)&lt;Settings!$C$9,"untested",M38/(M38+N38)))</f>
        <v/>
      </c>
      <c r="P38" s="9"/>
      <c r="Q38" s="9"/>
      <c r="R38" s="9"/>
      <c r="S38" s="12"/>
      <c r="T38" s="9"/>
      <c r="U38" s="9"/>
      <c r="V38" s="9"/>
      <c r="W38" s="10" t="str">
        <f aca="false">IF(C38="","",IF(OR(G38="training",G38="full"),"Yes",IF(G38="none","No","?")))</f>
        <v/>
      </c>
      <c r="X38" s="10" t="str">
        <f aca="false">IF(C38="","",IF(OR(E38="",E38="unknown"),D38,E38))</f>
        <v/>
      </c>
      <c r="Y38" s="10" t="str">
        <f aca="false">IF(C38="","",IF(OR(T38="unsuitable",T38="retired",X38="no"),"—",IF(J38="","unrated",IF(AND(X38="full",J38&gt;=Settings!$C$5,OR(O38="untested",O38&gt;=Settings!$C$6)),"A",IF(AND(OR(X38="full",X38="reduced"),J38&gt;=Settings!$C$7,OR(O38="untested",O38&gt;=Settings!$C$8)),"B","C")))))</f>
        <v/>
      </c>
      <c r="Z38" s="11" t="str">
        <f aca="false">IF(C38="","",IF(P38&lt;&gt;"",P38,Y38))</f>
        <v/>
      </c>
    </row>
    <row r="39" customFormat="false" ht="15" hidden="false" customHeight="false" outlineLevel="0" collapsed="false">
      <c r="A39" s="9"/>
      <c r="B39" s="10" t="str">
        <f aca="false">IF(A39="","",IFERROR(INDEX(Parks!$A$2:$A$255,MATCH(A39,Parks!$B$2:$B$255,0)),"?"))</f>
        <v/>
      </c>
      <c r="C39" s="9"/>
      <c r="D39" s="10" t="str">
        <f aca="false">IF(C39="","",IF(SUMPRODUCT(--ISNUMBER(SEARCH({"Nets","Wicket","Diamond","Softball","T-ball","Baseball","Netball","Tennis","Bocce","Pentaque","Petanque","Skate","Car Park","Pond","Bridle","Amphitheatre","Perimeter","Passive"},C39)))&gt;0,"no",IF(SUMPRODUCT(--ISNUMBER(SEARCH({"Cricket","Junior","Mini","Summer Football","Small"},C39)))&gt;0,"reduced",IF(SUMPRODUCT(--ISNUMBER(SEARCH({"Rugby","Football","League","Touch","Gaelic","Australian","Lacrosse","General Sport","Training Area","Ultimate"},C39)))&gt;0,"full","unknown"))))</f>
        <v/>
      </c>
      <c r="E39" s="9"/>
      <c r="F39" s="9"/>
      <c r="G39" s="9"/>
      <c r="H39" s="9"/>
      <c r="I39" s="12"/>
      <c r="J39" s="9"/>
      <c r="K39" s="9"/>
      <c r="L39" s="9"/>
      <c r="M39" s="9"/>
      <c r="N39" s="9"/>
      <c r="O39" s="13" t="str">
        <f aca="false">IF(C39="","",IF(N(M39)+N(N39)&lt;Settings!$C$9,"untested",M39/(M39+N39)))</f>
        <v/>
      </c>
      <c r="P39" s="9"/>
      <c r="Q39" s="9"/>
      <c r="R39" s="9"/>
      <c r="S39" s="12"/>
      <c r="T39" s="9"/>
      <c r="U39" s="9"/>
      <c r="V39" s="9"/>
      <c r="W39" s="10" t="str">
        <f aca="false">IF(C39="","",IF(OR(G39="training",G39="full"),"Yes",IF(G39="none","No","?")))</f>
        <v/>
      </c>
      <c r="X39" s="10" t="str">
        <f aca="false">IF(C39="","",IF(OR(E39="",E39="unknown"),D39,E39))</f>
        <v/>
      </c>
      <c r="Y39" s="10" t="str">
        <f aca="false">IF(C39="","",IF(OR(T39="unsuitable",T39="retired",X39="no"),"—",IF(J39="","unrated",IF(AND(X39="full",J39&gt;=Settings!$C$5,OR(O39="untested",O39&gt;=Settings!$C$6)),"A",IF(AND(OR(X39="full",X39="reduced"),J39&gt;=Settings!$C$7,OR(O39="untested",O39&gt;=Settings!$C$8)),"B","C")))))</f>
        <v/>
      </c>
      <c r="Z39" s="11" t="str">
        <f aca="false">IF(C39="","",IF(P39&lt;&gt;"",P39,Y39))</f>
        <v/>
      </c>
    </row>
    <row r="40" customFormat="false" ht="15" hidden="false" customHeight="false" outlineLevel="0" collapsed="false">
      <c r="A40" s="9"/>
      <c r="B40" s="10" t="str">
        <f aca="false">IF(A40="","",IFERROR(INDEX(Parks!$A$2:$A$255,MATCH(A40,Parks!$B$2:$B$255,0)),"?"))</f>
        <v/>
      </c>
      <c r="C40" s="9"/>
      <c r="D40" s="10" t="str">
        <f aca="false">IF(C40="","",IF(SUMPRODUCT(--ISNUMBER(SEARCH({"Nets","Wicket","Diamond","Softball","T-ball","Baseball","Netball","Tennis","Bocce","Pentaque","Petanque","Skate","Car Park","Pond","Bridle","Amphitheatre","Perimeter","Passive"},C40)))&gt;0,"no",IF(SUMPRODUCT(--ISNUMBER(SEARCH({"Cricket","Junior","Mini","Summer Football","Small"},C40)))&gt;0,"reduced",IF(SUMPRODUCT(--ISNUMBER(SEARCH({"Rugby","Football","League","Touch","Gaelic","Australian","Lacrosse","General Sport","Training Area","Ultimate"},C40)))&gt;0,"full","unknown"))))</f>
        <v/>
      </c>
      <c r="E40" s="9"/>
      <c r="F40" s="9"/>
      <c r="G40" s="9"/>
      <c r="H40" s="9"/>
      <c r="I40" s="12"/>
      <c r="J40" s="9"/>
      <c r="K40" s="9"/>
      <c r="L40" s="9"/>
      <c r="M40" s="9"/>
      <c r="N40" s="9"/>
      <c r="O40" s="13" t="str">
        <f aca="false">IF(C40="","",IF(N(M40)+N(N40)&lt;Settings!$C$9,"untested",M40/(M40+N40)))</f>
        <v/>
      </c>
      <c r="P40" s="9"/>
      <c r="Q40" s="9"/>
      <c r="R40" s="9"/>
      <c r="S40" s="12"/>
      <c r="T40" s="9"/>
      <c r="U40" s="9"/>
      <c r="V40" s="9"/>
      <c r="W40" s="10" t="str">
        <f aca="false">IF(C40="","",IF(OR(G40="training",G40="full"),"Yes",IF(G40="none","No","?")))</f>
        <v/>
      </c>
      <c r="X40" s="10" t="str">
        <f aca="false">IF(C40="","",IF(OR(E40="",E40="unknown"),D40,E40))</f>
        <v/>
      </c>
      <c r="Y40" s="10" t="str">
        <f aca="false">IF(C40="","",IF(OR(T40="unsuitable",T40="retired",X40="no"),"—",IF(J40="","unrated",IF(AND(X40="full",J40&gt;=Settings!$C$5,OR(O40="untested",O40&gt;=Settings!$C$6)),"A",IF(AND(OR(X40="full",X40="reduced"),J40&gt;=Settings!$C$7,OR(O40="untested",O40&gt;=Settings!$C$8)),"B","C")))))</f>
        <v/>
      </c>
      <c r="Z40" s="11" t="str">
        <f aca="false">IF(C40="","",IF(P40&lt;&gt;"",P40,Y40))</f>
        <v/>
      </c>
    </row>
    <row r="41" customFormat="false" ht="15" hidden="false" customHeight="false" outlineLevel="0" collapsed="false">
      <c r="A41" s="9"/>
      <c r="B41" s="10" t="str">
        <f aca="false">IF(A41="","",IFERROR(INDEX(Parks!$A$2:$A$255,MATCH(A41,Parks!$B$2:$B$255,0)),"?"))</f>
        <v/>
      </c>
      <c r="C41" s="9"/>
      <c r="D41" s="10" t="str">
        <f aca="false">IF(C41="","",IF(SUMPRODUCT(--ISNUMBER(SEARCH({"Nets","Wicket","Diamond","Softball","T-ball","Baseball","Netball","Tennis","Bocce","Pentaque","Petanque","Skate","Car Park","Pond","Bridle","Amphitheatre","Perimeter","Passive"},C41)))&gt;0,"no",IF(SUMPRODUCT(--ISNUMBER(SEARCH({"Cricket","Junior","Mini","Summer Football","Small"},C41)))&gt;0,"reduced",IF(SUMPRODUCT(--ISNUMBER(SEARCH({"Rugby","Football","League","Touch","Gaelic","Australian","Lacrosse","General Sport","Training Area","Ultimate"},C41)))&gt;0,"full","unknown"))))</f>
        <v/>
      </c>
      <c r="E41" s="9"/>
      <c r="F41" s="9"/>
      <c r="G41" s="9"/>
      <c r="H41" s="9"/>
      <c r="I41" s="12"/>
      <c r="J41" s="9"/>
      <c r="K41" s="9"/>
      <c r="L41" s="9"/>
      <c r="M41" s="9"/>
      <c r="N41" s="9"/>
      <c r="O41" s="13" t="str">
        <f aca="false">IF(C41="","",IF(N(M41)+N(N41)&lt;Settings!$C$9,"untested",M41/(M41+N41)))</f>
        <v/>
      </c>
      <c r="P41" s="9"/>
      <c r="Q41" s="9"/>
      <c r="R41" s="9"/>
      <c r="S41" s="12"/>
      <c r="T41" s="9"/>
      <c r="U41" s="9"/>
      <c r="V41" s="9"/>
      <c r="W41" s="10" t="str">
        <f aca="false">IF(C41="","",IF(OR(G41="training",G41="full"),"Yes",IF(G41="none","No","?")))</f>
        <v/>
      </c>
      <c r="X41" s="10" t="str">
        <f aca="false">IF(C41="","",IF(OR(E41="",E41="unknown"),D41,E41))</f>
        <v/>
      </c>
      <c r="Y41" s="10" t="str">
        <f aca="false">IF(C41="","",IF(OR(T41="unsuitable",T41="retired",X41="no"),"—",IF(J41="","unrated",IF(AND(X41="full",J41&gt;=Settings!$C$5,OR(O41="untested",O41&gt;=Settings!$C$6)),"A",IF(AND(OR(X41="full",X41="reduced"),J41&gt;=Settings!$C$7,OR(O41="untested",O41&gt;=Settings!$C$8)),"B","C")))))</f>
        <v/>
      </c>
      <c r="Z41" s="11" t="str">
        <f aca="false">IF(C41="","",IF(P41&lt;&gt;"",P41,Y41))</f>
        <v/>
      </c>
    </row>
    <row r="42" customFormat="false" ht="15" hidden="false" customHeight="false" outlineLevel="0" collapsed="false">
      <c r="A42" s="9"/>
      <c r="B42" s="10" t="str">
        <f aca="false">IF(A42="","",IFERROR(INDEX(Parks!$A$2:$A$255,MATCH(A42,Parks!$B$2:$B$255,0)),"?"))</f>
        <v/>
      </c>
      <c r="C42" s="9"/>
      <c r="D42" s="10" t="str">
        <f aca="false">IF(C42="","",IF(SUMPRODUCT(--ISNUMBER(SEARCH({"Nets","Wicket","Diamond","Softball","T-ball","Baseball","Netball","Tennis","Bocce","Pentaque","Petanque","Skate","Car Park","Pond","Bridle","Amphitheatre","Perimeter","Passive"},C42)))&gt;0,"no",IF(SUMPRODUCT(--ISNUMBER(SEARCH({"Cricket","Junior","Mini","Summer Football","Small"},C42)))&gt;0,"reduced",IF(SUMPRODUCT(--ISNUMBER(SEARCH({"Rugby","Football","League","Touch","Gaelic","Australian","Lacrosse","General Sport","Training Area","Ultimate"},C42)))&gt;0,"full","unknown"))))</f>
        <v/>
      </c>
      <c r="E42" s="9"/>
      <c r="F42" s="9"/>
      <c r="G42" s="9"/>
      <c r="H42" s="9"/>
      <c r="I42" s="12"/>
      <c r="J42" s="9"/>
      <c r="K42" s="9"/>
      <c r="L42" s="9"/>
      <c r="M42" s="9"/>
      <c r="N42" s="9"/>
      <c r="O42" s="13" t="str">
        <f aca="false">IF(C42="","",IF(N(M42)+N(N42)&lt;Settings!$C$9,"untested",M42/(M42+N42)))</f>
        <v/>
      </c>
      <c r="P42" s="9"/>
      <c r="Q42" s="9"/>
      <c r="R42" s="9"/>
      <c r="S42" s="12"/>
      <c r="T42" s="9"/>
      <c r="U42" s="9"/>
      <c r="V42" s="9"/>
      <c r="W42" s="10" t="str">
        <f aca="false">IF(C42="","",IF(OR(G42="training",G42="full"),"Yes",IF(G42="none","No","?")))</f>
        <v/>
      </c>
      <c r="X42" s="10" t="str">
        <f aca="false">IF(C42="","",IF(OR(E42="",E42="unknown"),D42,E42))</f>
        <v/>
      </c>
      <c r="Y42" s="10" t="str">
        <f aca="false">IF(C42="","",IF(OR(T42="unsuitable",T42="retired",X42="no"),"—",IF(J42="","unrated",IF(AND(X42="full",J42&gt;=Settings!$C$5,OR(O42="untested",O42&gt;=Settings!$C$6)),"A",IF(AND(OR(X42="full",X42="reduced"),J42&gt;=Settings!$C$7,OR(O42="untested",O42&gt;=Settings!$C$8)),"B","C")))))</f>
        <v/>
      </c>
      <c r="Z42" s="11" t="str">
        <f aca="false">IF(C42="","",IF(P42&lt;&gt;"",P42,Y42))</f>
        <v/>
      </c>
    </row>
    <row r="43" customFormat="false" ht="15" hidden="false" customHeight="false" outlineLevel="0" collapsed="false">
      <c r="A43" s="9"/>
      <c r="B43" s="10" t="str">
        <f aca="false">IF(A43="","",IFERROR(INDEX(Parks!$A$2:$A$255,MATCH(A43,Parks!$B$2:$B$255,0)),"?"))</f>
        <v/>
      </c>
      <c r="C43" s="9"/>
      <c r="D43" s="10" t="str">
        <f aca="false">IF(C43="","",IF(SUMPRODUCT(--ISNUMBER(SEARCH({"Nets","Wicket","Diamond","Softball","T-ball","Baseball","Netball","Tennis","Bocce","Pentaque","Petanque","Skate","Car Park","Pond","Bridle","Amphitheatre","Perimeter","Passive"},C43)))&gt;0,"no",IF(SUMPRODUCT(--ISNUMBER(SEARCH({"Cricket","Junior","Mini","Summer Football","Small"},C43)))&gt;0,"reduced",IF(SUMPRODUCT(--ISNUMBER(SEARCH({"Rugby","Football","League","Touch","Gaelic","Australian","Lacrosse","General Sport","Training Area","Ultimate"},C43)))&gt;0,"full","unknown"))))</f>
        <v/>
      </c>
      <c r="E43" s="9"/>
      <c r="F43" s="9"/>
      <c r="G43" s="9"/>
      <c r="H43" s="9"/>
      <c r="I43" s="12"/>
      <c r="J43" s="9"/>
      <c r="K43" s="9"/>
      <c r="L43" s="9"/>
      <c r="M43" s="9"/>
      <c r="N43" s="9"/>
      <c r="O43" s="13" t="str">
        <f aca="false">IF(C43="","",IF(N(M43)+N(N43)&lt;Settings!$C$9,"untested",M43/(M43+N43)))</f>
        <v/>
      </c>
      <c r="P43" s="9"/>
      <c r="Q43" s="9"/>
      <c r="R43" s="9"/>
      <c r="S43" s="12"/>
      <c r="T43" s="9"/>
      <c r="U43" s="9"/>
      <c r="V43" s="9"/>
      <c r="W43" s="10" t="str">
        <f aca="false">IF(C43="","",IF(OR(G43="training",G43="full"),"Yes",IF(G43="none","No","?")))</f>
        <v/>
      </c>
      <c r="X43" s="10" t="str">
        <f aca="false">IF(C43="","",IF(OR(E43="",E43="unknown"),D43,E43))</f>
        <v/>
      </c>
      <c r="Y43" s="10" t="str">
        <f aca="false">IF(C43="","",IF(OR(T43="unsuitable",T43="retired",X43="no"),"—",IF(J43="","unrated",IF(AND(X43="full",J43&gt;=Settings!$C$5,OR(O43="untested",O43&gt;=Settings!$C$6)),"A",IF(AND(OR(X43="full",X43="reduced"),J43&gt;=Settings!$C$7,OR(O43="untested",O43&gt;=Settings!$C$8)),"B","C")))))</f>
        <v/>
      </c>
      <c r="Z43" s="11" t="str">
        <f aca="false">IF(C43="","",IF(P43&lt;&gt;"",P43,Y43))</f>
        <v/>
      </c>
    </row>
    <row r="44" customFormat="false" ht="15" hidden="false" customHeight="false" outlineLevel="0" collapsed="false">
      <c r="A44" s="9"/>
      <c r="B44" s="10" t="str">
        <f aca="false">IF(A44="","",IFERROR(INDEX(Parks!$A$2:$A$255,MATCH(A44,Parks!$B$2:$B$255,0)),"?"))</f>
        <v/>
      </c>
      <c r="C44" s="9"/>
      <c r="D44" s="10" t="str">
        <f aca="false">IF(C44="","",IF(SUMPRODUCT(--ISNUMBER(SEARCH({"Nets","Wicket","Diamond","Softball","T-ball","Baseball","Netball","Tennis","Bocce","Pentaque","Petanque","Skate","Car Park","Pond","Bridle","Amphitheatre","Perimeter","Passive"},C44)))&gt;0,"no",IF(SUMPRODUCT(--ISNUMBER(SEARCH({"Cricket","Junior","Mini","Summer Football","Small"},C44)))&gt;0,"reduced",IF(SUMPRODUCT(--ISNUMBER(SEARCH({"Rugby","Football","League","Touch","Gaelic","Australian","Lacrosse","General Sport","Training Area","Ultimate"},C44)))&gt;0,"full","unknown"))))</f>
        <v/>
      </c>
      <c r="E44" s="9"/>
      <c r="F44" s="9"/>
      <c r="G44" s="9"/>
      <c r="H44" s="9"/>
      <c r="I44" s="12"/>
      <c r="J44" s="9"/>
      <c r="K44" s="9"/>
      <c r="L44" s="9"/>
      <c r="M44" s="9"/>
      <c r="N44" s="9"/>
      <c r="O44" s="13" t="str">
        <f aca="false">IF(C44="","",IF(N(M44)+N(N44)&lt;Settings!$C$9,"untested",M44/(M44+N44)))</f>
        <v/>
      </c>
      <c r="P44" s="9"/>
      <c r="Q44" s="9"/>
      <c r="R44" s="9"/>
      <c r="S44" s="12"/>
      <c r="T44" s="9"/>
      <c r="U44" s="9"/>
      <c r="V44" s="9"/>
      <c r="W44" s="10" t="str">
        <f aca="false">IF(C44="","",IF(OR(G44="training",G44="full"),"Yes",IF(G44="none","No","?")))</f>
        <v/>
      </c>
      <c r="X44" s="10" t="str">
        <f aca="false">IF(C44="","",IF(OR(E44="",E44="unknown"),D44,E44))</f>
        <v/>
      </c>
      <c r="Y44" s="10" t="str">
        <f aca="false">IF(C44="","",IF(OR(T44="unsuitable",T44="retired",X44="no"),"—",IF(J44="","unrated",IF(AND(X44="full",J44&gt;=Settings!$C$5,OR(O44="untested",O44&gt;=Settings!$C$6)),"A",IF(AND(OR(X44="full",X44="reduced"),J44&gt;=Settings!$C$7,OR(O44="untested",O44&gt;=Settings!$C$8)),"B","C")))))</f>
        <v/>
      </c>
      <c r="Z44" s="11" t="str">
        <f aca="false">IF(C44="","",IF(P44&lt;&gt;"",P44,Y44))</f>
        <v/>
      </c>
    </row>
    <row r="45" customFormat="false" ht="15" hidden="false" customHeight="false" outlineLevel="0" collapsed="false">
      <c r="A45" s="9"/>
      <c r="B45" s="10" t="str">
        <f aca="false">IF(A45="","",IFERROR(INDEX(Parks!$A$2:$A$255,MATCH(A45,Parks!$B$2:$B$255,0)),"?"))</f>
        <v/>
      </c>
      <c r="C45" s="9"/>
      <c r="D45" s="10" t="str">
        <f aca="false">IF(C45="","",IF(SUMPRODUCT(--ISNUMBER(SEARCH({"Nets","Wicket","Diamond","Softball","T-ball","Baseball","Netball","Tennis","Bocce","Pentaque","Petanque","Skate","Car Park","Pond","Bridle","Amphitheatre","Perimeter","Passive"},C45)))&gt;0,"no",IF(SUMPRODUCT(--ISNUMBER(SEARCH({"Cricket","Junior","Mini","Summer Football","Small"},C45)))&gt;0,"reduced",IF(SUMPRODUCT(--ISNUMBER(SEARCH({"Rugby","Football","League","Touch","Gaelic","Australian","Lacrosse","General Sport","Training Area","Ultimate"},C45)))&gt;0,"full","unknown"))))</f>
        <v/>
      </c>
      <c r="E45" s="9"/>
      <c r="F45" s="9"/>
      <c r="G45" s="9"/>
      <c r="H45" s="9"/>
      <c r="I45" s="12"/>
      <c r="J45" s="9"/>
      <c r="K45" s="9"/>
      <c r="L45" s="9"/>
      <c r="M45" s="9"/>
      <c r="N45" s="9"/>
      <c r="O45" s="13" t="str">
        <f aca="false">IF(C45="","",IF(N(M45)+N(N45)&lt;Settings!$C$9,"untested",M45/(M45+N45)))</f>
        <v/>
      </c>
      <c r="P45" s="9"/>
      <c r="Q45" s="9"/>
      <c r="R45" s="9"/>
      <c r="S45" s="12"/>
      <c r="T45" s="9"/>
      <c r="U45" s="9"/>
      <c r="V45" s="9"/>
      <c r="W45" s="10" t="str">
        <f aca="false">IF(C45="","",IF(OR(G45="training",G45="full"),"Yes",IF(G45="none","No","?")))</f>
        <v/>
      </c>
      <c r="X45" s="10" t="str">
        <f aca="false">IF(C45="","",IF(OR(E45="",E45="unknown"),D45,E45))</f>
        <v/>
      </c>
      <c r="Y45" s="10" t="str">
        <f aca="false">IF(C45="","",IF(OR(T45="unsuitable",T45="retired",X45="no"),"—",IF(J45="","unrated",IF(AND(X45="full",J45&gt;=Settings!$C$5,OR(O45="untested",O45&gt;=Settings!$C$6)),"A",IF(AND(OR(X45="full",X45="reduced"),J45&gt;=Settings!$C$7,OR(O45="untested",O45&gt;=Settings!$C$8)),"B","C")))))</f>
        <v/>
      </c>
      <c r="Z45" s="11" t="str">
        <f aca="false">IF(C45="","",IF(P45&lt;&gt;"",P45,Y45))</f>
        <v/>
      </c>
    </row>
    <row r="46" customFormat="false" ht="15" hidden="false" customHeight="false" outlineLevel="0" collapsed="false">
      <c r="A46" s="9"/>
      <c r="B46" s="10" t="str">
        <f aca="false">IF(A46="","",IFERROR(INDEX(Parks!$A$2:$A$255,MATCH(A46,Parks!$B$2:$B$255,0)),"?"))</f>
        <v/>
      </c>
      <c r="C46" s="9"/>
      <c r="D46" s="10" t="str">
        <f aca="false">IF(C46="","",IF(SUMPRODUCT(--ISNUMBER(SEARCH({"Nets","Wicket","Diamond","Softball","T-ball","Baseball","Netball","Tennis","Bocce","Pentaque","Petanque","Skate","Car Park","Pond","Bridle","Amphitheatre","Perimeter","Passive"},C46)))&gt;0,"no",IF(SUMPRODUCT(--ISNUMBER(SEARCH({"Cricket","Junior","Mini","Summer Football","Small"},C46)))&gt;0,"reduced",IF(SUMPRODUCT(--ISNUMBER(SEARCH({"Rugby","Football","League","Touch","Gaelic","Australian","Lacrosse","General Sport","Training Area","Ultimate"},C46)))&gt;0,"full","unknown"))))</f>
        <v/>
      </c>
      <c r="E46" s="9"/>
      <c r="F46" s="9"/>
      <c r="G46" s="9"/>
      <c r="H46" s="9"/>
      <c r="I46" s="12"/>
      <c r="J46" s="9"/>
      <c r="K46" s="9"/>
      <c r="L46" s="9"/>
      <c r="M46" s="9"/>
      <c r="N46" s="9"/>
      <c r="O46" s="13" t="str">
        <f aca="false">IF(C46="","",IF(N(M46)+N(N46)&lt;Settings!$C$9,"untested",M46/(M46+N46)))</f>
        <v/>
      </c>
      <c r="P46" s="9"/>
      <c r="Q46" s="9"/>
      <c r="R46" s="9"/>
      <c r="S46" s="12"/>
      <c r="T46" s="9"/>
      <c r="U46" s="9"/>
      <c r="V46" s="9"/>
      <c r="W46" s="10" t="str">
        <f aca="false">IF(C46="","",IF(OR(G46="training",G46="full"),"Yes",IF(G46="none","No","?")))</f>
        <v/>
      </c>
      <c r="X46" s="10" t="str">
        <f aca="false">IF(C46="","",IF(OR(E46="",E46="unknown"),D46,E46))</f>
        <v/>
      </c>
      <c r="Y46" s="10" t="str">
        <f aca="false">IF(C46="","",IF(OR(T46="unsuitable",T46="retired",X46="no"),"—",IF(J46="","unrated",IF(AND(X46="full",J46&gt;=Settings!$C$5,OR(O46="untested",O46&gt;=Settings!$C$6)),"A",IF(AND(OR(X46="full",X46="reduced"),J46&gt;=Settings!$C$7,OR(O46="untested",O46&gt;=Settings!$C$8)),"B","C")))))</f>
        <v/>
      </c>
      <c r="Z46" s="11" t="str">
        <f aca="false">IF(C46="","",IF(P46&lt;&gt;"",P46,Y46))</f>
        <v/>
      </c>
    </row>
    <row r="47" customFormat="false" ht="15" hidden="false" customHeight="false" outlineLevel="0" collapsed="false">
      <c r="A47" s="9"/>
      <c r="B47" s="10" t="str">
        <f aca="false">IF(A47="","",IFERROR(INDEX(Parks!$A$2:$A$255,MATCH(A47,Parks!$B$2:$B$255,0)),"?"))</f>
        <v/>
      </c>
      <c r="C47" s="9"/>
      <c r="D47" s="10" t="str">
        <f aca="false">IF(C47="","",IF(SUMPRODUCT(--ISNUMBER(SEARCH({"Nets","Wicket","Diamond","Softball","T-ball","Baseball","Netball","Tennis","Bocce","Pentaque","Petanque","Skate","Car Park","Pond","Bridle","Amphitheatre","Perimeter","Passive"},C47)))&gt;0,"no",IF(SUMPRODUCT(--ISNUMBER(SEARCH({"Cricket","Junior","Mini","Summer Football","Small"},C47)))&gt;0,"reduced",IF(SUMPRODUCT(--ISNUMBER(SEARCH({"Rugby","Football","League","Touch","Gaelic","Australian","Lacrosse","General Sport","Training Area","Ultimate"},C47)))&gt;0,"full","unknown"))))</f>
        <v/>
      </c>
      <c r="E47" s="9"/>
      <c r="F47" s="9"/>
      <c r="G47" s="9"/>
      <c r="H47" s="9"/>
      <c r="I47" s="12"/>
      <c r="J47" s="9"/>
      <c r="K47" s="9"/>
      <c r="L47" s="9"/>
      <c r="M47" s="9"/>
      <c r="N47" s="9"/>
      <c r="O47" s="13" t="str">
        <f aca="false">IF(C47="","",IF(N(M47)+N(N47)&lt;Settings!$C$9,"untested",M47/(M47+N47)))</f>
        <v/>
      </c>
      <c r="P47" s="9"/>
      <c r="Q47" s="9"/>
      <c r="R47" s="9"/>
      <c r="S47" s="12"/>
      <c r="T47" s="9"/>
      <c r="U47" s="9"/>
      <c r="V47" s="9"/>
      <c r="W47" s="10" t="str">
        <f aca="false">IF(C47="","",IF(OR(G47="training",G47="full"),"Yes",IF(G47="none","No","?")))</f>
        <v/>
      </c>
      <c r="X47" s="10" t="str">
        <f aca="false">IF(C47="","",IF(OR(E47="",E47="unknown"),D47,E47))</f>
        <v/>
      </c>
      <c r="Y47" s="10" t="str">
        <f aca="false">IF(C47="","",IF(OR(T47="unsuitable",T47="retired",X47="no"),"—",IF(J47="","unrated",IF(AND(X47="full",J47&gt;=Settings!$C$5,OR(O47="untested",O47&gt;=Settings!$C$6)),"A",IF(AND(OR(X47="full",X47="reduced"),J47&gt;=Settings!$C$7,OR(O47="untested",O47&gt;=Settings!$C$8)),"B","C")))))</f>
        <v/>
      </c>
      <c r="Z47" s="11" t="str">
        <f aca="false">IF(C47="","",IF(P47&lt;&gt;"",P47,Y47))</f>
        <v/>
      </c>
    </row>
    <row r="48" customFormat="false" ht="15" hidden="false" customHeight="false" outlineLevel="0" collapsed="false">
      <c r="A48" s="9"/>
      <c r="B48" s="10" t="str">
        <f aca="false">IF(A48="","",IFERROR(INDEX(Parks!$A$2:$A$255,MATCH(A48,Parks!$B$2:$B$255,0)),"?"))</f>
        <v/>
      </c>
      <c r="C48" s="9"/>
      <c r="D48" s="10" t="str">
        <f aca="false">IF(C48="","",IF(SUMPRODUCT(--ISNUMBER(SEARCH({"Nets","Wicket","Diamond","Softball","T-ball","Baseball","Netball","Tennis","Bocce","Pentaque","Petanque","Skate","Car Park","Pond","Bridle","Amphitheatre","Perimeter","Passive"},C48)))&gt;0,"no",IF(SUMPRODUCT(--ISNUMBER(SEARCH({"Cricket","Junior","Mini","Summer Football","Small"},C48)))&gt;0,"reduced",IF(SUMPRODUCT(--ISNUMBER(SEARCH({"Rugby","Football","League","Touch","Gaelic","Australian","Lacrosse","General Sport","Training Area","Ultimate"},C48)))&gt;0,"full","unknown"))))</f>
        <v/>
      </c>
      <c r="E48" s="9"/>
      <c r="F48" s="9"/>
      <c r="G48" s="9"/>
      <c r="H48" s="9"/>
      <c r="I48" s="12"/>
      <c r="J48" s="9"/>
      <c r="K48" s="9"/>
      <c r="L48" s="9"/>
      <c r="M48" s="9"/>
      <c r="N48" s="9"/>
      <c r="O48" s="13" t="str">
        <f aca="false">IF(C48="","",IF(N(M48)+N(N48)&lt;Settings!$C$9,"untested",M48/(M48+N48)))</f>
        <v/>
      </c>
      <c r="P48" s="9"/>
      <c r="Q48" s="9"/>
      <c r="R48" s="9"/>
      <c r="S48" s="12"/>
      <c r="T48" s="9"/>
      <c r="U48" s="9"/>
      <c r="V48" s="9"/>
      <c r="W48" s="10" t="str">
        <f aca="false">IF(C48="","",IF(OR(G48="training",G48="full"),"Yes",IF(G48="none","No","?")))</f>
        <v/>
      </c>
      <c r="X48" s="10" t="str">
        <f aca="false">IF(C48="","",IF(OR(E48="",E48="unknown"),D48,E48))</f>
        <v/>
      </c>
      <c r="Y48" s="10" t="str">
        <f aca="false">IF(C48="","",IF(OR(T48="unsuitable",T48="retired",X48="no"),"—",IF(J48="","unrated",IF(AND(X48="full",J48&gt;=Settings!$C$5,OR(O48="untested",O48&gt;=Settings!$C$6)),"A",IF(AND(OR(X48="full",X48="reduced"),J48&gt;=Settings!$C$7,OR(O48="untested",O48&gt;=Settings!$C$8)),"B","C")))))</f>
        <v/>
      </c>
      <c r="Z48" s="11" t="str">
        <f aca="false">IF(C48="","",IF(P48&lt;&gt;"",P48,Y48))</f>
        <v/>
      </c>
    </row>
    <row r="49" customFormat="false" ht="15" hidden="false" customHeight="false" outlineLevel="0" collapsed="false">
      <c r="A49" s="9"/>
      <c r="B49" s="10" t="str">
        <f aca="false">IF(A49="","",IFERROR(INDEX(Parks!$A$2:$A$255,MATCH(A49,Parks!$B$2:$B$255,0)),"?"))</f>
        <v/>
      </c>
      <c r="C49" s="9"/>
      <c r="D49" s="10" t="str">
        <f aca="false">IF(C49="","",IF(SUMPRODUCT(--ISNUMBER(SEARCH({"Nets","Wicket","Diamond","Softball","T-ball","Baseball","Netball","Tennis","Bocce","Pentaque","Petanque","Skate","Car Park","Pond","Bridle","Amphitheatre","Perimeter","Passive"},C49)))&gt;0,"no",IF(SUMPRODUCT(--ISNUMBER(SEARCH({"Cricket","Junior","Mini","Summer Football","Small"},C49)))&gt;0,"reduced",IF(SUMPRODUCT(--ISNUMBER(SEARCH({"Rugby","Football","League","Touch","Gaelic","Australian","Lacrosse","General Sport","Training Area","Ultimate"},C49)))&gt;0,"full","unknown"))))</f>
        <v/>
      </c>
      <c r="E49" s="9"/>
      <c r="F49" s="9"/>
      <c r="G49" s="9"/>
      <c r="H49" s="9"/>
      <c r="I49" s="12"/>
      <c r="J49" s="9"/>
      <c r="K49" s="9"/>
      <c r="L49" s="9"/>
      <c r="M49" s="9"/>
      <c r="N49" s="9"/>
      <c r="O49" s="13" t="str">
        <f aca="false">IF(C49="","",IF(N(M49)+N(N49)&lt;Settings!$C$9,"untested",M49/(M49+N49)))</f>
        <v/>
      </c>
      <c r="P49" s="9"/>
      <c r="Q49" s="9"/>
      <c r="R49" s="9"/>
      <c r="S49" s="12"/>
      <c r="T49" s="9"/>
      <c r="U49" s="9"/>
      <c r="V49" s="9"/>
      <c r="W49" s="10" t="str">
        <f aca="false">IF(C49="","",IF(OR(G49="training",G49="full"),"Yes",IF(G49="none","No","?")))</f>
        <v/>
      </c>
      <c r="X49" s="10" t="str">
        <f aca="false">IF(C49="","",IF(OR(E49="",E49="unknown"),D49,E49))</f>
        <v/>
      </c>
      <c r="Y49" s="10" t="str">
        <f aca="false">IF(C49="","",IF(OR(T49="unsuitable",T49="retired",X49="no"),"—",IF(J49="","unrated",IF(AND(X49="full",J49&gt;=Settings!$C$5,OR(O49="untested",O49&gt;=Settings!$C$6)),"A",IF(AND(OR(X49="full",X49="reduced"),J49&gt;=Settings!$C$7,OR(O49="untested",O49&gt;=Settings!$C$8)),"B","C")))))</f>
        <v/>
      </c>
      <c r="Z49" s="11" t="str">
        <f aca="false">IF(C49="","",IF(P49&lt;&gt;"",P49,Y49))</f>
        <v/>
      </c>
    </row>
    <row r="50" customFormat="false" ht="15" hidden="false" customHeight="false" outlineLevel="0" collapsed="false">
      <c r="A50" s="9"/>
      <c r="B50" s="10" t="str">
        <f aca="false">IF(A50="","",IFERROR(INDEX(Parks!$A$2:$A$255,MATCH(A50,Parks!$B$2:$B$255,0)),"?"))</f>
        <v/>
      </c>
      <c r="C50" s="9"/>
      <c r="D50" s="10" t="str">
        <f aca="false">IF(C50="","",IF(SUMPRODUCT(--ISNUMBER(SEARCH({"Nets","Wicket","Diamond","Softball","T-ball","Baseball","Netball","Tennis","Bocce","Pentaque","Petanque","Skate","Car Park","Pond","Bridle","Amphitheatre","Perimeter","Passive"},C50)))&gt;0,"no",IF(SUMPRODUCT(--ISNUMBER(SEARCH({"Cricket","Junior","Mini","Summer Football","Small"},C50)))&gt;0,"reduced",IF(SUMPRODUCT(--ISNUMBER(SEARCH({"Rugby","Football","League","Touch","Gaelic","Australian","Lacrosse","General Sport","Training Area","Ultimate"},C50)))&gt;0,"full","unknown"))))</f>
        <v/>
      </c>
      <c r="E50" s="9"/>
      <c r="F50" s="9"/>
      <c r="G50" s="9"/>
      <c r="H50" s="9"/>
      <c r="I50" s="12"/>
      <c r="J50" s="9"/>
      <c r="K50" s="9"/>
      <c r="L50" s="9"/>
      <c r="M50" s="9"/>
      <c r="N50" s="9"/>
      <c r="O50" s="13" t="str">
        <f aca="false">IF(C50="","",IF(N(M50)+N(N50)&lt;Settings!$C$9,"untested",M50/(M50+N50)))</f>
        <v/>
      </c>
      <c r="P50" s="9"/>
      <c r="Q50" s="9"/>
      <c r="R50" s="9"/>
      <c r="S50" s="12"/>
      <c r="T50" s="9"/>
      <c r="U50" s="9"/>
      <c r="V50" s="9"/>
      <c r="W50" s="10" t="str">
        <f aca="false">IF(C50="","",IF(OR(G50="training",G50="full"),"Yes",IF(G50="none","No","?")))</f>
        <v/>
      </c>
      <c r="X50" s="10" t="str">
        <f aca="false">IF(C50="","",IF(OR(E50="",E50="unknown"),D50,E50))</f>
        <v/>
      </c>
      <c r="Y50" s="10" t="str">
        <f aca="false">IF(C50="","",IF(OR(T50="unsuitable",T50="retired",X50="no"),"—",IF(J50="","unrated",IF(AND(X50="full",J50&gt;=Settings!$C$5,OR(O50="untested",O50&gt;=Settings!$C$6)),"A",IF(AND(OR(X50="full",X50="reduced"),J50&gt;=Settings!$C$7,OR(O50="untested",O50&gt;=Settings!$C$8)),"B","C")))))</f>
        <v/>
      </c>
      <c r="Z50" s="11" t="str">
        <f aca="false">IF(C50="","",IF(P50&lt;&gt;"",P50,Y50))</f>
        <v/>
      </c>
    </row>
    <row r="51" customFormat="false" ht="15" hidden="false" customHeight="false" outlineLevel="0" collapsed="false">
      <c r="A51" s="9"/>
      <c r="B51" s="10" t="str">
        <f aca="false">IF(A51="","",IFERROR(INDEX(Parks!$A$2:$A$255,MATCH(A51,Parks!$B$2:$B$255,0)),"?"))</f>
        <v/>
      </c>
      <c r="C51" s="9"/>
      <c r="D51" s="10" t="str">
        <f aca="false">IF(C51="","",IF(SUMPRODUCT(--ISNUMBER(SEARCH({"Nets","Wicket","Diamond","Softball","T-ball","Baseball","Netball","Tennis","Bocce","Pentaque","Petanque","Skate","Car Park","Pond","Bridle","Amphitheatre","Perimeter","Passive"},C51)))&gt;0,"no",IF(SUMPRODUCT(--ISNUMBER(SEARCH({"Cricket","Junior","Mini","Summer Football","Small"},C51)))&gt;0,"reduced",IF(SUMPRODUCT(--ISNUMBER(SEARCH({"Rugby","Football","League","Touch","Gaelic","Australian","Lacrosse","General Sport","Training Area","Ultimate"},C51)))&gt;0,"full","unknown"))))</f>
        <v/>
      </c>
      <c r="E51" s="9"/>
      <c r="F51" s="9"/>
      <c r="G51" s="9"/>
      <c r="H51" s="9"/>
      <c r="I51" s="12"/>
      <c r="J51" s="9"/>
      <c r="K51" s="9"/>
      <c r="L51" s="9"/>
      <c r="M51" s="9"/>
      <c r="N51" s="9"/>
      <c r="O51" s="13" t="str">
        <f aca="false">IF(C51="","",IF(N(M51)+N(N51)&lt;Settings!$C$9,"untested",M51/(M51+N51)))</f>
        <v/>
      </c>
      <c r="P51" s="9"/>
      <c r="Q51" s="9"/>
      <c r="R51" s="9"/>
      <c r="S51" s="12"/>
      <c r="T51" s="9"/>
      <c r="U51" s="9"/>
      <c r="V51" s="9"/>
      <c r="W51" s="10" t="str">
        <f aca="false">IF(C51="","",IF(OR(G51="training",G51="full"),"Yes",IF(G51="none","No","?")))</f>
        <v/>
      </c>
      <c r="X51" s="10" t="str">
        <f aca="false">IF(C51="","",IF(OR(E51="",E51="unknown"),D51,E51))</f>
        <v/>
      </c>
      <c r="Y51" s="10" t="str">
        <f aca="false">IF(C51="","",IF(OR(T51="unsuitable",T51="retired",X51="no"),"—",IF(J51="","unrated",IF(AND(X51="full",J51&gt;=Settings!$C$5,OR(O51="untested",O51&gt;=Settings!$C$6)),"A",IF(AND(OR(X51="full",X51="reduced"),J51&gt;=Settings!$C$7,OR(O51="untested",O51&gt;=Settings!$C$8)),"B","C")))))</f>
        <v/>
      </c>
      <c r="Z51" s="11" t="str">
        <f aca="false">IF(C51="","",IF(P51&lt;&gt;"",P51,Y51))</f>
        <v/>
      </c>
    </row>
    <row r="52" customFormat="false" ht="15" hidden="false" customHeight="false" outlineLevel="0" collapsed="false">
      <c r="A52" s="9"/>
      <c r="B52" s="10" t="str">
        <f aca="false">IF(A52="","",IFERROR(INDEX(Parks!$A$2:$A$255,MATCH(A52,Parks!$B$2:$B$255,0)),"?"))</f>
        <v/>
      </c>
      <c r="C52" s="9"/>
      <c r="D52" s="10" t="str">
        <f aca="false">IF(C52="","",IF(SUMPRODUCT(--ISNUMBER(SEARCH({"Nets","Wicket","Diamond","Softball","T-ball","Baseball","Netball","Tennis","Bocce","Pentaque","Petanque","Skate","Car Park","Pond","Bridle","Amphitheatre","Perimeter","Passive"},C52)))&gt;0,"no",IF(SUMPRODUCT(--ISNUMBER(SEARCH({"Cricket","Junior","Mini","Summer Football","Small"},C52)))&gt;0,"reduced",IF(SUMPRODUCT(--ISNUMBER(SEARCH({"Rugby","Football","League","Touch","Gaelic","Australian","Lacrosse","General Sport","Training Area","Ultimate"},C52)))&gt;0,"full","unknown"))))</f>
        <v/>
      </c>
      <c r="E52" s="9"/>
      <c r="F52" s="9"/>
      <c r="G52" s="9"/>
      <c r="H52" s="9"/>
      <c r="I52" s="12"/>
      <c r="J52" s="9"/>
      <c r="K52" s="9"/>
      <c r="L52" s="9"/>
      <c r="M52" s="9"/>
      <c r="N52" s="9"/>
      <c r="O52" s="13" t="str">
        <f aca="false">IF(C52="","",IF(N(M52)+N(N52)&lt;Settings!$C$9,"untested",M52/(M52+N52)))</f>
        <v/>
      </c>
      <c r="P52" s="9"/>
      <c r="Q52" s="9"/>
      <c r="R52" s="9"/>
      <c r="S52" s="12"/>
      <c r="T52" s="9"/>
      <c r="U52" s="9"/>
      <c r="V52" s="9"/>
      <c r="W52" s="10" t="str">
        <f aca="false">IF(C52="","",IF(OR(G52="training",G52="full"),"Yes",IF(G52="none","No","?")))</f>
        <v/>
      </c>
      <c r="X52" s="10" t="str">
        <f aca="false">IF(C52="","",IF(OR(E52="",E52="unknown"),D52,E52))</f>
        <v/>
      </c>
      <c r="Y52" s="10" t="str">
        <f aca="false">IF(C52="","",IF(OR(T52="unsuitable",T52="retired",X52="no"),"—",IF(J52="","unrated",IF(AND(X52="full",J52&gt;=Settings!$C$5,OR(O52="untested",O52&gt;=Settings!$C$6)),"A",IF(AND(OR(X52="full",X52="reduced"),J52&gt;=Settings!$C$7,OR(O52="untested",O52&gt;=Settings!$C$8)),"B","C")))))</f>
        <v/>
      </c>
      <c r="Z52" s="11" t="str">
        <f aca="false">IF(C52="","",IF(P52&lt;&gt;"",P52,Y52))</f>
        <v/>
      </c>
    </row>
    <row r="53" customFormat="false" ht="15" hidden="false" customHeight="false" outlineLevel="0" collapsed="false">
      <c r="A53" s="9"/>
      <c r="B53" s="10" t="str">
        <f aca="false">IF(A53="","",IFERROR(INDEX(Parks!$A$2:$A$255,MATCH(A53,Parks!$B$2:$B$255,0)),"?"))</f>
        <v/>
      </c>
      <c r="C53" s="9"/>
      <c r="D53" s="10" t="str">
        <f aca="false">IF(C53="","",IF(SUMPRODUCT(--ISNUMBER(SEARCH({"Nets","Wicket","Diamond","Softball","T-ball","Baseball","Netball","Tennis","Bocce","Pentaque","Petanque","Skate","Car Park","Pond","Bridle","Amphitheatre","Perimeter","Passive"},C53)))&gt;0,"no",IF(SUMPRODUCT(--ISNUMBER(SEARCH({"Cricket","Junior","Mini","Summer Football","Small"},C53)))&gt;0,"reduced",IF(SUMPRODUCT(--ISNUMBER(SEARCH({"Rugby","Football","League","Touch","Gaelic","Australian","Lacrosse","General Sport","Training Area","Ultimate"},C53)))&gt;0,"full","unknown"))))</f>
        <v/>
      </c>
      <c r="E53" s="9"/>
      <c r="F53" s="9"/>
      <c r="G53" s="9"/>
      <c r="H53" s="9"/>
      <c r="I53" s="12"/>
      <c r="J53" s="9"/>
      <c r="K53" s="9"/>
      <c r="L53" s="9"/>
      <c r="M53" s="9"/>
      <c r="N53" s="9"/>
      <c r="O53" s="13" t="str">
        <f aca="false">IF(C53="","",IF(N(M53)+N(N53)&lt;Settings!$C$9,"untested",M53/(M53+N53)))</f>
        <v/>
      </c>
      <c r="P53" s="9"/>
      <c r="Q53" s="9"/>
      <c r="R53" s="9"/>
      <c r="S53" s="12"/>
      <c r="T53" s="9"/>
      <c r="U53" s="9"/>
      <c r="V53" s="9"/>
      <c r="W53" s="10" t="str">
        <f aca="false">IF(C53="","",IF(OR(G53="training",G53="full"),"Yes",IF(G53="none","No","?")))</f>
        <v/>
      </c>
      <c r="X53" s="10" t="str">
        <f aca="false">IF(C53="","",IF(OR(E53="",E53="unknown"),D53,E53))</f>
        <v/>
      </c>
      <c r="Y53" s="10" t="str">
        <f aca="false">IF(C53="","",IF(OR(T53="unsuitable",T53="retired",X53="no"),"—",IF(J53="","unrated",IF(AND(X53="full",J53&gt;=Settings!$C$5,OR(O53="untested",O53&gt;=Settings!$C$6)),"A",IF(AND(OR(X53="full",X53="reduced"),J53&gt;=Settings!$C$7,OR(O53="untested",O53&gt;=Settings!$C$8)),"B","C")))))</f>
        <v/>
      </c>
      <c r="Z53" s="11" t="str">
        <f aca="false">IF(C53="","",IF(P53&lt;&gt;"",P53,Y53))</f>
        <v/>
      </c>
    </row>
    <row r="54" customFormat="false" ht="15" hidden="false" customHeight="false" outlineLevel="0" collapsed="false">
      <c r="A54" s="9"/>
      <c r="B54" s="10" t="str">
        <f aca="false">IF(A54="","",IFERROR(INDEX(Parks!$A$2:$A$255,MATCH(A54,Parks!$B$2:$B$255,0)),"?"))</f>
        <v/>
      </c>
      <c r="C54" s="9"/>
      <c r="D54" s="10" t="str">
        <f aca="false">IF(C54="","",IF(SUMPRODUCT(--ISNUMBER(SEARCH({"Nets","Wicket","Diamond","Softball","T-ball","Baseball","Netball","Tennis","Bocce","Pentaque","Petanque","Skate","Car Park","Pond","Bridle","Amphitheatre","Perimeter","Passive"},C54)))&gt;0,"no",IF(SUMPRODUCT(--ISNUMBER(SEARCH({"Cricket","Junior","Mini","Summer Football","Small"},C54)))&gt;0,"reduced",IF(SUMPRODUCT(--ISNUMBER(SEARCH({"Rugby","Football","League","Touch","Gaelic","Australian","Lacrosse","General Sport","Training Area","Ultimate"},C54)))&gt;0,"full","unknown"))))</f>
        <v/>
      </c>
      <c r="E54" s="9"/>
      <c r="F54" s="9"/>
      <c r="G54" s="9"/>
      <c r="H54" s="9"/>
      <c r="I54" s="12"/>
      <c r="J54" s="9"/>
      <c r="K54" s="9"/>
      <c r="L54" s="9"/>
      <c r="M54" s="9"/>
      <c r="N54" s="9"/>
      <c r="O54" s="13" t="str">
        <f aca="false">IF(C54="","",IF(N(M54)+N(N54)&lt;Settings!$C$9,"untested",M54/(M54+N54)))</f>
        <v/>
      </c>
      <c r="P54" s="9"/>
      <c r="Q54" s="9"/>
      <c r="R54" s="9"/>
      <c r="S54" s="12"/>
      <c r="T54" s="9"/>
      <c r="U54" s="9"/>
      <c r="V54" s="9"/>
      <c r="W54" s="10" t="str">
        <f aca="false">IF(C54="","",IF(OR(G54="training",G54="full"),"Yes",IF(G54="none","No","?")))</f>
        <v/>
      </c>
      <c r="X54" s="10" t="str">
        <f aca="false">IF(C54="","",IF(OR(E54="",E54="unknown"),D54,E54))</f>
        <v/>
      </c>
      <c r="Y54" s="10" t="str">
        <f aca="false">IF(C54="","",IF(OR(T54="unsuitable",T54="retired",X54="no"),"—",IF(J54="","unrated",IF(AND(X54="full",J54&gt;=Settings!$C$5,OR(O54="untested",O54&gt;=Settings!$C$6)),"A",IF(AND(OR(X54="full",X54="reduced"),J54&gt;=Settings!$C$7,OR(O54="untested",O54&gt;=Settings!$C$8)),"B","C")))))</f>
        <v/>
      </c>
      <c r="Z54" s="11" t="str">
        <f aca="false">IF(C54="","",IF(P54&lt;&gt;"",P54,Y54))</f>
        <v/>
      </c>
    </row>
    <row r="55" customFormat="false" ht="15" hidden="false" customHeight="false" outlineLevel="0" collapsed="false">
      <c r="A55" s="9"/>
      <c r="B55" s="10" t="str">
        <f aca="false">IF(A55="","",IFERROR(INDEX(Parks!$A$2:$A$255,MATCH(A55,Parks!$B$2:$B$255,0)),"?"))</f>
        <v/>
      </c>
      <c r="C55" s="9"/>
      <c r="D55" s="10" t="str">
        <f aca="false">IF(C55="","",IF(SUMPRODUCT(--ISNUMBER(SEARCH({"Nets","Wicket","Diamond","Softball","T-ball","Baseball","Netball","Tennis","Bocce","Pentaque","Petanque","Skate","Car Park","Pond","Bridle","Amphitheatre","Perimeter","Passive"},C55)))&gt;0,"no",IF(SUMPRODUCT(--ISNUMBER(SEARCH({"Cricket","Junior","Mini","Summer Football","Small"},C55)))&gt;0,"reduced",IF(SUMPRODUCT(--ISNUMBER(SEARCH({"Rugby","Football","League","Touch","Gaelic","Australian","Lacrosse","General Sport","Training Area","Ultimate"},C55)))&gt;0,"full","unknown"))))</f>
        <v/>
      </c>
      <c r="E55" s="9"/>
      <c r="F55" s="9"/>
      <c r="G55" s="9"/>
      <c r="H55" s="9"/>
      <c r="I55" s="12"/>
      <c r="J55" s="9"/>
      <c r="K55" s="9"/>
      <c r="L55" s="9"/>
      <c r="M55" s="9"/>
      <c r="N55" s="9"/>
      <c r="O55" s="13" t="str">
        <f aca="false">IF(C55="","",IF(N(M55)+N(N55)&lt;Settings!$C$9,"untested",M55/(M55+N55)))</f>
        <v/>
      </c>
      <c r="P55" s="9"/>
      <c r="Q55" s="9"/>
      <c r="R55" s="9"/>
      <c r="S55" s="12"/>
      <c r="T55" s="9"/>
      <c r="U55" s="9"/>
      <c r="V55" s="9"/>
      <c r="W55" s="10" t="str">
        <f aca="false">IF(C55="","",IF(OR(G55="training",G55="full"),"Yes",IF(G55="none","No","?")))</f>
        <v/>
      </c>
      <c r="X55" s="10" t="str">
        <f aca="false">IF(C55="","",IF(OR(E55="",E55="unknown"),D55,E55))</f>
        <v/>
      </c>
      <c r="Y55" s="10" t="str">
        <f aca="false">IF(C55="","",IF(OR(T55="unsuitable",T55="retired",X55="no"),"—",IF(J55="","unrated",IF(AND(X55="full",J55&gt;=Settings!$C$5,OR(O55="untested",O55&gt;=Settings!$C$6)),"A",IF(AND(OR(X55="full",X55="reduced"),J55&gt;=Settings!$C$7,OR(O55="untested",O55&gt;=Settings!$C$8)),"B","C")))))</f>
        <v/>
      </c>
      <c r="Z55" s="11" t="str">
        <f aca="false">IF(C55="","",IF(P55&lt;&gt;"",P55,Y55))</f>
        <v/>
      </c>
    </row>
    <row r="56" customFormat="false" ht="15" hidden="false" customHeight="false" outlineLevel="0" collapsed="false">
      <c r="A56" s="9"/>
      <c r="B56" s="10" t="str">
        <f aca="false">IF(A56="","",IFERROR(INDEX(Parks!$A$2:$A$255,MATCH(A56,Parks!$B$2:$B$255,0)),"?"))</f>
        <v/>
      </c>
      <c r="C56" s="9"/>
      <c r="D56" s="10" t="str">
        <f aca="false">IF(C56="","",IF(SUMPRODUCT(--ISNUMBER(SEARCH({"Nets","Wicket","Diamond","Softball","T-ball","Baseball","Netball","Tennis","Bocce","Pentaque","Petanque","Skate","Car Park","Pond","Bridle","Amphitheatre","Perimeter","Passive"},C56)))&gt;0,"no",IF(SUMPRODUCT(--ISNUMBER(SEARCH({"Cricket","Junior","Mini","Summer Football","Small"},C56)))&gt;0,"reduced",IF(SUMPRODUCT(--ISNUMBER(SEARCH({"Rugby","Football","League","Touch","Gaelic","Australian","Lacrosse","General Sport","Training Area","Ultimate"},C56)))&gt;0,"full","unknown"))))</f>
        <v/>
      </c>
      <c r="E56" s="9"/>
      <c r="F56" s="9"/>
      <c r="G56" s="9"/>
      <c r="H56" s="9"/>
      <c r="I56" s="12"/>
      <c r="J56" s="9"/>
      <c r="K56" s="9"/>
      <c r="L56" s="9"/>
      <c r="M56" s="9"/>
      <c r="N56" s="9"/>
      <c r="O56" s="13" t="str">
        <f aca="false">IF(C56="","",IF(N(M56)+N(N56)&lt;Settings!$C$9,"untested",M56/(M56+N56)))</f>
        <v/>
      </c>
      <c r="P56" s="9"/>
      <c r="Q56" s="9"/>
      <c r="R56" s="9"/>
      <c r="S56" s="12"/>
      <c r="T56" s="9"/>
      <c r="U56" s="9"/>
      <c r="V56" s="9"/>
      <c r="W56" s="10" t="str">
        <f aca="false">IF(C56="","",IF(OR(G56="training",G56="full"),"Yes",IF(G56="none","No","?")))</f>
        <v/>
      </c>
      <c r="X56" s="10" t="str">
        <f aca="false">IF(C56="","",IF(OR(E56="",E56="unknown"),D56,E56))</f>
        <v/>
      </c>
      <c r="Y56" s="10" t="str">
        <f aca="false">IF(C56="","",IF(OR(T56="unsuitable",T56="retired",X56="no"),"—",IF(J56="","unrated",IF(AND(X56="full",J56&gt;=Settings!$C$5,OR(O56="untested",O56&gt;=Settings!$C$6)),"A",IF(AND(OR(X56="full",X56="reduced"),J56&gt;=Settings!$C$7,OR(O56="untested",O56&gt;=Settings!$C$8)),"B","C")))))</f>
        <v/>
      </c>
      <c r="Z56" s="11" t="str">
        <f aca="false">IF(C56="","",IF(P56&lt;&gt;"",P56,Y56))</f>
        <v/>
      </c>
    </row>
    <row r="57" customFormat="false" ht="15" hidden="false" customHeight="false" outlineLevel="0" collapsed="false">
      <c r="A57" s="9"/>
      <c r="B57" s="10" t="str">
        <f aca="false">IF(A57="","",IFERROR(INDEX(Parks!$A$2:$A$255,MATCH(A57,Parks!$B$2:$B$255,0)),"?"))</f>
        <v/>
      </c>
      <c r="C57" s="9"/>
      <c r="D57" s="10" t="str">
        <f aca="false">IF(C57="","",IF(SUMPRODUCT(--ISNUMBER(SEARCH({"Nets","Wicket","Diamond","Softball","T-ball","Baseball","Netball","Tennis","Bocce","Pentaque","Petanque","Skate","Car Park","Pond","Bridle","Amphitheatre","Perimeter","Passive"},C57)))&gt;0,"no",IF(SUMPRODUCT(--ISNUMBER(SEARCH({"Cricket","Junior","Mini","Summer Football","Small"},C57)))&gt;0,"reduced",IF(SUMPRODUCT(--ISNUMBER(SEARCH({"Rugby","Football","League","Touch","Gaelic","Australian","Lacrosse","General Sport","Training Area","Ultimate"},C57)))&gt;0,"full","unknown"))))</f>
        <v/>
      </c>
      <c r="E57" s="9"/>
      <c r="F57" s="9"/>
      <c r="G57" s="9"/>
      <c r="H57" s="9"/>
      <c r="I57" s="12"/>
      <c r="J57" s="9"/>
      <c r="K57" s="9"/>
      <c r="L57" s="9"/>
      <c r="M57" s="9"/>
      <c r="N57" s="9"/>
      <c r="O57" s="13" t="str">
        <f aca="false">IF(C57="","",IF(N(M57)+N(N57)&lt;Settings!$C$9,"untested",M57/(M57+N57)))</f>
        <v/>
      </c>
      <c r="P57" s="9"/>
      <c r="Q57" s="9"/>
      <c r="R57" s="9"/>
      <c r="S57" s="12"/>
      <c r="T57" s="9"/>
      <c r="U57" s="9"/>
      <c r="V57" s="9"/>
      <c r="W57" s="10" t="str">
        <f aca="false">IF(C57="","",IF(OR(G57="training",G57="full"),"Yes",IF(G57="none","No","?")))</f>
        <v/>
      </c>
      <c r="X57" s="10" t="str">
        <f aca="false">IF(C57="","",IF(OR(E57="",E57="unknown"),D57,E57))</f>
        <v/>
      </c>
      <c r="Y57" s="10" t="str">
        <f aca="false">IF(C57="","",IF(OR(T57="unsuitable",T57="retired",X57="no"),"—",IF(J57="","unrated",IF(AND(X57="full",J57&gt;=Settings!$C$5,OR(O57="untested",O57&gt;=Settings!$C$6)),"A",IF(AND(OR(X57="full",X57="reduced"),J57&gt;=Settings!$C$7,OR(O57="untested",O57&gt;=Settings!$C$8)),"B","C")))))</f>
        <v/>
      </c>
      <c r="Z57" s="11" t="str">
        <f aca="false">IF(C57="","",IF(P57&lt;&gt;"",P57,Y57))</f>
        <v/>
      </c>
    </row>
    <row r="58" customFormat="false" ht="15" hidden="false" customHeight="false" outlineLevel="0" collapsed="false">
      <c r="A58" s="9"/>
      <c r="B58" s="10" t="str">
        <f aca="false">IF(A58="","",IFERROR(INDEX(Parks!$A$2:$A$255,MATCH(A58,Parks!$B$2:$B$255,0)),"?"))</f>
        <v/>
      </c>
      <c r="C58" s="9"/>
      <c r="D58" s="10" t="str">
        <f aca="false">IF(C58="","",IF(SUMPRODUCT(--ISNUMBER(SEARCH({"Nets","Wicket","Diamond","Softball","T-ball","Baseball","Netball","Tennis","Bocce","Pentaque","Petanque","Skate","Car Park","Pond","Bridle","Amphitheatre","Perimeter","Passive"},C58)))&gt;0,"no",IF(SUMPRODUCT(--ISNUMBER(SEARCH({"Cricket","Junior","Mini","Summer Football","Small"},C58)))&gt;0,"reduced",IF(SUMPRODUCT(--ISNUMBER(SEARCH({"Rugby","Football","League","Touch","Gaelic","Australian","Lacrosse","General Sport","Training Area","Ultimate"},C58)))&gt;0,"full","unknown"))))</f>
        <v/>
      </c>
      <c r="E58" s="9"/>
      <c r="F58" s="9"/>
      <c r="G58" s="9"/>
      <c r="H58" s="9"/>
      <c r="I58" s="12"/>
      <c r="J58" s="9"/>
      <c r="K58" s="9"/>
      <c r="L58" s="9"/>
      <c r="M58" s="9"/>
      <c r="N58" s="9"/>
      <c r="O58" s="13" t="str">
        <f aca="false">IF(C58="","",IF(N(M58)+N(N58)&lt;Settings!$C$9,"untested",M58/(M58+N58)))</f>
        <v/>
      </c>
      <c r="P58" s="9"/>
      <c r="Q58" s="9"/>
      <c r="R58" s="9"/>
      <c r="S58" s="12"/>
      <c r="T58" s="9"/>
      <c r="U58" s="9"/>
      <c r="V58" s="9"/>
      <c r="W58" s="10" t="str">
        <f aca="false">IF(C58="","",IF(OR(G58="training",G58="full"),"Yes",IF(G58="none","No","?")))</f>
        <v/>
      </c>
      <c r="X58" s="10" t="str">
        <f aca="false">IF(C58="","",IF(OR(E58="",E58="unknown"),D58,E58))</f>
        <v/>
      </c>
      <c r="Y58" s="10" t="str">
        <f aca="false">IF(C58="","",IF(OR(T58="unsuitable",T58="retired",X58="no"),"—",IF(J58="","unrated",IF(AND(X58="full",J58&gt;=Settings!$C$5,OR(O58="untested",O58&gt;=Settings!$C$6)),"A",IF(AND(OR(X58="full",X58="reduced"),J58&gt;=Settings!$C$7,OR(O58="untested",O58&gt;=Settings!$C$8)),"B","C")))))</f>
        <v/>
      </c>
      <c r="Z58" s="11" t="str">
        <f aca="false">IF(C58="","",IF(P58&lt;&gt;"",P58,Y58))</f>
        <v/>
      </c>
    </row>
    <row r="59" customFormat="false" ht="15" hidden="false" customHeight="false" outlineLevel="0" collapsed="false">
      <c r="A59" s="9"/>
      <c r="B59" s="10" t="str">
        <f aca="false">IF(A59="","",IFERROR(INDEX(Parks!$A$2:$A$255,MATCH(A59,Parks!$B$2:$B$255,0)),"?"))</f>
        <v/>
      </c>
      <c r="C59" s="9"/>
      <c r="D59" s="10" t="str">
        <f aca="false">IF(C59="","",IF(SUMPRODUCT(--ISNUMBER(SEARCH({"Nets","Wicket","Diamond","Softball","T-ball","Baseball","Netball","Tennis","Bocce","Pentaque","Petanque","Skate","Car Park","Pond","Bridle","Amphitheatre","Perimeter","Passive"},C59)))&gt;0,"no",IF(SUMPRODUCT(--ISNUMBER(SEARCH({"Cricket","Junior","Mini","Summer Football","Small"},C59)))&gt;0,"reduced",IF(SUMPRODUCT(--ISNUMBER(SEARCH({"Rugby","Football","League","Touch","Gaelic","Australian","Lacrosse","General Sport","Training Area","Ultimate"},C59)))&gt;0,"full","unknown"))))</f>
        <v/>
      </c>
      <c r="E59" s="9"/>
      <c r="F59" s="9"/>
      <c r="G59" s="9"/>
      <c r="H59" s="9"/>
      <c r="I59" s="12"/>
      <c r="J59" s="9"/>
      <c r="K59" s="9"/>
      <c r="L59" s="9"/>
      <c r="M59" s="9"/>
      <c r="N59" s="9"/>
      <c r="O59" s="13" t="str">
        <f aca="false">IF(C59="","",IF(N(M59)+N(N59)&lt;Settings!$C$9,"untested",M59/(M59+N59)))</f>
        <v/>
      </c>
      <c r="P59" s="9"/>
      <c r="Q59" s="9"/>
      <c r="R59" s="9"/>
      <c r="S59" s="12"/>
      <c r="T59" s="9"/>
      <c r="U59" s="9"/>
      <c r="V59" s="9"/>
      <c r="W59" s="10" t="str">
        <f aca="false">IF(C59="","",IF(OR(G59="training",G59="full"),"Yes",IF(G59="none","No","?")))</f>
        <v/>
      </c>
      <c r="X59" s="10" t="str">
        <f aca="false">IF(C59="","",IF(OR(E59="",E59="unknown"),D59,E59))</f>
        <v/>
      </c>
      <c r="Y59" s="10" t="str">
        <f aca="false">IF(C59="","",IF(OR(T59="unsuitable",T59="retired",X59="no"),"—",IF(J59="","unrated",IF(AND(X59="full",J59&gt;=Settings!$C$5,OR(O59="untested",O59&gt;=Settings!$C$6)),"A",IF(AND(OR(X59="full",X59="reduced"),J59&gt;=Settings!$C$7,OR(O59="untested",O59&gt;=Settings!$C$8)),"B","C")))))</f>
        <v/>
      </c>
      <c r="Z59" s="11" t="str">
        <f aca="false">IF(C59="","",IF(P59&lt;&gt;"",P59,Y59))</f>
        <v/>
      </c>
    </row>
    <row r="60" customFormat="false" ht="15" hidden="false" customHeight="false" outlineLevel="0" collapsed="false">
      <c r="A60" s="9"/>
      <c r="B60" s="10" t="str">
        <f aca="false">IF(A60="","",IFERROR(INDEX(Parks!$A$2:$A$255,MATCH(A60,Parks!$B$2:$B$255,0)),"?"))</f>
        <v/>
      </c>
      <c r="C60" s="9"/>
      <c r="D60" s="10" t="str">
        <f aca="false">IF(C60="","",IF(SUMPRODUCT(--ISNUMBER(SEARCH({"Nets","Wicket","Diamond","Softball","T-ball","Baseball","Netball","Tennis","Bocce","Pentaque","Petanque","Skate","Car Park","Pond","Bridle","Amphitheatre","Perimeter","Passive"},C60)))&gt;0,"no",IF(SUMPRODUCT(--ISNUMBER(SEARCH({"Cricket","Junior","Mini","Summer Football","Small"},C60)))&gt;0,"reduced",IF(SUMPRODUCT(--ISNUMBER(SEARCH({"Rugby","Football","League","Touch","Gaelic","Australian","Lacrosse","General Sport","Training Area","Ultimate"},C60)))&gt;0,"full","unknown"))))</f>
        <v/>
      </c>
      <c r="E60" s="9"/>
      <c r="F60" s="9"/>
      <c r="G60" s="9"/>
      <c r="H60" s="9"/>
      <c r="I60" s="12"/>
      <c r="J60" s="9"/>
      <c r="K60" s="9"/>
      <c r="L60" s="9"/>
      <c r="M60" s="9"/>
      <c r="N60" s="9"/>
      <c r="O60" s="13" t="str">
        <f aca="false">IF(C60="","",IF(N(M60)+N(N60)&lt;Settings!$C$9,"untested",M60/(M60+N60)))</f>
        <v/>
      </c>
      <c r="P60" s="9"/>
      <c r="Q60" s="9"/>
      <c r="R60" s="9"/>
      <c r="S60" s="12"/>
      <c r="T60" s="9"/>
      <c r="U60" s="9"/>
      <c r="V60" s="9"/>
      <c r="W60" s="10" t="str">
        <f aca="false">IF(C60="","",IF(OR(G60="training",G60="full"),"Yes",IF(G60="none","No","?")))</f>
        <v/>
      </c>
      <c r="X60" s="10" t="str">
        <f aca="false">IF(C60="","",IF(OR(E60="",E60="unknown"),D60,E60))</f>
        <v/>
      </c>
      <c r="Y60" s="10" t="str">
        <f aca="false">IF(C60="","",IF(OR(T60="unsuitable",T60="retired",X60="no"),"—",IF(J60="","unrated",IF(AND(X60="full",J60&gt;=Settings!$C$5,OR(O60="untested",O60&gt;=Settings!$C$6)),"A",IF(AND(OR(X60="full",X60="reduced"),J60&gt;=Settings!$C$7,OR(O60="untested",O60&gt;=Settings!$C$8)),"B","C")))))</f>
        <v/>
      </c>
      <c r="Z60" s="11" t="str">
        <f aca="false">IF(C60="","",IF(P60&lt;&gt;"",P60,Y60))</f>
        <v/>
      </c>
    </row>
    <row r="61" customFormat="false" ht="15" hidden="false" customHeight="false" outlineLevel="0" collapsed="false">
      <c r="A61" s="9"/>
      <c r="B61" s="10" t="str">
        <f aca="false">IF(A61="","",IFERROR(INDEX(Parks!$A$2:$A$255,MATCH(A61,Parks!$B$2:$B$255,0)),"?"))</f>
        <v/>
      </c>
      <c r="C61" s="9"/>
      <c r="D61" s="10" t="str">
        <f aca="false">IF(C61="","",IF(SUMPRODUCT(--ISNUMBER(SEARCH({"Nets","Wicket","Diamond","Softball","T-ball","Baseball","Netball","Tennis","Bocce","Pentaque","Petanque","Skate","Car Park","Pond","Bridle","Amphitheatre","Perimeter","Passive"},C61)))&gt;0,"no",IF(SUMPRODUCT(--ISNUMBER(SEARCH({"Cricket","Junior","Mini","Summer Football","Small"},C61)))&gt;0,"reduced",IF(SUMPRODUCT(--ISNUMBER(SEARCH({"Rugby","Football","League","Touch","Gaelic","Australian","Lacrosse","General Sport","Training Area","Ultimate"},C61)))&gt;0,"full","unknown"))))</f>
        <v/>
      </c>
      <c r="E61" s="9"/>
      <c r="F61" s="9"/>
      <c r="G61" s="9"/>
      <c r="H61" s="9"/>
      <c r="I61" s="12"/>
      <c r="J61" s="9"/>
      <c r="K61" s="9"/>
      <c r="L61" s="9"/>
      <c r="M61" s="9"/>
      <c r="N61" s="9"/>
      <c r="O61" s="13" t="str">
        <f aca="false">IF(C61="","",IF(N(M61)+N(N61)&lt;Settings!$C$9,"untested",M61/(M61+N61)))</f>
        <v/>
      </c>
      <c r="P61" s="9"/>
      <c r="Q61" s="9"/>
      <c r="R61" s="9"/>
      <c r="S61" s="12"/>
      <c r="T61" s="9"/>
      <c r="U61" s="9"/>
      <c r="V61" s="9"/>
      <c r="W61" s="10" t="str">
        <f aca="false">IF(C61="","",IF(OR(G61="training",G61="full"),"Yes",IF(G61="none","No","?")))</f>
        <v/>
      </c>
      <c r="X61" s="10" t="str">
        <f aca="false">IF(C61="","",IF(OR(E61="",E61="unknown"),D61,E61))</f>
        <v/>
      </c>
      <c r="Y61" s="10" t="str">
        <f aca="false">IF(C61="","",IF(OR(T61="unsuitable",T61="retired",X61="no"),"—",IF(J61="","unrated",IF(AND(X61="full",J61&gt;=Settings!$C$5,OR(O61="untested",O61&gt;=Settings!$C$6)),"A",IF(AND(OR(X61="full",X61="reduced"),J61&gt;=Settings!$C$7,OR(O61="untested",O61&gt;=Settings!$C$8)),"B","C")))))</f>
        <v/>
      </c>
      <c r="Z61" s="11" t="str">
        <f aca="false">IF(C61="","",IF(P61&lt;&gt;"",P61,Y61))</f>
        <v/>
      </c>
    </row>
    <row r="62" customFormat="false" ht="15" hidden="false" customHeight="false" outlineLevel="0" collapsed="false">
      <c r="A62" s="9"/>
      <c r="B62" s="10" t="str">
        <f aca="false">IF(A62="","",IFERROR(INDEX(Parks!$A$2:$A$255,MATCH(A62,Parks!$B$2:$B$255,0)),"?"))</f>
        <v/>
      </c>
      <c r="C62" s="9"/>
      <c r="D62" s="10" t="str">
        <f aca="false">IF(C62="","",IF(SUMPRODUCT(--ISNUMBER(SEARCH({"Nets","Wicket","Diamond","Softball","T-ball","Baseball","Netball","Tennis","Bocce","Pentaque","Petanque","Skate","Car Park","Pond","Bridle","Amphitheatre","Perimeter","Passive"},C62)))&gt;0,"no",IF(SUMPRODUCT(--ISNUMBER(SEARCH({"Cricket","Junior","Mini","Summer Football","Small"},C62)))&gt;0,"reduced",IF(SUMPRODUCT(--ISNUMBER(SEARCH({"Rugby","Football","League","Touch","Gaelic","Australian","Lacrosse","General Sport","Training Area","Ultimate"},C62)))&gt;0,"full","unknown"))))</f>
        <v/>
      </c>
      <c r="E62" s="9"/>
      <c r="F62" s="9"/>
      <c r="G62" s="9"/>
      <c r="H62" s="9"/>
      <c r="I62" s="12"/>
      <c r="J62" s="9"/>
      <c r="K62" s="9"/>
      <c r="L62" s="9"/>
      <c r="M62" s="9"/>
      <c r="N62" s="9"/>
      <c r="O62" s="13" t="str">
        <f aca="false">IF(C62="","",IF(N(M62)+N(N62)&lt;Settings!$C$9,"untested",M62/(M62+N62)))</f>
        <v/>
      </c>
      <c r="P62" s="9"/>
      <c r="Q62" s="9"/>
      <c r="R62" s="9"/>
      <c r="S62" s="12"/>
      <c r="T62" s="9"/>
      <c r="U62" s="9"/>
      <c r="V62" s="9"/>
      <c r="W62" s="10" t="str">
        <f aca="false">IF(C62="","",IF(OR(G62="training",G62="full"),"Yes",IF(G62="none","No","?")))</f>
        <v/>
      </c>
      <c r="X62" s="10" t="str">
        <f aca="false">IF(C62="","",IF(OR(E62="",E62="unknown"),D62,E62))</f>
        <v/>
      </c>
      <c r="Y62" s="10" t="str">
        <f aca="false">IF(C62="","",IF(OR(T62="unsuitable",T62="retired",X62="no"),"—",IF(J62="","unrated",IF(AND(X62="full",J62&gt;=Settings!$C$5,OR(O62="untested",O62&gt;=Settings!$C$6)),"A",IF(AND(OR(X62="full",X62="reduced"),J62&gt;=Settings!$C$7,OR(O62="untested",O62&gt;=Settings!$C$8)),"B","C")))))</f>
        <v/>
      </c>
      <c r="Z62" s="11" t="str">
        <f aca="false">IF(C62="","",IF(P62&lt;&gt;"",P62,Y62))</f>
        <v/>
      </c>
    </row>
    <row r="63" customFormat="false" ht="15" hidden="false" customHeight="false" outlineLevel="0" collapsed="false">
      <c r="A63" s="9"/>
      <c r="B63" s="10" t="str">
        <f aca="false">IF(A63="","",IFERROR(INDEX(Parks!$A$2:$A$255,MATCH(A63,Parks!$B$2:$B$255,0)),"?"))</f>
        <v/>
      </c>
      <c r="C63" s="9"/>
      <c r="D63" s="10" t="str">
        <f aca="false">IF(C63="","",IF(SUMPRODUCT(--ISNUMBER(SEARCH({"Nets","Wicket","Diamond","Softball","T-ball","Baseball","Netball","Tennis","Bocce","Pentaque","Petanque","Skate","Car Park","Pond","Bridle","Amphitheatre","Perimeter","Passive"},C63)))&gt;0,"no",IF(SUMPRODUCT(--ISNUMBER(SEARCH({"Cricket","Junior","Mini","Summer Football","Small"},C63)))&gt;0,"reduced",IF(SUMPRODUCT(--ISNUMBER(SEARCH({"Rugby","Football","League","Touch","Gaelic","Australian","Lacrosse","General Sport","Training Area","Ultimate"},C63)))&gt;0,"full","unknown"))))</f>
        <v/>
      </c>
      <c r="E63" s="9"/>
      <c r="F63" s="9"/>
      <c r="G63" s="9"/>
      <c r="H63" s="9"/>
      <c r="I63" s="12"/>
      <c r="J63" s="9"/>
      <c r="K63" s="9"/>
      <c r="L63" s="9"/>
      <c r="M63" s="9"/>
      <c r="N63" s="9"/>
      <c r="O63" s="13" t="str">
        <f aca="false">IF(C63="","",IF(N(M63)+N(N63)&lt;Settings!$C$9,"untested",M63/(M63+N63)))</f>
        <v/>
      </c>
      <c r="P63" s="9"/>
      <c r="Q63" s="9"/>
      <c r="R63" s="9"/>
      <c r="S63" s="12"/>
      <c r="T63" s="9"/>
      <c r="U63" s="9"/>
      <c r="V63" s="9"/>
      <c r="W63" s="10" t="str">
        <f aca="false">IF(C63="","",IF(OR(G63="training",G63="full"),"Yes",IF(G63="none","No","?")))</f>
        <v/>
      </c>
      <c r="X63" s="10" t="str">
        <f aca="false">IF(C63="","",IF(OR(E63="",E63="unknown"),D63,E63))</f>
        <v/>
      </c>
      <c r="Y63" s="10" t="str">
        <f aca="false">IF(C63="","",IF(OR(T63="unsuitable",T63="retired",X63="no"),"—",IF(J63="","unrated",IF(AND(X63="full",J63&gt;=Settings!$C$5,OR(O63="untested",O63&gt;=Settings!$C$6)),"A",IF(AND(OR(X63="full",X63="reduced"),J63&gt;=Settings!$C$7,OR(O63="untested",O63&gt;=Settings!$C$8)),"B","C")))))</f>
        <v/>
      </c>
      <c r="Z63" s="11" t="str">
        <f aca="false">IF(C63="","",IF(P63&lt;&gt;"",P63,Y63))</f>
        <v/>
      </c>
    </row>
    <row r="64" customFormat="false" ht="15" hidden="false" customHeight="false" outlineLevel="0" collapsed="false">
      <c r="A64" s="9"/>
      <c r="B64" s="10" t="str">
        <f aca="false">IF(A64="","",IFERROR(INDEX(Parks!$A$2:$A$255,MATCH(A64,Parks!$B$2:$B$255,0)),"?"))</f>
        <v/>
      </c>
      <c r="C64" s="9"/>
      <c r="D64" s="10" t="str">
        <f aca="false">IF(C64="","",IF(SUMPRODUCT(--ISNUMBER(SEARCH({"Nets","Wicket","Diamond","Softball","T-ball","Baseball","Netball","Tennis","Bocce","Pentaque","Petanque","Skate","Car Park","Pond","Bridle","Amphitheatre","Perimeter","Passive"},C64)))&gt;0,"no",IF(SUMPRODUCT(--ISNUMBER(SEARCH({"Cricket","Junior","Mini","Summer Football","Small"},C64)))&gt;0,"reduced",IF(SUMPRODUCT(--ISNUMBER(SEARCH({"Rugby","Football","League","Touch","Gaelic","Australian","Lacrosse","General Sport","Training Area","Ultimate"},C64)))&gt;0,"full","unknown"))))</f>
        <v/>
      </c>
      <c r="E64" s="9"/>
      <c r="F64" s="9"/>
      <c r="G64" s="9"/>
      <c r="H64" s="9"/>
      <c r="I64" s="12"/>
      <c r="J64" s="9"/>
      <c r="K64" s="9"/>
      <c r="L64" s="9"/>
      <c r="M64" s="9"/>
      <c r="N64" s="9"/>
      <c r="O64" s="13" t="str">
        <f aca="false">IF(C64="","",IF(N(M64)+N(N64)&lt;Settings!$C$9,"untested",M64/(M64+N64)))</f>
        <v/>
      </c>
      <c r="P64" s="9"/>
      <c r="Q64" s="9"/>
      <c r="R64" s="9"/>
      <c r="S64" s="12"/>
      <c r="T64" s="9"/>
      <c r="U64" s="9"/>
      <c r="V64" s="9"/>
      <c r="W64" s="10" t="str">
        <f aca="false">IF(C64="","",IF(OR(G64="training",G64="full"),"Yes",IF(G64="none","No","?")))</f>
        <v/>
      </c>
      <c r="X64" s="10" t="str">
        <f aca="false">IF(C64="","",IF(OR(E64="",E64="unknown"),D64,E64))</f>
        <v/>
      </c>
      <c r="Y64" s="10" t="str">
        <f aca="false">IF(C64="","",IF(OR(T64="unsuitable",T64="retired",X64="no"),"—",IF(J64="","unrated",IF(AND(X64="full",J64&gt;=Settings!$C$5,OR(O64="untested",O64&gt;=Settings!$C$6)),"A",IF(AND(OR(X64="full",X64="reduced"),J64&gt;=Settings!$C$7,OR(O64="untested",O64&gt;=Settings!$C$8)),"B","C")))))</f>
        <v/>
      </c>
      <c r="Z64" s="11" t="str">
        <f aca="false">IF(C64="","",IF(P64&lt;&gt;"",P64,Y64))</f>
        <v/>
      </c>
    </row>
    <row r="65" customFormat="false" ht="15" hidden="false" customHeight="false" outlineLevel="0" collapsed="false">
      <c r="A65" s="9"/>
      <c r="B65" s="10" t="str">
        <f aca="false">IF(A65="","",IFERROR(INDEX(Parks!$A$2:$A$255,MATCH(A65,Parks!$B$2:$B$255,0)),"?"))</f>
        <v/>
      </c>
      <c r="C65" s="9"/>
      <c r="D65" s="10" t="str">
        <f aca="false">IF(C65="","",IF(SUMPRODUCT(--ISNUMBER(SEARCH({"Nets","Wicket","Diamond","Softball","T-ball","Baseball","Netball","Tennis","Bocce","Pentaque","Petanque","Skate","Car Park","Pond","Bridle","Amphitheatre","Perimeter","Passive"},C65)))&gt;0,"no",IF(SUMPRODUCT(--ISNUMBER(SEARCH({"Cricket","Junior","Mini","Summer Football","Small"},C65)))&gt;0,"reduced",IF(SUMPRODUCT(--ISNUMBER(SEARCH({"Rugby","Football","League","Touch","Gaelic","Australian","Lacrosse","General Sport","Training Area","Ultimate"},C65)))&gt;0,"full","unknown"))))</f>
        <v/>
      </c>
      <c r="E65" s="9"/>
      <c r="F65" s="9"/>
      <c r="G65" s="9"/>
      <c r="H65" s="9"/>
      <c r="I65" s="12"/>
      <c r="J65" s="9"/>
      <c r="K65" s="9"/>
      <c r="L65" s="9"/>
      <c r="M65" s="9"/>
      <c r="N65" s="9"/>
      <c r="O65" s="13" t="str">
        <f aca="false">IF(C65="","",IF(N(M65)+N(N65)&lt;Settings!$C$9,"untested",M65/(M65+N65)))</f>
        <v/>
      </c>
      <c r="P65" s="9"/>
      <c r="Q65" s="9"/>
      <c r="R65" s="9"/>
      <c r="S65" s="12"/>
      <c r="T65" s="9"/>
      <c r="U65" s="9"/>
      <c r="V65" s="9"/>
      <c r="W65" s="10" t="str">
        <f aca="false">IF(C65="","",IF(OR(G65="training",G65="full"),"Yes",IF(G65="none","No","?")))</f>
        <v/>
      </c>
      <c r="X65" s="10" t="str">
        <f aca="false">IF(C65="","",IF(OR(E65="",E65="unknown"),D65,E65))</f>
        <v/>
      </c>
      <c r="Y65" s="10" t="str">
        <f aca="false">IF(C65="","",IF(OR(T65="unsuitable",T65="retired",X65="no"),"—",IF(J65="","unrated",IF(AND(X65="full",J65&gt;=Settings!$C$5,OR(O65="untested",O65&gt;=Settings!$C$6)),"A",IF(AND(OR(X65="full",X65="reduced"),J65&gt;=Settings!$C$7,OR(O65="untested",O65&gt;=Settings!$C$8)),"B","C")))))</f>
        <v/>
      </c>
      <c r="Z65" s="11" t="str">
        <f aca="false">IF(C65="","",IF(P65&lt;&gt;"",P65,Y65))</f>
        <v/>
      </c>
    </row>
    <row r="66" customFormat="false" ht="15" hidden="false" customHeight="false" outlineLevel="0" collapsed="false">
      <c r="A66" s="9"/>
      <c r="B66" s="10" t="str">
        <f aca="false">IF(A66="","",IFERROR(INDEX(Parks!$A$2:$A$255,MATCH(A66,Parks!$B$2:$B$255,0)),"?"))</f>
        <v/>
      </c>
      <c r="C66" s="9"/>
      <c r="D66" s="10" t="str">
        <f aca="false">IF(C66="","",IF(SUMPRODUCT(--ISNUMBER(SEARCH({"Nets","Wicket","Diamond","Softball","T-ball","Baseball","Netball","Tennis","Bocce","Pentaque","Petanque","Skate","Car Park","Pond","Bridle","Amphitheatre","Perimeter","Passive"},C66)))&gt;0,"no",IF(SUMPRODUCT(--ISNUMBER(SEARCH({"Cricket","Junior","Mini","Summer Football","Small"},C66)))&gt;0,"reduced",IF(SUMPRODUCT(--ISNUMBER(SEARCH({"Rugby","Football","League","Touch","Gaelic","Australian","Lacrosse","General Sport","Training Area","Ultimate"},C66)))&gt;0,"full","unknown"))))</f>
        <v/>
      </c>
      <c r="E66" s="9"/>
      <c r="F66" s="9"/>
      <c r="G66" s="9"/>
      <c r="H66" s="9"/>
      <c r="I66" s="12"/>
      <c r="J66" s="9"/>
      <c r="K66" s="9"/>
      <c r="L66" s="9"/>
      <c r="M66" s="9"/>
      <c r="N66" s="9"/>
      <c r="O66" s="13" t="str">
        <f aca="false">IF(C66="","",IF(N(M66)+N(N66)&lt;Settings!$C$9,"untested",M66/(M66+N66)))</f>
        <v/>
      </c>
      <c r="P66" s="9"/>
      <c r="Q66" s="9"/>
      <c r="R66" s="9"/>
      <c r="S66" s="12"/>
      <c r="T66" s="9"/>
      <c r="U66" s="9"/>
      <c r="V66" s="9"/>
      <c r="W66" s="10" t="str">
        <f aca="false">IF(C66="","",IF(OR(G66="training",G66="full"),"Yes",IF(G66="none","No","?")))</f>
        <v/>
      </c>
      <c r="X66" s="10" t="str">
        <f aca="false">IF(C66="","",IF(OR(E66="",E66="unknown"),D66,E66))</f>
        <v/>
      </c>
      <c r="Y66" s="10" t="str">
        <f aca="false">IF(C66="","",IF(OR(T66="unsuitable",T66="retired",X66="no"),"—",IF(J66="","unrated",IF(AND(X66="full",J66&gt;=Settings!$C$5,OR(O66="untested",O66&gt;=Settings!$C$6)),"A",IF(AND(OR(X66="full",X66="reduced"),J66&gt;=Settings!$C$7,OR(O66="untested",O66&gt;=Settings!$C$8)),"B","C")))))</f>
        <v/>
      </c>
      <c r="Z66" s="11" t="str">
        <f aca="false">IF(C66="","",IF(P66&lt;&gt;"",P66,Y66))</f>
        <v/>
      </c>
    </row>
    <row r="67" customFormat="false" ht="15" hidden="false" customHeight="false" outlineLevel="0" collapsed="false">
      <c r="A67" s="9"/>
      <c r="B67" s="10" t="str">
        <f aca="false">IF(A67="","",IFERROR(INDEX(Parks!$A$2:$A$255,MATCH(A67,Parks!$B$2:$B$255,0)),"?"))</f>
        <v/>
      </c>
      <c r="C67" s="9"/>
      <c r="D67" s="10" t="str">
        <f aca="false">IF(C67="","",IF(SUMPRODUCT(--ISNUMBER(SEARCH({"Nets","Wicket","Diamond","Softball","T-ball","Baseball","Netball","Tennis","Bocce","Pentaque","Petanque","Skate","Car Park","Pond","Bridle","Amphitheatre","Perimeter","Passive"},C67)))&gt;0,"no",IF(SUMPRODUCT(--ISNUMBER(SEARCH({"Cricket","Junior","Mini","Summer Football","Small"},C67)))&gt;0,"reduced",IF(SUMPRODUCT(--ISNUMBER(SEARCH({"Rugby","Football","League","Touch","Gaelic","Australian","Lacrosse","General Sport","Training Area","Ultimate"},C67)))&gt;0,"full","unknown"))))</f>
        <v/>
      </c>
      <c r="E67" s="9"/>
      <c r="F67" s="9"/>
      <c r="G67" s="9"/>
      <c r="H67" s="9"/>
      <c r="I67" s="12"/>
      <c r="J67" s="9"/>
      <c r="K67" s="9"/>
      <c r="L67" s="9"/>
      <c r="M67" s="9"/>
      <c r="N67" s="9"/>
      <c r="O67" s="13" t="str">
        <f aca="false">IF(C67="","",IF(N(M67)+N(N67)&lt;Settings!$C$9,"untested",M67/(M67+N67)))</f>
        <v/>
      </c>
      <c r="P67" s="9"/>
      <c r="Q67" s="9"/>
      <c r="R67" s="9"/>
      <c r="S67" s="12"/>
      <c r="T67" s="9"/>
      <c r="U67" s="9"/>
      <c r="V67" s="9"/>
      <c r="W67" s="10" t="str">
        <f aca="false">IF(C67="","",IF(OR(G67="training",G67="full"),"Yes",IF(G67="none","No","?")))</f>
        <v/>
      </c>
      <c r="X67" s="10" t="str">
        <f aca="false">IF(C67="","",IF(OR(E67="",E67="unknown"),D67,E67))</f>
        <v/>
      </c>
      <c r="Y67" s="10" t="str">
        <f aca="false">IF(C67="","",IF(OR(T67="unsuitable",T67="retired",X67="no"),"—",IF(J67="","unrated",IF(AND(X67="full",J67&gt;=Settings!$C$5,OR(O67="untested",O67&gt;=Settings!$C$6)),"A",IF(AND(OR(X67="full",X67="reduced"),J67&gt;=Settings!$C$7,OR(O67="untested",O67&gt;=Settings!$C$8)),"B","C")))))</f>
        <v/>
      </c>
      <c r="Z67" s="11" t="str">
        <f aca="false">IF(C67="","",IF(P67&lt;&gt;"",P67,Y67))</f>
        <v/>
      </c>
    </row>
    <row r="68" customFormat="false" ht="15" hidden="false" customHeight="false" outlineLevel="0" collapsed="false">
      <c r="A68" s="9"/>
      <c r="B68" s="10" t="str">
        <f aca="false">IF(A68="","",IFERROR(INDEX(Parks!$A$2:$A$255,MATCH(A68,Parks!$B$2:$B$255,0)),"?"))</f>
        <v/>
      </c>
      <c r="C68" s="9"/>
      <c r="D68" s="10" t="str">
        <f aca="false">IF(C68="","",IF(SUMPRODUCT(--ISNUMBER(SEARCH({"Nets","Wicket","Diamond","Softball","T-ball","Baseball","Netball","Tennis","Bocce","Pentaque","Petanque","Skate","Car Park","Pond","Bridle","Amphitheatre","Perimeter","Passive"},C68)))&gt;0,"no",IF(SUMPRODUCT(--ISNUMBER(SEARCH({"Cricket","Junior","Mini","Summer Football","Small"},C68)))&gt;0,"reduced",IF(SUMPRODUCT(--ISNUMBER(SEARCH({"Rugby","Football","League","Touch","Gaelic","Australian","Lacrosse","General Sport","Training Area","Ultimate"},C68)))&gt;0,"full","unknown"))))</f>
        <v/>
      </c>
      <c r="E68" s="9"/>
      <c r="F68" s="9"/>
      <c r="G68" s="9"/>
      <c r="H68" s="9"/>
      <c r="I68" s="12"/>
      <c r="J68" s="9"/>
      <c r="K68" s="9"/>
      <c r="L68" s="9"/>
      <c r="M68" s="9"/>
      <c r="N68" s="9"/>
      <c r="O68" s="13" t="str">
        <f aca="false">IF(C68="","",IF(N(M68)+N(N68)&lt;Settings!$C$9,"untested",M68/(M68+N68)))</f>
        <v/>
      </c>
      <c r="P68" s="9"/>
      <c r="Q68" s="9"/>
      <c r="R68" s="9"/>
      <c r="S68" s="12"/>
      <c r="T68" s="9"/>
      <c r="U68" s="9"/>
      <c r="V68" s="9"/>
      <c r="W68" s="10" t="str">
        <f aca="false">IF(C68="","",IF(OR(G68="training",G68="full"),"Yes",IF(G68="none","No","?")))</f>
        <v/>
      </c>
      <c r="X68" s="10" t="str">
        <f aca="false">IF(C68="","",IF(OR(E68="",E68="unknown"),D68,E68))</f>
        <v/>
      </c>
      <c r="Y68" s="10" t="str">
        <f aca="false">IF(C68="","",IF(OR(T68="unsuitable",T68="retired",X68="no"),"—",IF(J68="","unrated",IF(AND(X68="full",J68&gt;=Settings!$C$5,OR(O68="untested",O68&gt;=Settings!$C$6)),"A",IF(AND(OR(X68="full",X68="reduced"),J68&gt;=Settings!$C$7,OR(O68="untested",O68&gt;=Settings!$C$8)),"B","C")))))</f>
        <v/>
      </c>
      <c r="Z68" s="11" t="str">
        <f aca="false">IF(C68="","",IF(P68&lt;&gt;"",P68,Y68))</f>
        <v/>
      </c>
    </row>
    <row r="69" customFormat="false" ht="15" hidden="false" customHeight="false" outlineLevel="0" collapsed="false">
      <c r="A69" s="9"/>
      <c r="B69" s="10" t="str">
        <f aca="false">IF(A69="","",IFERROR(INDEX(Parks!$A$2:$A$255,MATCH(A69,Parks!$B$2:$B$255,0)),"?"))</f>
        <v/>
      </c>
      <c r="C69" s="9"/>
      <c r="D69" s="10" t="str">
        <f aca="false">IF(C69="","",IF(SUMPRODUCT(--ISNUMBER(SEARCH({"Nets","Wicket","Diamond","Softball","T-ball","Baseball","Netball","Tennis","Bocce","Pentaque","Petanque","Skate","Car Park","Pond","Bridle","Amphitheatre","Perimeter","Passive"},C69)))&gt;0,"no",IF(SUMPRODUCT(--ISNUMBER(SEARCH({"Cricket","Junior","Mini","Summer Football","Small"},C69)))&gt;0,"reduced",IF(SUMPRODUCT(--ISNUMBER(SEARCH({"Rugby","Football","League","Touch","Gaelic","Australian","Lacrosse","General Sport","Training Area","Ultimate"},C69)))&gt;0,"full","unknown"))))</f>
        <v/>
      </c>
      <c r="E69" s="9"/>
      <c r="F69" s="9"/>
      <c r="G69" s="9"/>
      <c r="H69" s="9"/>
      <c r="I69" s="12"/>
      <c r="J69" s="9"/>
      <c r="K69" s="9"/>
      <c r="L69" s="9"/>
      <c r="M69" s="9"/>
      <c r="N69" s="9"/>
      <c r="O69" s="13" t="str">
        <f aca="false">IF(C69="","",IF(N(M69)+N(N69)&lt;Settings!$C$9,"untested",M69/(M69+N69)))</f>
        <v/>
      </c>
      <c r="P69" s="9"/>
      <c r="Q69" s="9"/>
      <c r="R69" s="9"/>
      <c r="S69" s="12"/>
      <c r="T69" s="9"/>
      <c r="U69" s="9"/>
      <c r="V69" s="9"/>
      <c r="W69" s="10" t="str">
        <f aca="false">IF(C69="","",IF(OR(G69="training",G69="full"),"Yes",IF(G69="none","No","?")))</f>
        <v/>
      </c>
      <c r="X69" s="10" t="str">
        <f aca="false">IF(C69="","",IF(OR(E69="",E69="unknown"),D69,E69))</f>
        <v/>
      </c>
      <c r="Y69" s="10" t="str">
        <f aca="false">IF(C69="","",IF(OR(T69="unsuitable",T69="retired",X69="no"),"—",IF(J69="","unrated",IF(AND(X69="full",J69&gt;=Settings!$C$5,OR(O69="untested",O69&gt;=Settings!$C$6)),"A",IF(AND(OR(X69="full",X69="reduced"),J69&gt;=Settings!$C$7,OR(O69="untested",O69&gt;=Settings!$C$8)),"B","C")))))</f>
        <v/>
      </c>
      <c r="Z69" s="11" t="str">
        <f aca="false">IF(C69="","",IF(P69&lt;&gt;"",P69,Y69))</f>
        <v/>
      </c>
    </row>
    <row r="70" customFormat="false" ht="15" hidden="false" customHeight="false" outlineLevel="0" collapsed="false">
      <c r="A70" s="9"/>
      <c r="B70" s="10" t="str">
        <f aca="false">IF(A70="","",IFERROR(INDEX(Parks!$A$2:$A$255,MATCH(A70,Parks!$B$2:$B$255,0)),"?"))</f>
        <v/>
      </c>
      <c r="C70" s="9"/>
      <c r="D70" s="10" t="str">
        <f aca="false">IF(C70="","",IF(SUMPRODUCT(--ISNUMBER(SEARCH({"Nets","Wicket","Diamond","Softball","T-ball","Baseball","Netball","Tennis","Bocce","Pentaque","Petanque","Skate","Car Park","Pond","Bridle","Amphitheatre","Perimeter","Passive"},C70)))&gt;0,"no",IF(SUMPRODUCT(--ISNUMBER(SEARCH({"Cricket","Junior","Mini","Summer Football","Small"},C70)))&gt;0,"reduced",IF(SUMPRODUCT(--ISNUMBER(SEARCH({"Rugby","Football","League","Touch","Gaelic","Australian","Lacrosse","General Sport","Training Area","Ultimate"},C70)))&gt;0,"full","unknown"))))</f>
        <v/>
      </c>
      <c r="E70" s="9"/>
      <c r="F70" s="9"/>
      <c r="G70" s="9"/>
      <c r="H70" s="9"/>
      <c r="I70" s="12"/>
      <c r="J70" s="9"/>
      <c r="K70" s="9"/>
      <c r="L70" s="9"/>
      <c r="M70" s="9"/>
      <c r="N70" s="9"/>
      <c r="O70" s="13" t="str">
        <f aca="false">IF(C70="","",IF(N(M70)+N(N70)&lt;Settings!$C$9,"untested",M70/(M70+N70)))</f>
        <v/>
      </c>
      <c r="P70" s="9"/>
      <c r="Q70" s="9"/>
      <c r="R70" s="9"/>
      <c r="S70" s="12"/>
      <c r="T70" s="9"/>
      <c r="U70" s="9"/>
      <c r="V70" s="9"/>
      <c r="W70" s="10" t="str">
        <f aca="false">IF(C70="","",IF(OR(G70="training",G70="full"),"Yes",IF(G70="none","No","?")))</f>
        <v/>
      </c>
      <c r="X70" s="10" t="str">
        <f aca="false">IF(C70="","",IF(OR(E70="",E70="unknown"),D70,E70))</f>
        <v/>
      </c>
      <c r="Y70" s="10" t="str">
        <f aca="false">IF(C70="","",IF(OR(T70="unsuitable",T70="retired",X70="no"),"—",IF(J70="","unrated",IF(AND(X70="full",J70&gt;=Settings!$C$5,OR(O70="untested",O70&gt;=Settings!$C$6)),"A",IF(AND(OR(X70="full",X70="reduced"),J70&gt;=Settings!$C$7,OR(O70="untested",O70&gt;=Settings!$C$8)),"B","C")))))</f>
        <v/>
      </c>
      <c r="Z70" s="11" t="str">
        <f aca="false">IF(C70="","",IF(P70&lt;&gt;"",P70,Y70))</f>
        <v/>
      </c>
    </row>
    <row r="71" customFormat="false" ht="15" hidden="false" customHeight="false" outlineLevel="0" collapsed="false">
      <c r="A71" s="9"/>
      <c r="B71" s="10" t="str">
        <f aca="false">IF(A71="","",IFERROR(INDEX(Parks!$A$2:$A$255,MATCH(A71,Parks!$B$2:$B$255,0)),"?"))</f>
        <v/>
      </c>
      <c r="C71" s="9"/>
      <c r="D71" s="10" t="str">
        <f aca="false">IF(C71="","",IF(SUMPRODUCT(--ISNUMBER(SEARCH({"Nets","Wicket","Diamond","Softball","T-ball","Baseball","Netball","Tennis","Bocce","Pentaque","Petanque","Skate","Car Park","Pond","Bridle","Amphitheatre","Perimeter","Passive"},C71)))&gt;0,"no",IF(SUMPRODUCT(--ISNUMBER(SEARCH({"Cricket","Junior","Mini","Summer Football","Small"},C71)))&gt;0,"reduced",IF(SUMPRODUCT(--ISNUMBER(SEARCH({"Rugby","Football","League","Touch","Gaelic","Australian","Lacrosse","General Sport","Training Area","Ultimate"},C71)))&gt;0,"full","unknown"))))</f>
        <v/>
      </c>
      <c r="E71" s="9"/>
      <c r="F71" s="9"/>
      <c r="G71" s="9"/>
      <c r="H71" s="9"/>
      <c r="I71" s="12"/>
      <c r="J71" s="9"/>
      <c r="K71" s="9"/>
      <c r="L71" s="9"/>
      <c r="M71" s="9"/>
      <c r="N71" s="9"/>
      <c r="O71" s="13" t="str">
        <f aca="false">IF(C71="","",IF(N(M71)+N(N71)&lt;Settings!$C$9,"untested",M71/(M71+N71)))</f>
        <v/>
      </c>
      <c r="P71" s="9"/>
      <c r="Q71" s="9"/>
      <c r="R71" s="9"/>
      <c r="S71" s="12"/>
      <c r="T71" s="9"/>
      <c r="U71" s="9"/>
      <c r="V71" s="9"/>
      <c r="W71" s="10" t="str">
        <f aca="false">IF(C71="","",IF(OR(G71="training",G71="full"),"Yes",IF(G71="none","No","?")))</f>
        <v/>
      </c>
      <c r="X71" s="10" t="str">
        <f aca="false">IF(C71="","",IF(OR(E71="",E71="unknown"),D71,E71))</f>
        <v/>
      </c>
      <c r="Y71" s="10" t="str">
        <f aca="false">IF(C71="","",IF(OR(T71="unsuitable",T71="retired",X71="no"),"—",IF(J71="","unrated",IF(AND(X71="full",J71&gt;=Settings!$C$5,OR(O71="untested",O71&gt;=Settings!$C$6)),"A",IF(AND(OR(X71="full",X71="reduced"),J71&gt;=Settings!$C$7,OR(O71="untested",O71&gt;=Settings!$C$8)),"B","C")))))</f>
        <v/>
      </c>
      <c r="Z71" s="11" t="str">
        <f aca="false">IF(C71="","",IF(P71&lt;&gt;"",P71,Y71))</f>
        <v/>
      </c>
    </row>
    <row r="72" customFormat="false" ht="15" hidden="false" customHeight="false" outlineLevel="0" collapsed="false">
      <c r="A72" s="9"/>
      <c r="B72" s="10" t="str">
        <f aca="false">IF(A72="","",IFERROR(INDEX(Parks!$A$2:$A$255,MATCH(A72,Parks!$B$2:$B$255,0)),"?"))</f>
        <v/>
      </c>
      <c r="C72" s="9"/>
      <c r="D72" s="10" t="str">
        <f aca="false">IF(C72="","",IF(SUMPRODUCT(--ISNUMBER(SEARCH({"Nets","Wicket","Diamond","Softball","T-ball","Baseball","Netball","Tennis","Bocce","Pentaque","Petanque","Skate","Car Park","Pond","Bridle","Amphitheatre","Perimeter","Passive"},C72)))&gt;0,"no",IF(SUMPRODUCT(--ISNUMBER(SEARCH({"Cricket","Junior","Mini","Summer Football","Small"},C72)))&gt;0,"reduced",IF(SUMPRODUCT(--ISNUMBER(SEARCH({"Rugby","Football","League","Touch","Gaelic","Australian","Lacrosse","General Sport","Training Area","Ultimate"},C72)))&gt;0,"full","unknown"))))</f>
        <v/>
      </c>
      <c r="E72" s="9"/>
      <c r="F72" s="9"/>
      <c r="G72" s="9"/>
      <c r="H72" s="9"/>
      <c r="I72" s="12"/>
      <c r="J72" s="9"/>
      <c r="K72" s="9"/>
      <c r="L72" s="9"/>
      <c r="M72" s="9"/>
      <c r="N72" s="9"/>
      <c r="O72" s="13" t="str">
        <f aca="false">IF(C72="","",IF(N(M72)+N(N72)&lt;Settings!$C$9,"untested",M72/(M72+N72)))</f>
        <v/>
      </c>
      <c r="P72" s="9"/>
      <c r="Q72" s="9"/>
      <c r="R72" s="9"/>
      <c r="S72" s="12"/>
      <c r="T72" s="9"/>
      <c r="U72" s="9"/>
      <c r="V72" s="9"/>
      <c r="W72" s="10" t="str">
        <f aca="false">IF(C72="","",IF(OR(G72="training",G72="full"),"Yes",IF(G72="none","No","?")))</f>
        <v/>
      </c>
      <c r="X72" s="10" t="str">
        <f aca="false">IF(C72="","",IF(OR(E72="",E72="unknown"),D72,E72))</f>
        <v/>
      </c>
      <c r="Y72" s="10" t="str">
        <f aca="false">IF(C72="","",IF(OR(T72="unsuitable",T72="retired",X72="no"),"—",IF(J72="","unrated",IF(AND(X72="full",J72&gt;=Settings!$C$5,OR(O72="untested",O72&gt;=Settings!$C$6)),"A",IF(AND(OR(X72="full",X72="reduced"),J72&gt;=Settings!$C$7,OR(O72="untested",O72&gt;=Settings!$C$8)),"B","C")))))</f>
        <v/>
      </c>
      <c r="Z72" s="11" t="str">
        <f aca="false">IF(C72="","",IF(P72&lt;&gt;"",P72,Y72))</f>
        <v/>
      </c>
    </row>
    <row r="73" customFormat="false" ht="15" hidden="false" customHeight="false" outlineLevel="0" collapsed="false">
      <c r="A73" s="9"/>
      <c r="B73" s="10" t="str">
        <f aca="false">IF(A73="","",IFERROR(INDEX(Parks!$A$2:$A$255,MATCH(A73,Parks!$B$2:$B$255,0)),"?"))</f>
        <v/>
      </c>
      <c r="C73" s="9"/>
      <c r="D73" s="10" t="str">
        <f aca="false">IF(C73="","",IF(SUMPRODUCT(--ISNUMBER(SEARCH({"Nets","Wicket","Diamond","Softball","T-ball","Baseball","Netball","Tennis","Bocce","Pentaque","Petanque","Skate","Car Park","Pond","Bridle","Amphitheatre","Perimeter","Passive"},C73)))&gt;0,"no",IF(SUMPRODUCT(--ISNUMBER(SEARCH({"Cricket","Junior","Mini","Summer Football","Small"},C73)))&gt;0,"reduced",IF(SUMPRODUCT(--ISNUMBER(SEARCH({"Rugby","Football","League","Touch","Gaelic","Australian","Lacrosse","General Sport","Training Area","Ultimate"},C73)))&gt;0,"full","unknown"))))</f>
        <v/>
      </c>
      <c r="E73" s="9"/>
      <c r="F73" s="9"/>
      <c r="G73" s="9"/>
      <c r="H73" s="9"/>
      <c r="I73" s="12"/>
      <c r="J73" s="9"/>
      <c r="K73" s="9"/>
      <c r="L73" s="9"/>
      <c r="M73" s="9"/>
      <c r="N73" s="9"/>
      <c r="O73" s="13" t="str">
        <f aca="false">IF(C73="","",IF(N(M73)+N(N73)&lt;Settings!$C$9,"untested",M73/(M73+N73)))</f>
        <v/>
      </c>
      <c r="P73" s="9"/>
      <c r="Q73" s="9"/>
      <c r="R73" s="9"/>
      <c r="S73" s="12"/>
      <c r="T73" s="9"/>
      <c r="U73" s="9"/>
      <c r="V73" s="9"/>
      <c r="W73" s="10" t="str">
        <f aca="false">IF(C73="","",IF(OR(G73="training",G73="full"),"Yes",IF(G73="none","No","?")))</f>
        <v/>
      </c>
      <c r="X73" s="10" t="str">
        <f aca="false">IF(C73="","",IF(OR(E73="",E73="unknown"),D73,E73))</f>
        <v/>
      </c>
      <c r="Y73" s="10" t="str">
        <f aca="false">IF(C73="","",IF(OR(T73="unsuitable",T73="retired",X73="no"),"—",IF(J73="","unrated",IF(AND(X73="full",J73&gt;=Settings!$C$5,OR(O73="untested",O73&gt;=Settings!$C$6)),"A",IF(AND(OR(X73="full",X73="reduced"),J73&gt;=Settings!$C$7,OR(O73="untested",O73&gt;=Settings!$C$8)),"B","C")))))</f>
        <v/>
      </c>
      <c r="Z73" s="11" t="str">
        <f aca="false">IF(C73="","",IF(P73&lt;&gt;"",P73,Y73))</f>
        <v/>
      </c>
    </row>
    <row r="74" customFormat="false" ht="15" hidden="false" customHeight="false" outlineLevel="0" collapsed="false">
      <c r="A74" s="9"/>
      <c r="B74" s="10" t="str">
        <f aca="false">IF(A74="","",IFERROR(INDEX(Parks!$A$2:$A$255,MATCH(A74,Parks!$B$2:$B$255,0)),"?"))</f>
        <v/>
      </c>
      <c r="C74" s="9"/>
      <c r="D74" s="10" t="str">
        <f aca="false">IF(C74="","",IF(SUMPRODUCT(--ISNUMBER(SEARCH({"Nets","Wicket","Diamond","Softball","T-ball","Baseball","Netball","Tennis","Bocce","Pentaque","Petanque","Skate","Car Park","Pond","Bridle","Amphitheatre","Perimeter","Passive"},C74)))&gt;0,"no",IF(SUMPRODUCT(--ISNUMBER(SEARCH({"Cricket","Junior","Mini","Summer Football","Small"},C74)))&gt;0,"reduced",IF(SUMPRODUCT(--ISNUMBER(SEARCH({"Rugby","Football","League","Touch","Gaelic","Australian","Lacrosse","General Sport","Training Area","Ultimate"},C74)))&gt;0,"full","unknown"))))</f>
        <v/>
      </c>
      <c r="E74" s="9"/>
      <c r="F74" s="9"/>
      <c r="G74" s="9"/>
      <c r="H74" s="9"/>
      <c r="I74" s="12"/>
      <c r="J74" s="9"/>
      <c r="K74" s="9"/>
      <c r="L74" s="9"/>
      <c r="M74" s="9"/>
      <c r="N74" s="9"/>
      <c r="O74" s="13" t="str">
        <f aca="false">IF(C74="","",IF(N(M74)+N(N74)&lt;Settings!$C$9,"untested",M74/(M74+N74)))</f>
        <v/>
      </c>
      <c r="P74" s="9"/>
      <c r="Q74" s="9"/>
      <c r="R74" s="9"/>
      <c r="S74" s="12"/>
      <c r="T74" s="9"/>
      <c r="U74" s="9"/>
      <c r="V74" s="9"/>
      <c r="W74" s="10" t="str">
        <f aca="false">IF(C74="","",IF(OR(G74="training",G74="full"),"Yes",IF(G74="none","No","?")))</f>
        <v/>
      </c>
      <c r="X74" s="10" t="str">
        <f aca="false">IF(C74="","",IF(OR(E74="",E74="unknown"),D74,E74))</f>
        <v/>
      </c>
      <c r="Y74" s="10" t="str">
        <f aca="false">IF(C74="","",IF(OR(T74="unsuitable",T74="retired",X74="no"),"—",IF(J74="","unrated",IF(AND(X74="full",J74&gt;=Settings!$C$5,OR(O74="untested",O74&gt;=Settings!$C$6)),"A",IF(AND(OR(X74="full",X74="reduced"),J74&gt;=Settings!$C$7,OR(O74="untested",O74&gt;=Settings!$C$8)),"B","C")))))</f>
        <v/>
      </c>
      <c r="Z74" s="11" t="str">
        <f aca="false">IF(C74="","",IF(P74&lt;&gt;"",P74,Y74))</f>
        <v/>
      </c>
    </row>
    <row r="75" customFormat="false" ht="15" hidden="false" customHeight="false" outlineLevel="0" collapsed="false">
      <c r="A75" s="9"/>
      <c r="B75" s="10" t="str">
        <f aca="false">IF(A75="","",IFERROR(INDEX(Parks!$A$2:$A$255,MATCH(A75,Parks!$B$2:$B$255,0)),"?"))</f>
        <v/>
      </c>
      <c r="C75" s="9"/>
      <c r="D75" s="10" t="str">
        <f aca="false">IF(C75="","",IF(SUMPRODUCT(--ISNUMBER(SEARCH({"Nets","Wicket","Diamond","Softball","T-ball","Baseball","Netball","Tennis","Bocce","Pentaque","Petanque","Skate","Car Park","Pond","Bridle","Amphitheatre","Perimeter","Passive"},C75)))&gt;0,"no",IF(SUMPRODUCT(--ISNUMBER(SEARCH({"Cricket","Junior","Mini","Summer Football","Small"},C75)))&gt;0,"reduced",IF(SUMPRODUCT(--ISNUMBER(SEARCH({"Rugby","Football","League","Touch","Gaelic","Australian","Lacrosse","General Sport","Training Area","Ultimate"},C75)))&gt;0,"full","unknown"))))</f>
        <v/>
      </c>
      <c r="E75" s="9"/>
      <c r="F75" s="9"/>
      <c r="G75" s="9"/>
      <c r="H75" s="9"/>
      <c r="I75" s="12"/>
      <c r="J75" s="9"/>
      <c r="K75" s="9"/>
      <c r="L75" s="9"/>
      <c r="M75" s="9"/>
      <c r="N75" s="9"/>
      <c r="O75" s="13" t="str">
        <f aca="false">IF(C75="","",IF(N(M75)+N(N75)&lt;Settings!$C$9,"untested",M75/(M75+N75)))</f>
        <v/>
      </c>
      <c r="P75" s="9"/>
      <c r="Q75" s="9"/>
      <c r="R75" s="9"/>
      <c r="S75" s="12"/>
      <c r="T75" s="9"/>
      <c r="U75" s="9"/>
      <c r="V75" s="9"/>
      <c r="W75" s="10" t="str">
        <f aca="false">IF(C75="","",IF(OR(G75="training",G75="full"),"Yes",IF(G75="none","No","?")))</f>
        <v/>
      </c>
      <c r="X75" s="10" t="str">
        <f aca="false">IF(C75="","",IF(OR(E75="",E75="unknown"),D75,E75))</f>
        <v/>
      </c>
      <c r="Y75" s="10" t="str">
        <f aca="false">IF(C75="","",IF(OR(T75="unsuitable",T75="retired",X75="no"),"—",IF(J75="","unrated",IF(AND(X75="full",J75&gt;=Settings!$C$5,OR(O75="untested",O75&gt;=Settings!$C$6)),"A",IF(AND(OR(X75="full",X75="reduced"),J75&gt;=Settings!$C$7,OR(O75="untested",O75&gt;=Settings!$C$8)),"B","C")))))</f>
        <v/>
      </c>
      <c r="Z75" s="11" t="str">
        <f aca="false">IF(C75="","",IF(P75&lt;&gt;"",P75,Y75))</f>
        <v/>
      </c>
    </row>
    <row r="76" customFormat="false" ht="15" hidden="false" customHeight="false" outlineLevel="0" collapsed="false">
      <c r="A76" s="9"/>
      <c r="B76" s="10" t="str">
        <f aca="false">IF(A76="","",IFERROR(INDEX(Parks!$A$2:$A$255,MATCH(A76,Parks!$B$2:$B$255,0)),"?"))</f>
        <v/>
      </c>
      <c r="C76" s="9"/>
      <c r="D76" s="10" t="str">
        <f aca="false">IF(C76="","",IF(SUMPRODUCT(--ISNUMBER(SEARCH({"Nets","Wicket","Diamond","Softball","T-ball","Baseball","Netball","Tennis","Bocce","Pentaque","Petanque","Skate","Car Park","Pond","Bridle","Amphitheatre","Perimeter","Passive"},C76)))&gt;0,"no",IF(SUMPRODUCT(--ISNUMBER(SEARCH({"Cricket","Junior","Mini","Summer Football","Small"},C76)))&gt;0,"reduced",IF(SUMPRODUCT(--ISNUMBER(SEARCH({"Rugby","Football","League","Touch","Gaelic","Australian","Lacrosse","General Sport","Training Area","Ultimate"},C76)))&gt;0,"full","unknown"))))</f>
        <v/>
      </c>
      <c r="E76" s="9"/>
      <c r="F76" s="9"/>
      <c r="G76" s="9"/>
      <c r="H76" s="9"/>
      <c r="I76" s="12"/>
      <c r="J76" s="9"/>
      <c r="K76" s="9"/>
      <c r="L76" s="9"/>
      <c r="M76" s="9"/>
      <c r="N76" s="9"/>
      <c r="O76" s="13" t="str">
        <f aca="false">IF(C76="","",IF(N(M76)+N(N76)&lt;Settings!$C$9,"untested",M76/(M76+N76)))</f>
        <v/>
      </c>
      <c r="P76" s="9"/>
      <c r="Q76" s="9"/>
      <c r="R76" s="9"/>
      <c r="S76" s="12"/>
      <c r="T76" s="9"/>
      <c r="U76" s="9"/>
      <c r="V76" s="9"/>
      <c r="W76" s="10" t="str">
        <f aca="false">IF(C76="","",IF(OR(G76="training",G76="full"),"Yes",IF(G76="none","No","?")))</f>
        <v/>
      </c>
      <c r="X76" s="10" t="str">
        <f aca="false">IF(C76="","",IF(OR(E76="",E76="unknown"),D76,E76))</f>
        <v/>
      </c>
      <c r="Y76" s="10" t="str">
        <f aca="false">IF(C76="","",IF(OR(T76="unsuitable",T76="retired",X76="no"),"—",IF(J76="","unrated",IF(AND(X76="full",J76&gt;=Settings!$C$5,OR(O76="untested",O76&gt;=Settings!$C$6)),"A",IF(AND(OR(X76="full",X76="reduced"),J76&gt;=Settings!$C$7,OR(O76="untested",O76&gt;=Settings!$C$8)),"B","C")))))</f>
        <v/>
      </c>
      <c r="Z76" s="11" t="str">
        <f aca="false">IF(C76="","",IF(P76&lt;&gt;"",P76,Y76))</f>
        <v/>
      </c>
    </row>
    <row r="77" customFormat="false" ht="15" hidden="false" customHeight="false" outlineLevel="0" collapsed="false">
      <c r="A77" s="9"/>
      <c r="B77" s="10" t="str">
        <f aca="false">IF(A77="","",IFERROR(INDEX(Parks!$A$2:$A$255,MATCH(A77,Parks!$B$2:$B$255,0)),"?"))</f>
        <v/>
      </c>
      <c r="C77" s="9"/>
      <c r="D77" s="10" t="str">
        <f aca="false">IF(C77="","",IF(SUMPRODUCT(--ISNUMBER(SEARCH({"Nets","Wicket","Diamond","Softball","T-ball","Baseball","Netball","Tennis","Bocce","Pentaque","Petanque","Skate","Car Park","Pond","Bridle","Amphitheatre","Perimeter","Passive"},C77)))&gt;0,"no",IF(SUMPRODUCT(--ISNUMBER(SEARCH({"Cricket","Junior","Mini","Summer Football","Small"},C77)))&gt;0,"reduced",IF(SUMPRODUCT(--ISNUMBER(SEARCH({"Rugby","Football","League","Touch","Gaelic","Australian","Lacrosse","General Sport","Training Area","Ultimate"},C77)))&gt;0,"full","unknown"))))</f>
        <v/>
      </c>
      <c r="E77" s="9"/>
      <c r="F77" s="9"/>
      <c r="G77" s="9"/>
      <c r="H77" s="9"/>
      <c r="I77" s="12"/>
      <c r="J77" s="9"/>
      <c r="K77" s="9"/>
      <c r="L77" s="9"/>
      <c r="M77" s="9"/>
      <c r="N77" s="9"/>
      <c r="O77" s="13" t="str">
        <f aca="false">IF(C77="","",IF(N(M77)+N(N77)&lt;Settings!$C$9,"untested",M77/(M77+N77)))</f>
        <v/>
      </c>
      <c r="P77" s="9"/>
      <c r="Q77" s="9"/>
      <c r="R77" s="9"/>
      <c r="S77" s="12"/>
      <c r="T77" s="9"/>
      <c r="U77" s="9"/>
      <c r="V77" s="9"/>
      <c r="W77" s="10" t="str">
        <f aca="false">IF(C77="","",IF(OR(G77="training",G77="full"),"Yes",IF(G77="none","No","?")))</f>
        <v/>
      </c>
      <c r="X77" s="10" t="str">
        <f aca="false">IF(C77="","",IF(OR(E77="",E77="unknown"),D77,E77))</f>
        <v/>
      </c>
      <c r="Y77" s="10" t="str">
        <f aca="false">IF(C77="","",IF(OR(T77="unsuitable",T77="retired",X77="no"),"—",IF(J77="","unrated",IF(AND(X77="full",J77&gt;=Settings!$C$5,OR(O77="untested",O77&gt;=Settings!$C$6)),"A",IF(AND(OR(X77="full",X77="reduced"),J77&gt;=Settings!$C$7,OR(O77="untested",O77&gt;=Settings!$C$8)),"B","C")))))</f>
        <v/>
      </c>
      <c r="Z77" s="11" t="str">
        <f aca="false">IF(C77="","",IF(P77&lt;&gt;"",P77,Y77))</f>
        <v/>
      </c>
    </row>
    <row r="78" customFormat="false" ht="15" hidden="false" customHeight="false" outlineLevel="0" collapsed="false">
      <c r="A78" s="9"/>
      <c r="B78" s="10" t="str">
        <f aca="false">IF(A78="","",IFERROR(INDEX(Parks!$A$2:$A$255,MATCH(A78,Parks!$B$2:$B$255,0)),"?"))</f>
        <v/>
      </c>
      <c r="C78" s="9"/>
      <c r="D78" s="10" t="str">
        <f aca="false">IF(C78="","",IF(SUMPRODUCT(--ISNUMBER(SEARCH({"Nets","Wicket","Diamond","Softball","T-ball","Baseball","Netball","Tennis","Bocce","Pentaque","Petanque","Skate","Car Park","Pond","Bridle","Amphitheatre","Perimeter","Passive"},C78)))&gt;0,"no",IF(SUMPRODUCT(--ISNUMBER(SEARCH({"Cricket","Junior","Mini","Summer Football","Small"},C78)))&gt;0,"reduced",IF(SUMPRODUCT(--ISNUMBER(SEARCH({"Rugby","Football","League","Touch","Gaelic","Australian","Lacrosse","General Sport","Training Area","Ultimate"},C78)))&gt;0,"full","unknown"))))</f>
        <v/>
      </c>
      <c r="E78" s="9"/>
      <c r="F78" s="9"/>
      <c r="G78" s="9"/>
      <c r="H78" s="9"/>
      <c r="I78" s="12"/>
      <c r="J78" s="9"/>
      <c r="K78" s="9"/>
      <c r="L78" s="9"/>
      <c r="M78" s="9"/>
      <c r="N78" s="9"/>
      <c r="O78" s="13" t="str">
        <f aca="false">IF(C78="","",IF(N(M78)+N(N78)&lt;Settings!$C$9,"untested",M78/(M78+N78)))</f>
        <v/>
      </c>
      <c r="P78" s="9"/>
      <c r="Q78" s="9"/>
      <c r="R78" s="9"/>
      <c r="S78" s="12"/>
      <c r="T78" s="9"/>
      <c r="U78" s="9"/>
      <c r="V78" s="9"/>
      <c r="W78" s="10" t="str">
        <f aca="false">IF(C78="","",IF(OR(G78="training",G78="full"),"Yes",IF(G78="none","No","?")))</f>
        <v/>
      </c>
      <c r="X78" s="10" t="str">
        <f aca="false">IF(C78="","",IF(OR(E78="",E78="unknown"),D78,E78))</f>
        <v/>
      </c>
      <c r="Y78" s="10" t="str">
        <f aca="false">IF(C78="","",IF(OR(T78="unsuitable",T78="retired",X78="no"),"—",IF(J78="","unrated",IF(AND(X78="full",J78&gt;=Settings!$C$5,OR(O78="untested",O78&gt;=Settings!$C$6)),"A",IF(AND(OR(X78="full",X78="reduced"),J78&gt;=Settings!$C$7,OR(O78="untested",O78&gt;=Settings!$C$8)),"B","C")))))</f>
        <v/>
      </c>
      <c r="Z78" s="11" t="str">
        <f aca="false">IF(C78="","",IF(P78&lt;&gt;"",P78,Y78))</f>
        <v/>
      </c>
    </row>
    <row r="79" customFormat="false" ht="15" hidden="false" customHeight="false" outlineLevel="0" collapsed="false">
      <c r="A79" s="9"/>
      <c r="B79" s="10" t="str">
        <f aca="false">IF(A79="","",IFERROR(INDEX(Parks!$A$2:$A$255,MATCH(A79,Parks!$B$2:$B$255,0)),"?"))</f>
        <v/>
      </c>
      <c r="C79" s="9"/>
      <c r="D79" s="10" t="str">
        <f aca="false">IF(C79="","",IF(SUMPRODUCT(--ISNUMBER(SEARCH({"Nets","Wicket","Diamond","Softball","T-ball","Baseball","Netball","Tennis","Bocce","Pentaque","Petanque","Skate","Car Park","Pond","Bridle","Amphitheatre","Perimeter","Passive"},C79)))&gt;0,"no",IF(SUMPRODUCT(--ISNUMBER(SEARCH({"Cricket","Junior","Mini","Summer Football","Small"},C79)))&gt;0,"reduced",IF(SUMPRODUCT(--ISNUMBER(SEARCH({"Rugby","Football","League","Touch","Gaelic","Australian","Lacrosse","General Sport","Training Area","Ultimate"},C79)))&gt;0,"full","unknown"))))</f>
        <v/>
      </c>
      <c r="E79" s="9"/>
      <c r="F79" s="9"/>
      <c r="G79" s="9"/>
      <c r="H79" s="9"/>
      <c r="I79" s="12"/>
      <c r="J79" s="9"/>
      <c r="K79" s="9"/>
      <c r="L79" s="9"/>
      <c r="M79" s="9"/>
      <c r="N79" s="9"/>
      <c r="O79" s="13" t="str">
        <f aca="false">IF(C79="","",IF(N(M79)+N(N79)&lt;Settings!$C$9,"untested",M79/(M79+N79)))</f>
        <v/>
      </c>
      <c r="P79" s="9"/>
      <c r="Q79" s="9"/>
      <c r="R79" s="9"/>
      <c r="S79" s="12"/>
      <c r="T79" s="9"/>
      <c r="U79" s="9"/>
      <c r="V79" s="9"/>
      <c r="W79" s="10" t="str">
        <f aca="false">IF(C79="","",IF(OR(G79="training",G79="full"),"Yes",IF(G79="none","No","?")))</f>
        <v/>
      </c>
      <c r="X79" s="10" t="str">
        <f aca="false">IF(C79="","",IF(OR(E79="",E79="unknown"),D79,E79))</f>
        <v/>
      </c>
      <c r="Y79" s="10" t="str">
        <f aca="false">IF(C79="","",IF(OR(T79="unsuitable",T79="retired",X79="no"),"—",IF(J79="","unrated",IF(AND(X79="full",J79&gt;=Settings!$C$5,OR(O79="untested",O79&gt;=Settings!$C$6)),"A",IF(AND(OR(X79="full",X79="reduced"),J79&gt;=Settings!$C$7,OR(O79="untested",O79&gt;=Settings!$C$8)),"B","C")))))</f>
        <v/>
      </c>
      <c r="Z79" s="11" t="str">
        <f aca="false">IF(C79="","",IF(P79&lt;&gt;"",P79,Y79))</f>
        <v/>
      </c>
    </row>
    <row r="80" customFormat="false" ht="15" hidden="false" customHeight="false" outlineLevel="0" collapsed="false">
      <c r="A80" s="9"/>
      <c r="B80" s="10" t="str">
        <f aca="false">IF(A80="","",IFERROR(INDEX(Parks!$A$2:$A$255,MATCH(A80,Parks!$B$2:$B$255,0)),"?"))</f>
        <v/>
      </c>
      <c r="C80" s="9"/>
      <c r="D80" s="10" t="str">
        <f aca="false">IF(C80="","",IF(SUMPRODUCT(--ISNUMBER(SEARCH({"Nets","Wicket","Diamond","Softball","T-ball","Baseball","Netball","Tennis","Bocce","Pentaque","Petanque","Skate","Car Park","Pond","Bridle","Amphitheatre","Perimeter","Passive"},C80)))&gt;0,"no",IF(SUMPRODUCT(--ISNUMBER(SEARCH({"Cricket","Junior","Mini","Summer Football","Small"},C80)))&gt;0,"reduced",IF(SUMPRODUCT(--ISNUMBER(SEARCH({"Rugby","Football","League","Touch","Gaelic","Australian","Lacrosse","General Sport","Training Area","Ultimate"},C80)))&gt;0,"full","unknown"))))</f>
        <v/>
      </c>
      <c r="E80" s="9"/>
      <c r="F80" s="9"/>
      <c r="G80" s="9"/>
      <c r="H80" s="9"/>
      <c r="I80" s="12"/>
      <c r="J80" s="9"/>
      <c r="K80" s="9"/>
      <c r="L80" s="9"/>
      <c r="M80" s="9"/>
      <c r="N80" s="9"/>
      <c r="O80" s="13" t="str">
        <f aca="false">IF(C80="","",IF(N(M80)+N(N80)&lt;Settings!$C$9,"untested",M80/(M80+N80)))</f>
        <v/>
      </c>
      <c r="P80" s="9"/>
      <c r="Q80" s="9"/>
      <c r="R80" s="9"/>
      <c r="S80" s="12"/>
      <c r="T80" s="9"/>
      <c r="U80" s="9"/>
      <c r="V80" s="9"/>
      <c r="W80" s="10" t="str">
        <f aca="false">IF(C80="","",IF(OR(G80="training",G80="full"),"Yes",IF(G80="none","No","?")))</f>
        <v/>
      </c>
      <c r="X80" s="10" t="str">
        <f aca="false">IF(C80="","",IF(OR(E80="",E80="unknown"),D80,E80))</f>
        <v/>
      </c>
      <c r="Y80" s="10" t="str">
        <f aca="false">IF(C80="","",IF(OR(T80="unsuitable",T80="retired",X80="no"),"—",IF(J80="","unrated",IF(AND(X80="full",J80&gt;=Settings!$C$5,OR(O80="untested",O80&gt;=Settings!$C$6)),"A",IF(AND(OR(X80="full",X80="reduced"),J80&gt;=Settings!$C$7,OR(O80="untested",O80&gt;=Settings!$C$8)),"B","C")))))</f>
        <v/>
      </c>
      <c r="Z80" s="11" t="str">
        <f aca="false">IF(C80="","",IF(P80&lt;&gt;"",P80,Y80))</f>
        <v/>
      </c>
    </row>
    <row r="81" customFormat="false" ht="15" hidden="false" customHeight="false" outlineLevel="0" collapsed="false">
      <c r="A81" s="9"/>
      <c r="B81" s="10" t="str">
        <f aca="false">IF(A81="","",IFERROR(INDEX(Parks!$A$2:$A$255,MATCH(A81,Parks!$B$2:$B$255,0)),"?"))</f>
        <v/>
      </c>
      <c r="C81" s="9"/>
      <c r="D81" s="10" t="str">
        <f aca="false">IF(C81="","",IF(SUMPRODUCT(--ISNUMBER(SEARCH({"Nets","Wicket","Diamond","Softball","T-ball","Baseball","Netball","Tennis","Bocce","Pentaque","Petanque","Skate","Car Park","Pond","Bridle","Amphitheatre","Perimeter","Passive"},C81)))&gt;0,"no",IF(SUMPRODUCT(--ISNUMBER(SEARCH({"Cricket","Junior","Mini","Summer Football","Small"},C81)))&gt;0,"reduced",IF(SUMPRODUCT(--ISNUMBER(SEARCH({"Rugby","Football","League","Touch","Gaelic","Australian","Lacrosse","General Sport","Training Area","Ultimate"},C81)))&gt;0,"full","unknown"))))</f>
        <v/>
      </c>
      <c r="E81" s="9"/>
      <c r="F81" s="9"/>
      <c r="G81" s="9"/>
      <c r="H81" s="9"/>
      <c r="I81" s="12"/>
      <c r="J81" s="9"/>
      <c r="K81" s="9"/>
      <c r="L81" s="9"/>
      <c r="M81" s="9"/>
      <c r="N81" s="9"/>
      <c r="O81" s="13" t="str">
        <f aca="false">IF(C81="","",IF(N(M81)+N(N81)&lt;Settings!$C$9,"untested",M81/(M81+N81)))</f>
        <v/>
      </c>
      <c r="P81" s="9"/>
      <c r="Q81" s="9"/>
      <c r="R81" s="9"/>
      <c r="S81" s="12"/>
      <c r="T81" s="9"/>
      <c r="U81" s="9"/>
      <c r="V81" s="9"/>
      <c r="W81" s="10" t="str">
        <f aca="false">IF(C81="","",IF(OR(G81="training",G81="full"),"Yes",IF(G81="none","No","?")))</f>
        <v/>
      </c>
      <c r="X81" s="10" t="str">
        <f aca="false">IF(C81="","",IF(OR(E81="",E81="unknown"),D81,E81))</f>
        <v/>
      </c>
      <c r="Y81" s="10" t="str">
        <f aca="false">IF(C81="","",IF(OR(T81="unsuitable",T81="retired",X81="no"),"—",IF(J81="","unrated",IF(AND(X81="full",J81&gt;=Settings!$C$5,OR(O81="untested",O81&gt;=Settings!$C$6)),"A",IF(AND(OR(X81="full",X81="reduced"),J81&gt;=Settings!$C$7,OR(O81="untested",O81&gt;=Settings!$C$8)),"B","C")))))</f>
        <v/>
      </c>
      <c r="Z81" s="11" t="str">
        <f aca="false">IF(C81="","",IF(P81&lt;&gt;"",P81,Y81))</f>
        <v/>
      </c>
    </row>
    <row r="82" customFormat="false" ht="15" hidden="false" customHeight="false" outlineLevel="0" collapsed="false">
      <c r="A82" s="9"/>
      <c r="B82" s="10" t="str">
        <f aca="false">IF(A82="","",IFERROR(INDEX(Parks!$A$2:$A$255,MATCH(A82,Parks!$B$2:$B$255,0)),"?"))</f>
        <v/>
      </c>
      <c r="C82" s="9"/>
      <c r="D82" s="10" t="str">
        <f aca="false">IF(C82="","",IF(SUMPRODUCT(--ISNUMBER(SEARCH({"Nets","Wicket","Diamond","Softball","T-ball","Baseball","Netball","Tennis","Bocce","Pentaque","Petanque","Skate","Car Park","Pond","Bridle","Amphitheatre","Perimeter","Passive"},C82)))&gt;0,"no",IF(SUMPRODUCT(--ISNUMBER(SEARCH({"Cricket","Junior","Mini","Summer Football","Small"},C82)))&gt;0,"reduced",IF(SUMPRODUCT(--ISNUMBER(SEARCH({"Rugby","Football","League","Touch","Gaelic","Australian","Lacrosse","General Sport","Training Area","Ultimate"},C82)))&gt;0,"full","unknown"))))</f>
        <v/>
      </c>
      <c r="E82" s="9"/>
      <c r="F82" s="9"/>
      <c r="G82" s="9"/>
      <c r="H82" s="9"/>
      <c r="I82" s="12"/>
      <c r="J82" s="9"/>
      <c r="K82" s="9"/>
      <c r="L82" s="9"/>
      <c r="M82" s="9"/>
      <c r="N82" s="9"/>
      <c r="O82" s="13" t="str">
        <f aca="false">IF(C82="","",IF(N(M82)+N(N82)&lt;Settings!$C$9,"untested",M82/(M82+N82)))</f>
        <v/>
      </c>
      <c r="P82" s="9"/>
      <c r="Q82" s="9"/>
      <c r="R82" s="9"/>
      <c r="S82" s="12"/>
      <c r="T82" s="9"/>
      <c r="U82" s="9"/>
      <c r="V82" s="9"/>
      <c r="W82" s="10" t="str">
        <f aca="false">IF(C82="","",IF(OR(G82="training",G82="full"),"Yes",IF(G82="none","No","?")))</f>
        <v/>
      </c>
      <c r="X82" s="10" t="str">
        <f aca="false">IF(C82="","",IF(OR(E82="",E82="unknown"),D82,E82))</f>
        <v/>
      </c>
      <c r="Y82" s="10" t="str">
        <f aca="false">IF(C82="","",IF(OR(T82="unsuitable",T82="retired",X82="no"),"—",IF(J82="","unrated",IF(AND(X82="full",J82&gt;=Settings!$C$5,OR(O82="untested",O82&gt;=Settings!$C$6)),"A",IF(AND(OR(X82="full",X82="reduced"),J82&gt;=Settings!$C$7,OR(O82="untested",O82&gt;=Settings!$C$8)),"B","C")))))</f>
        <v/>
      </c>
      <c r="Z82" s="11" t="str">
        <f aca="false">IF(C82="","",IF(P82&lt;&gt;"",P82,Y82))</f>
        <v/>
      </c>
    </row>
    <row r="83" customFormat="false" ht="15" hidden="false" customHeight="false" outlineLevel="0" collapsed="false">
      <c r="A83" s="9"/>
      <c r="B83" s="10" t="str">
        <f aca="false">IF(A83="","",IFERROR(INDEX(Parks!$A$2:$A$255,MATCH(A83,Parks!$B$2:$B$255,0)),"?"))</f>
        <v/>
      </c>
      <c r="C83" s="9"/>
      <c r="D83" s="10" t="str">
        <f aca="false">IF(C83="","",IF(SUMPRODUCT(--ISNUMBER(SEARCH({"Nets","Wicket","Diamond","Softball","T-ball","Baseball","Netball","Tennis","Bocce","Pentaque","Petanque","Skate","Car Park","Pond","Bridle","Amphitheatre","Perimeter","Passive"},C83)))&gt;0,"no",IF(SUMPRODUCT(--ISNUMBER(SEARCH({"Cricket","Junior","Mini","Summer Football","Small"},C83)))&gt;0,"reduced",IF(SUMPRODUCT(--ISNUMBER(SEARCH({"Rugby","Football","League","Touch","Gaelic","Australian","Lacrosse","General Sport","Training Area","Ultimate"},C83)))&gt;0,"full","unknown"))))</f>
        <v/>
      </c>
      <c r="E83" s="9"/>
      <c r="F83" s="9"/>
      <c r="G83" s="9"/>
      <c r="H83" s="9"/>
      <c r="I83" s="12"/>
      <c r="J83" s="9"/>
      <c r="K83" s="9"/>
      <c r="L83" s="9"/>
      <c r="M83" s="9"/>
      <c r="N83" s="9"/>
      <c r="O83" s="13" t="str">
        <f aca="false">IF(C83="","",IF(N(M83)+N(N83)&lt;Settings!$C$9,"untested",M83/(M83+N83)))</f>
        <v/>
      </c>
      <c r="P83" s="9"/>
      <c r="Q83" s="9"/>
      <c r="R83" s="9"/>
      <c r="S83" s="12"/>
      <c r="T83" s="9"/>
      <c r="U83" s="9"/>
      <c r="V83" s="9"/>
      <c r="W83" s="10" t="str">
        <f aca="false">IF(C83="","",IF(OR(G83="training",G83="full"),"Yes",IF(G83="none","No","?")))</f>
        <v/>
      </c>
      <c r="X83" s="10" t="str">
        <f aca="false">IF(C83="","",IF(OR(E83="",E83="unknown"),D83,E83))</f>
        <v/>
      </c>
      <c r="Y83" s="10" t="str">
        <f aca="false">IF(C83="","",IF(OR(T83="unsuitable",T83="retired",X83="no"),"—",IF(J83="","unrated",IF(AND(X83="full",J83&gt;=Settings!$C$5,OR(O83="untested",O83&gt;=Settings!$C$6)),"A",IF(AND(OR(X83="full",X83="reduced"),J83&gt;=Settings!$C$7,OR(O83="untested",O83&gt;=Settings!$C$8)),"B","C")))))</f>
        <v/>
      </c>
      <c r="Z83" s="11" t="str">
        <f aca="false">IF(C83="","",IF(P83&lt;&gt;"",P83,Y83))</f>
        <v/>
      </c>
    </row>
    <row r="84" customFormat="false" ht="15" hidden="false" customHeight="false" outlineLevel="0" collapsed="false">
      <c r="A84" s="9"/>
      <c r="B84" s="10" t="str">
        <f aca="false">IF(A84="","",IFERROR(INDEX(Parks!$A$2:$A$255,MATCH(A84,Parks!$B$2:$B$255,0)),"?"))</f>
        <v/>
      </c>
      <c r="C84" s="9"/>
      <c r="D84" s="10" t="str">
        <f aca="false">IF(C84="","",IF(SUMPRODUCT(--ISNUMBER(SEARCH({"Nets","Wicket","Diamond","Softball","T-ball","Baseball","Netball","Tennis","Bocce","Pentaque","Petanque","Skate","Car Park","Pond","Bridle","Amphitheatre","Perimeter","Passive"},C84)))&gt;0,"no",IF(SUMPRODUCT(--ISNUMBER(SEARCH({"Cricket","Junior","Mini","Summer Football","Small"},C84)))&gt;0,"reduced",IF(SUMPRODUCT(--ISNUMBER(SEARCH({"Rugby","Football","League","Touch","Gaelic","Australian","Lacrosse","General Sport","Training Area","Ultimate"},C84)))&gt;0,"full","unknown"))))</f>
        <v/>
      </c>
      <c r="E84" s="9"/>
      <c r="F84" s="9"/>
      <c r="G84" s="9"/>
      <c r="H84" s="9"/>
      <c r="I84" s="12"/>
      <c r="J84" s="9"/>
      <c r="K84" s="9"/>
      <c r="L84" s="9"/>
      <c r="M84" s="9"/>
      <c r="N84" s="9"/>
      <c r="O84" s="13" t="str">
        <f aca="false">IF(C84="","",IF(N(M84)+N(N84)&lt;Settings!$C$9,"untested",M84/(M84+N84)))</f>
        <v/>
      </c>
      <c r="P84" s="9"/>
      <c r="Q84" s="9"/>
      <c r="R84" s="9"/>
      <c r="S84" s="12"/>
      <c r="T84" s="9"/>
      <c r="U84" s="9"/>
      <c r="V84" s="9"/>
      <c r="W84" s="10" t="str">
        <f aca="false">IF(C84="","",IF(OR(G84="training",G84="full"),"Yes",IF(G84="none","No","?")))</f>
        <v/>
      </c>
      <c r="X84" s="10" t="str">
        <f aca="false">IF(C84="","",IF(OR(E84="",E84="unknown"),D84,E84))</f>
        <v/>
      </c>
      <c r="Y84" s="10" t="str">
        <f aca="false">IF(C84="","",IF(OR(T84="unsuitable",T84="retired",X84="no"),"—",IF(J84="","unrated",IF(AND(X84="full",J84&gt;=Settings!$C$5,OR(O84="untested",O84&gt;=Settings!$C$6)),"A",IF(AND(OR(X84="full",X84="reduced"),J84&gt;=Settings!$C$7,OR(O84="untested",O84&gt;=Settings!$C$8)),"B","C")))))</f>
        <v/>
      </c>
      <c r="Z84" s="11" t="str">
        <f aca="false">IF(C84="","",IF(P84&lt;&gt;"",P84,Y84))</f>
        <v/>
      </c>
    </row>
    <row r="85" customFormat="false" ht="15" hidden="false" customHeight="false" outlineLevel="0" collapsed="false">
      <c r="A85" s="9"/>
      <c r="B85" s="10" t="str">
        <f aca="false">IF(A85="","",IFERROR(INDEX(Parks!$A$2:$A$255,MATCH(A85,Parks!$B$2:$B$255,0)),"?"))</f>
        <v/>
      </c>
      <c r="C85" s="9"/>
      <c r="D85" s="10" t="str">
        <f aca="false">IF(C85="","",IF(SUMPRODUCT(--ISNUMBER(SEARCH({"Nets","Wicket","Diamond","Softball","T-ball","Baseball","Netball","Tennis","Bocce","Pentaque","Petanque","Skate","Car Park","Pond","Bridle","Amphitheatre","Perimeter","Passive"},C85)))&gt;0,"no",IF(SUMPRODUCT(--ISNUMBER(SEARCH({"Cricket","Junior","Mini","Summer Football","Small"},C85)))&gt;0,"reduced",IF(SUMPRODUCT(--ISNUMBER(SEARCH({"Rugby","Football","League","Touch","Gaelic","Australian","Lacrosse","General Sport","Training Area","Ultimate"},C85)))&gt;0,"full","unknown"))))</f>
        <v/>
      </c>
      <c r="E85" s="9"/>
      <c r="F85" s="9"/>
      <c r="G85" s="9"/>
      <c r="H85" s="9"/>
      <c r="I85" s="12"/>
      <c r="J85" s="9"/>
      <c r="K85" s="9"/>
      <c r="L85" s="9"/>
      <c r="M85" s="9"/>
      <c r="N85" s="9"/>
      <c r="O85" s="13" t="str">
        <f aca="false">IF(C85="","",IF(N(M85)+N(N85)&lt;Settings!$C$9,"untested",M85/(M85+N85)))</f>
        <v/>
      </c>
      <c r="P85" s="9"/>
      <c r="Q85" s="9"/>
      <c r="R85" s="9"/>
      <c r="S85" s="12"/>
      <c r="T85" s="9"/>
      <c r="U85" s="9"/>
      <c r="V85" s="9"/>
      <c r="W85" s="10" t="str">
        <f aca="false">IF(C85="","",IF(OR(G85="training",G85="full"),"Yes",IF(G85="none","No","?")))</f>
        <v/>
      </c>
      <c r="X85" s="10" t="str">
        <f aca="false">IF(C85="","",IF(OR(E85="",E85="unknown"),D85,E85))</f>
        <v/>
      </c>
      <c r="Y85" s="10" t="str">
        <f aca="false">IF(C85="","",IF(OR(T85="unsuitable",T85="retired",X85="no"),"—",IF(J85="","unrated",IF(AND(X85="full",J85&gt;=Settings!$C$5,OR(O85="untested",O85&gt;=Settings!$C$6)),"A",IF(AND(OR(X85="full",X85="reduced"),J85&gt;=Settings!$C$7,OR(O85="untested",O85&gt;=Settings!$C$8)),"B","C")))))</f>
        <v/>
      </c>
      <c r="Z85" s="11" t="str">
        <f aca="false">IF(C85="","",IF(P85&lt;&gt;"",P85,Y85))</f>
        <v/>
      </c>
    </row>
    <row r="86" customFormat="false" ht="15" hidden="false" customHeight="false" outlineLevel="0" collapsed="false">
      <c r="A86" s="9"/>
      <c r="B86" s="10" t="str">
        <f aca="false">IF(A86="","",IFERROR(INDEX(Parks!$A$2:$A$255,MATCH(A86,Parks!$B$2:$B$255,0)),"?"))</f>
        <v/>
      </c>
      <c r="C86" s="9"/>
      <c r="D86" s="10" t="str">
        <f aca="false">IF(C86="","",IF(SUMPRODUCT(--ISNUMBER(SEARCH({"Nets","Wicket","Diamond","Softball","T-ball","Baseball","Netball","Tennis","Bocce","Pentaque","Petanque","Skate","Car Park","Pond","Bridle","Amphitheatre","Perimeter","Passive"},C86)))&gt;0,"no",IF(SUMPRODUCT(--ISNUMBER(SEARCH({"Cricket","Junior","Mini","Summer Football","Small"},C86)))&gt;0,"reduced",IF(SUMPRODUCT(--ISNUMBER(SEARCH({"Rugby","Football","League","Touch","Gaelic","Australian","Lacrosse","General Sport","Training Area","Ultimate"},C86)))&gt;0,"full","unknown"))))</f>
        <v/>
      </c>
      <c r="E86" s="9"/>
      <c r="F86" s="9"/>
      <c r="G86" s="9"/>
      <c r="H86" s="9"/>
      <c r="I86" s="12"/>
      <c r="J86" s="9"/>
      <c r="K86" s="9"/>
      <c r="L86" s="9"/>
      <c r="M86" s="9"/>
      <c r="N86" s="9"/>
      <c r="O86" s="13" t="str">
        <f aca="false">IF(C86="","",IF(N(M86)+N(N86)&lt;Settings!$C$9,"untested",M86/(M86+N86)))</f>
        <v/>
      </c>
      <c r="P86" s="9"/>
      <c r="Q86" s="9"/>
      <c r="R86" s="9"/>
      <c r="S86" s="12"/>
      <c r="T86" s="9"/>
      <c r="U86" s="9"/>
      <c r="V86" s="9"/>
      <c r="W86" s="10" t="str">
        <f aca="false">IF(C86="","",IF(OR(G86="training",G86="full"),"Yes",IF(G86="none","No","?")))</f>
        <v/>
      </c>
      <c r="X86" s="10" t="str">
        <f aca="false">IF(C86="","",IF(OR(E86="",E86="unknown"),D86,E86))</f>
        <v/>
      </c>
      <c r="Y86" s="10" t="str">
        <f aca="false">IF(C86="","",IF(OR(T86="unsuitable",T86="retired",X86="no"),"—",IF(J86="","unrated",IF(AND(X86="full",J86&gt;=Settings!$C$5,OR(O86="untested",O86&gt;=Settings!$C$6)),"A",IF(AND(OR(X86="full",X86="reduced"),J86&gt;=Settings!$C$7,OR(O86="untested",O86&gt;=Settings!$C$8)),"B","C")))))</f>
        <v/>
      </c>
      <c r="Z86" s="11" t="str">
        <f aca="false">IF(C86="","",IF(P86&lt;&gt;"",P86,Y86))</f>
        <v/>
      </c>
    </row>
    <row r="87" customFormat="false" ht="15" hidden="false" customHeight="false" outlineLevel="0" collapsed="false">
      <c r="A87" s="9"/>
      <c r="B87" s="10" t="str">
        <f aca="false">IF(A87="","",IFERROR(INDEX(Parks!$A$2:$A$255,MATCH(A87,Parks!$B$2:$B$255,0)),"?"))</f>
        <v/>
      </c>
      <c r="C87" s="9"/>
      <c r="D87" s="10" t="str">
        <f aca="false">IF(C87="","",IF(SUMPRODUCT(--ISNUMBER(SEARCH({"Nets","Wicket","Diamond","Softball","T-ball","Baseball","Netball","Tennis","Bocce","Pentaque","Petanque","Skate","Car Park","Pond","Bridle","Amphitheatre","Perimeter","Passive"},C87)))&gt;0,"no",IF(SUMPRODUCT(--ISNUMBER(SEARCH({"Cricket","Junior","Mini","Summer Football","Small"},C87)))&gt;0,"reduced",IF(SUMPRODUCT(--ISNUMBER(SEARCH({"Rugby","Football","League","Touch","Gaelic","Australian","Lacrosse","General Sport","Training Area","Ultimate"},C87)))&gt;0,"full","unknown"))))</f>
        <v/>
      </c>
      <c r="E87" s="9"/>
      <c r="F87" s="9"/>
      <c r="G87" s="9"/>
      <c r="H87" s="9"/>
      <c r="I87" s="12"/>
      <c r="J87" s="9"/>
      <c r="K87" s="9"/>
      <c r="L87" s="9"/>
      <c r="M87" s="9"/>
      <c r="N87" s="9"/>
      <c r="O87" s="13" t="str">
        <f aca="false">IF(C87="","",IF(N(M87)+N(N87)&lt;Settings!$C$9,"untested",M87/(M87+N87)))</f>
        <v/>
      </c>
      <c r="P87" s="9"/>
      <c r="Q87" s="9"/>
      <c r="R87" s="9"/>
      <c r="S87" s="12"/>
      <c r="T87" s="9"/>
      <c r="U87" s="9"/>
      <c r="V87" s="9"/>
      <c r="W87" s="10" t="str">
        <f aca="false">IF(C87="","",IF(OR(G87="training",G87="full"),"Yes",IF(G87="none","No","?")))</f>
        <v/>
      </c>
      <c r="X87" s="10" t="str">
        <f aca="false">IF(C87="","",IF(OR(E87="",E87="unknown"),D87,E87))</f>
        <v/>
      </c>
      <c r="Y87" s="10" t="str">
        <f aca="false">IF(C87="","",IF(OR(T87="unsuitable",T87="retired",X87="no"),"—",IF(J87="","unrated",IF(AND(X87="full",J87&gt;=Settings!$C$5,OR(O87="untested",O87&gt;=Settings!$C$6)),"A",IF(AND(OR(X87="full",X87="reduced"),J87&gt;=Settings!$C$7,OR(O87="untested",O87&gt;=Settings!$C$8)),"B","C")))))</f>
        <v/>
      </c>
      <c r="Z87" s="11" t="str">
        <f aca="false">IF(C87="","",IF(P87&lt;&gt;"",P87,Y87))</f>
        <v/>
      </c>
    </row>
    <row r="88" customFormat="false" ht="15" hidden="false" customHeight="false" outlineLevel="0" collapsed="false">
      <c r="A88" s="9"/>
      <c r="B88" s="10" t="str">
        <f aca="false">IF(A88="","",IFERROR(INDEX(Parks!$A$2:$A$255,MATCH(A88,Parks!$B$2:$B$255,0)),"?"))</f>
        <v/>
      </c>
      <c r="C88" s="9"/>
      <c r="D88" s="10" t="str">
        <f aca="false">IF(C88="","",IF(SUMPRODUCT(--ISNUMBER(SEARCH({"Nets","Wicket","Diamond","Softball","T-ball","Baseball","Netball","Tennis","Bocce","Pentaque","Petanque","Skate","Car Park","Pond","Bridle","Amphitheatre","Perimeter","Passive"},C88)))&gt;0,"no",IF(SUMPRODUCT(--ISNUMBER(SEARCH({"Cricket","Junior","Mini","Summer Football","Small"},C88)))&gt;0,"reduced",IF(SUMPRODUCT(--ISNUMBER(SEARCH({"Rugby","Football","League","Touch","Gaelic","Australian","Lacrosse","General Sport","Training Area","Ultimate"},C88)))&gt;0,"full","unknown"))))</f>
        <v/>
      </c>
      <c r="E88" s="9"/>
      <c r="F88" s="9"/>
      <c r="G88" s="9"/>
      <c r="H88" s="9"/>
      <c r="I88" s="12"/>
      <c r="J88" s="9"/>
      <c r="K88" s="9"/>
      <c r="L88" s="9"/>
      <c r="M88" s="9"/>
      <c r="N88" s="9"/>
      <c r="O88" s="13" t="str">
        <f aca="false">IF(C88="","",IF(N(M88)+N(N88)&lt;Settings!$C$9,"untested",M88/(M88+N88)))</f>
        <v/>
      </c>
      <c r="P88" s="9"/>
      <c r="Q88" s="9"/>
      <c r="R88" s="9"/>
      <c r="S88" s="12"/>
      <c r="T88" s="9"/>
      <c r="U88" s="9"/>
      <c r="V88" s="9"/>
      <c r="W88" s="10" t="str">
        <f aca="false">IF(C88="","",IF(OR(G88="training",G88="full"),"Yes",IF(G88="none","No","?")))</f>
        <v/>
      </c>
      <c r="X88" s="10" t="str">
        <f aca="false">IF(C88="","",IF(OR(E88="",E88="unknown"),D88,E88))</f>
        <v/>
      </c>
      <c r="Y88" s="10" t="str">
        <f aca="false">IF(C88="","",IF(OR(T88="unsuitable",T88="retired",X88="no"),"—",IF(J88="","unrated",IF(AND(X88="full",J88&gt;=Settings!$C$5,OR(O88="untested",O88&gt;=Settings!$C$6)),"A",IF(AND(OR(X88="full",X88="reduced"),J88&gt;=Settings!$C$7,OR(O88="untested",O88&gt;=Settings!$C$8)),"B","C")))))</f>
        <v/>
      </c>
      <c r="Z88" s="11" t="str">
        <f aca="false">IF(C88="","",IF(P88&lt;&gt;"",P88,Y88))</f>
        <v/>
      </c>
    </row>
    <row r="89" customFormat="false" ht="15" hidden="false" customHeight="false" outlineLevel="0" collapsed="false">
      <c r="A89" s="9"/>
      <c r="B89" s="10" t="str">
        <f aca="false">IF(A89="","",IFERROR(INDEX(Parks!$A$2:$A$255,MATCH(A89,Parks!$B$2:$B$255,0)),"?"))</f>
        <v/>
      </c>
      <c r="C89" s="9"/>
      <c r="D89" s="10" t="str">
        <f aca="false">IF(C89="","",IF(SUMPRODUCT(--ISNUMBER(SEARCH({"Nets","Wicket","Diamond","Softball","T-ball","Baseball","Netball","Tennis","Bocce","Pentaque","Petanque","Skate","Car Park","Pond","Bridle","Amphitheatre","Perimeter","Passive"},C89)))&gt;0,"no",IF(SUMPRODUCT(--ISNUMBER(SEARCH({"Cricket","Junior","Mini","Summer Football","Small"},C89)))&gt;0,"reduced",IF(SUMPRODUCT(--ISNUMBER(SEARCH({"Rugby","Football","League","Touch","Gaelic","Australian","Lacrosse","General Sport","Training Area","Ultimate"},C89)))&gt;0,"full","unknown"))))</f>
        <v/>
      </c>
      <c r="E89" s="9"/>
      <c r="F89" s="9"/>
      <c r="G89" s="9"/>
      <c r="H89" s="9"/>
      <c r="I89" s="12"/>
      <c r="J89" s="9"/>
      <c r="K89" s="9"/>
      <c r="L89" s="9"/>
      <c r="M89" s="9"/>
      <c r="N89" s="9"/>
      <c r="O89" s="13" t="str">
        <f aca="false">IF(C89="","",IF(N(M89)+N(N89)&lt;Settings!$C$9,"untested",M89/(M89+N89)))</f>
        <v/>
      </c>
      <c r="P89" s="9"/>
      <c r="Q89" s="9"/>
      <c r="R89" s="9"/>
      <c r="S89" s="12"/>
      <c r="T89" s="9"/>
      <c r="U89" s="9"/>
      <c r="V89" s="9"/>
      <c r="W89" s="10" t="str">
        <f aca="false">IF(C89="","",IF(OR(G89="training",G89="full"),"Yes",IF(G89="none","No","?")))</f>
        <v/>
      </c>
      <c r="X89" s="10" t="str">
        <f aca="false">IF(C89="","",IF(OR(E89="",E89="unknown"),D89,E89))</f>
        <v/>
      </c>
      <c r="Y89" s="10" t="str">
        <f aca="false">IF(C89="","",IF(OR(T89="unsuitable",T89="retired",X89="no"),"—",IF(J89="","unrated",IF(AND(X89="full",J89&gt;=Settings!$C$5,OR(O89="untested",O89&gt;=Settings!$C$6)),"A",IF(AND(OR(X89="full",X89="reduced"),J89&gt;=Settings!$C$7,OR(O89="untested",O89&gt;=Settings!$C$8)),"B","C")))))</f>
        <v/>
      </c>
      <c r="Z89" s="11" t="str">
        <f aca="false">IF(C89="","",IF(P89&lt;&gt;"",P89,Y89))</f>
        <v/>
      </c>
    </row>
    <row r="90" customFormat="false" ht="15" hidden="false" customHeight="false" outlineLevel="0" collapsed="false">
      <c r="A90" s="9"/>
      <c r="B90" s="10" t="str">
        <f aca="false">IF(A90="","",IFERROR(INDEX(Parks!$A$2:$A$255,MATCH(A90,Parks!$B$2:$B$255,0)),"?"))</f>
        <v/>
      </c>
      <c r="C90" s="9"/>
      <c r="D90" s="10" t="str">
        <f aca="false">IF(C90="","",IF(SUMPRODUCT(--ISNUMBER(SEARCH({"Nets","Wicket","Diamond","Softball","T-ball","Baseball","Netball","Tennis","Bocce","Pentaque","Petanque","Skate","Car Park","Pond","Bridle","Amphitheatre","Perimeter","Passive"},C90)))&gt;0,"no",IF(SUMPRODUCT(--ISNUMBER(SEARCH({"Cricket","Junior","Mini","Summer Football","Small"},C90)))&gt;0,"reduced",IF(SUMPRODUCT(--ISNUMBER(SEARCH({"Rugby","Football","League","Touch","Gaelic","Australian","Lacrosse","General Sport","Training Area","Ultimate"},C90)))&gt;0,"full","unknown"))))</f>
        <v/>
      </c>
      <c r="E90" s="9"/>
      <c r="F90" s="9"/>
      <c r="G90" s="9"/>
      <c r="H90" s="9"/>
      <c r="I90" s="12"/>
      <c r="J90" s="9"/>
      <c r="K90" s="9"/>
      <c r="L90" s="9"/>
      <c r="M90" s="9"/>
      <c r="N90" s="9"/>
      <c r="O90" s="13" t="str">
        <f aca="false">IF(C90="","",IF(N(M90)+N(N90)&lt;Settings!$C$9,"untested",M90/(M90+N90)))</f>
        <v/>
      </c>
      <c r="P90" s="9"/>
      <c r="Q90" s="9"/>
      <c r="R90" s="9"/>
      <c r="S90" s="12"/>
      <c r="T90" s="9"/>
      <c r="U90" s="9"/>
      <c r="V90" s="9"/>
      <c r="W90" s="10" t="str">
        <f aca="false">IF(C90="","",IF(OR(G90="training",G90="full"),"Yes",IF(G90="none","No","?")))</f>
        <v/>
      </c>
      <c r="X90" s="10" t="str">
        <f aca="false">IF(C90="","",IF(OR(E90="",E90="unknown"),D90,E90))</f>
        <v/>
      </c>
      <c r="Y90" s="10" t="str">
        <f aca="false">IF(C90="","",IF(OR(T90="unsuitable",T90="retired",X90="no"),"—",IF(J90="","unrated",IF(AND(X90="full",J90&gt;=Settings!$C$5,OR(O90="untested",O90&gt;=Settings!$C$6)),"A",IF(AND(OR(X90="full",X90="reduced"),J90&gt;=Settings!$C$7,OR(O90="untested",O90&gt;=Settings!$C$8)),"B","C")))))</f>
        <v/>
      </c>
      <c r="Z90" s="11" t="str">
        <f aca="false">IF(C90="","",IF(P90&lt;&gt;"",P90,Y90))</f>
        <v/>
      </c>
    </row>
    <row r="91" customFormat="false" ht="15" hidden="false" customHeight="false" outlineLevel="0" collapsed="false">
      <c r="A91" s="9"/>
      <c r="B91" s="10" t="str">
        <f aca="false">IF(A91="","",IFERROR(INDEX(Parks!$A$2:$A$255,MATCH(A91,Parks!$B$2:$B$255,0)),"?"))</f>
        <v/>
      </c>
      <c r="C91" s="9"/>
      <c r="D91" s="10" t="str">
        <f aca="false">IF(C91="","",IF(SUMPRODUCT(--ISNUMBER(SEARCH({"Nets","Wicket","Diamond","Softball","T-ball","Baseball","Netball","Tennis","Bocce","Pentaque","Petanque","Skate","Car Park","Pond","Bridle","Amphitheatre","Perimeter","Passive"},C91)))&gt;0,"no",IF(SUMPRODUCT(--ISNUMBER(SEARCH({"Cricket","Junior","Mini","Summer Football","Small"},C91)))&gt;0,"reduced",IF(SUMPRODUCT(--ISNUMBER(SEARCH({"Rugby","Football","League","Touch","Gaelic","Australian","Lacrosse","General Sport","Training Area","Ultimate"},C91)))&gt;0,"full","unknown"))))</f>
        <v/>
      </c>
      <c r="E91" s="9"/>
      <c r="F91" s="9"/>
      <c r="G91" s="9"/>
      <c r="H91" s="9"/>
      <c r="I91" s="12"/>
      <c r="J91" s="9"/>
      <c r="K91" s="9"/>
      <c r="L91" s="9"/>
      <c r="M91" s="9"/>
      <c r="N91" s="9"/>
      <c r="O91" s="13" t="str">
        <f aca="false">IF(C91="","",IF(N(M91)+N(N91)&lt;Settings!$C$9,"untested",M91/(M91+N91)))</f>
        <v/>
      </c>
      <c r="P91" s="9"/>
      <c r="Q91" s="9"/>
      <c r="R91" s="9"/>
      <c r="S91" s="12"/>
      <c r="T91" s="9"/>
      <c r="U91" s="9"/>
      <c r="V91" s="9"/>
      <c r="W91" s="10" t="str">
        <f aca="false">IF(C91="","",IF(OR(G91="training",G91="full"),"Yes",IF(G91="none","No","?")))</f>
        <v/>
      </c>
      <c r="X91" s="10" t="str">
        <f aca="false">IF(C91="","",IF(OR(E91="",E91="unknown"),D91,E91))</f>
        <v/>
      </c>
      <c r="Y91" s="10" t="str">
        <f aca="false">IF(C91="","",IF(OR(T91="unsuitable",T91="retired",X91="no"),"—",IF(J91="","unrated",IF(AND(X91="full",J91&gt;=Settings!$C$5,OR(O91="untested",O91&gt;=Settings!$C$6)),"A",IF(AND(OR(X91="full",X91="reduced"),J91&gt;=Settings!$C$7,OR(O91="untested",O91&gt;=Settings!$C$8)),"B","C")))))</f>
        <v/>
      </c>
      <c r="Z91" s="11" t="str">
        <f aca="false">IF(C91="","",IF(P91&lt;&gt;"",P91,Y91))</f>
        <v/>
      </c>
    </row>
    <row r="92" customFormat="false" ht="15" hidden="false" customHeight="false" outlineLevel="0" collapsed="false">
      <c r="A92" s="9"/>
      <c r="B92" s="10" t="str">
        <f aca="false">IF(A92="","",IFERROR(INDEX(Parks!$A$2:$A$255,MATCH(A92,Parks!$B$2:$B$255,0)),"?"))</f>
        <v/>
      </c>
      <c r="C92" s="9"/>
      <c r="D92" s="10" t="str">
        <f aca="false">IF(C92="","",IF(SUMPRODUCT(--ISNUMBER(SEARCH({"Nets","Wicket","Diamond","Softball","T-ball","Baseball","Netball","Tennis","Bocce","Pentaque","Petanque","Skate","Car Park","Pond","Bridle","Amphitheatre","Perimeter","Passive"},C92)))&gt;0,"no",IF(SUMPRODUCT(--ISNUMBER(SEARCH({"Cricket","Junior","Mini","Summer Football","Small"},C92)))&gt;0,"reduced",IF(SUMPRODUCT(--ISNUMBER(SEARCH({"Rugby","Football","League","Touch","Gaelic","Australian","Lacrosse","General Sport","Training Area","Ultimate"},C92)))&gt;0,"full","unknown"))))</f>
        <v/>
      </c>
      <c r="E92" s="9"/>
      <c r="F92" s="9"/>
      <c r="G92" s="9"/>
      <c r="H92" s="9"/>
      <c r="I92" s="12"/>
      <c r="J92" s="9"/>
      <c r="K92" s="9"/>
      <c r="L92" s="9"/>
      <c r="M92" s="9"/>
      <c r="N92" s="9"/>
      <c r="O92" s="13" t="str">
        <f aca="false">IF(C92="","",IF(N(M92)+N(N92)&lt;Settings!$C$9,"untested",M92/(M92+N92)))</f>
        <v/>
      </c>
      <c r="P92" s="9"/>
      <c r="Q92" s="9"/>
      <c r="R92" s="9"/>
      <c r="S92" s="12"/>
      <c r="T92" s="9"/>
      <c r="U92" s="9"/>
      <c r="V92" s="9"/>
      <c r="W92" s="10" t="str">
        <f aca="false">IF(C92="","",IF(OR(G92="training",G92="full"),"Yes",IF(G92="none","No","?")))</f>
        <v/>
      </c>
      <c r="X92" s="10" t="str">
        <f aca="false">IF(C92="","",IF(OR(E92="",E92="unknown"),D92,E92))</f>
        <v/>
      </c>
      <c r="Y92" s="10" t="str">
        <f aca="false">IF(C92="","",IF(OR(T92="unsuitable",T92="retired",X92="no"),"—",IF(J92="","unrated",IF(AND(X92="full",J92&gt;=Settings!$C$5,OR(O92="untested",O92&gt;=Settings!$C$6)),"A",IF(AND(OR(X92="full",X92="reduced"),J92&gt;=Settings!$C$7,OR(O92="untested",O92&gt;=Settings!$C$8)),"B","C")))))</f>
        <v/>
      </c>
      <c r="Z92" s="11" t="str">
        <f aca="false">IF(C92="","",IF(P92&lt;&gt;"",P92,Y92))</f>
        <v/>
      </c>
    </row>
    <row r="93" customFormat="false" ht="15" hidden="false" customHeight="false" outlineLevel="0" collapsed="false">
      <c r="A93" s="9"/>
      <c r="B93" s="10" t="str">
        <f aca="false">IF(A93="","",IFERROR(INDEX(Parks!$A$2:$A$255,MATCH(A93,Parks!$B$2:$B$255,0)),"?"))</f>
        <v/>
      </c>
      <c r="C93" s="9"/>
      <c r="D93" s="10" t="str">
        <f aca="false">IF(C93="","",IF(SUMPRODUCT(--ISNUMBER(SEARCH({"Nets","Wicket","Diamond","Softball","T-ball","Baseball","Netball","Tennis","Bocce","Pentaque","Petanque","Skate","Car Park","Pond","Bridle","Amphitheatre","Perimeter","Passive"},C93)))&gt;0,"no",IF(SUMPRODUCT(--ISNUMBER(SEARCH({"Cricket","Junior","Mini","Summer Football","Small"},C93)))&gt;0,"reduced",IF(SUMPRODUCT(--ISNUMBER(SEARCH({"Rugby","Football","League","Touch","Gaelic","Australian","Lacrosse","General Sport","Training Area","Ultimate"},C93)))&gt;0,"full","unknown"))))</f>
        <v/>
      </c>
      <c r="E93" s="9"/>
      <c r="F93" s="9"/>
      <c r="G93" s="9"/>
      <c r="H93" s="9"/>
      <c r="I93" s="12"/>
      <c r="J93" s="9"/>
      <c r="K93" s="9"/>
      <c r="L93" s="9"/>
      <c r="M93" s="9"/>
      <c r="N93" s="9"/>
      <c r="O93" s="13" t="str">
        <f aca="false">IF(C93="","",IF(N(M93)+N(N93)&lt;Settings!$C$9,"untested",M93/(M93+N93)))</f>
        <v/>
      </c>
      <c r="P93" s="9"/>
      <c r="Q93" s="9"/>
      <c r="R93" s="9"/>
      <c r="S93" s="12"/>
      <c r="T93" s="9"/>
      <c r="U93" s="9"/>
      <c r="V93" s="9"/>
      <c r="W93" s="10" t="str">
        <f aca="false">IF(C93="","",IF(OR(G93="training",G93="full"),"Yes",IF(G93="none","No","?")))</f>
        <v/>
      </c>
      <c r="X93" s="10" t="str">
        <f aca="false">IF(C93="","",IF(OR(E93="",E93="unknown"),D93,E93))</f>
        <v/>
      </c>
      <c r="Y93" s="10" t="str">
        <f aca="false">IF(C93="","",IF(OR(T93="unsuitable",T93="retired",X93="no"),"—",IF(J93="","unrated",IF(AND(X93="full",J93&gt;=Settings!$C$5,OR(O93="untested",O93&gt;=Settings!$C$6)),"A",IF(AND(OR(X93="full",X93="reduced"),J93&gt;=Settings!$C$7,OR(O93="untested",O93&gt;=Settings!$C$8)),"B","C")))))</f>
        <v/>
      </c>
      <c r="Z93" s="11" t="str">
        <f aca="false">IF(C93="","",IF(P93&lt;&gt;"",P93,Y93))</f>
        <v/>
      </c>
    </row>
    <row r="94" customFormat="false" ht="15" hidden="false" customHeight="false" outlineLevel="0" collapsed="false">
      <c r="A94" s="9"/>
      <c r="B94" s="10" t="str">
        <f aca="false">IF(A94="","",IFERROR(INDEX(Parks!$A$2:$A$255,MATCH(A94,Parks!$B$2:$B$255,0)),"?"))</f>
        <v/>
      </c>
      <c r="C94" s="9"/>
      <c r="D94" s="10" t="str">
        <f aca="false">IF(C94="","",IF(SUMPRODUCT(--ISNUMBER(SEARCH({"Nets","Wicket","Diamond","Softball","T-ball","Baseball","Netball","Tennis","Bocce","Pentaque","Petanque","Skate","Car Park","Pond","Bridle","Amphitheatre","Perimeter","Passive"},C94)))&gt;0,"no",IF(SUMPRODUCT(--ISNUMBER(SEARCH({"Cricket","Junior","Mini","Summer Football","Small"},C94)))&gt;0,"reduced",IF(SUMPRODUCT(--ISNUMBER(SEARCH({"Rugby","Football","League","Touch","Gaelic","Australian","Lacrosse","General Sport","Training Area","Ultimate"},C94)))&gt;0,"full","unknown"))))</f>
        <v/>
      </c>
      <c r="E94" s="9"/>
      <c r="F94" s="9"/>
      <c r="G94" s="9"/>
      <c r="H94" s="9"/>
      <c r="I94" s="12"/>
      <c r="J94" s="9"/>
      <c r="K94" s="9"/>
      <c r="L94" s="9"/>
      <c r="M94" s="9"/>
      <c r="N94" s="9"/>
      <c r="O94" s="13" t="str">
        <f aca="false">IF(C94="","",IF(N(M94)+N(N94)&lt;Settings!$C$9,"untested",M94/(M94+N94)))</f>
        <v/>
      </c>
      <c r="P94" s="9"/>
      <c r="Q94" s="9"/>
      <c r="R94" s="9"/>
      <c r="S94" s="12"/>
      <c r="T94" s="9"/>
      <c r="U94" s="9"/>
      <c r="V94" s="9"/>
      <c r="W94" s="10" t="str">
        <f aca="false">IF(C94="","",IF(OR(G94="training",G94="full"),"Yes",IF(G94="none","No","?")))</f>
        <v/>
      </c>
      <c r="X94" s="10" t="str">
        <f aca="false">IF(C94="","",IF(OR(E94="",E94="unknown"),D94,E94))</f>
        <v/>
      </c>
      <c r="Y94" s="10" t="str">
        <f aca="false">IF(C94="","",IF(OR(T94="unsuitable",T94="retired",X94="no"),"—",IF(J94="","unrated",IF(AND(X94="full",J94&gt;=Settings!$C$5,OR(O94="untested",O94&gt;=Settings!$C$6)),"A",IF(AND(OR(X94="full",X94="reduced"),J94&gt;=Settings!$C$7,OR(O94="untested",O94&gt;=Settings!$C$8)),"B","C")))))</f>
        <v/>
      </c>
      <c r="Z94" s="11" t="str">
        <f aca="false">IF(C94="","",IF(P94&lt;&gt;"",P94,Y94))</f>
        <v/>
      </c>
    </row>
    <row r="95" customFormat="false" ht="15" hidden="false" customHeight="false" outlineLevel="0" collapsed="false">
      <c r="A95" s="9"/>
      <c r="B95" s="10" t="str">
        <f aca="false">IF(A95="","",IFERROR(INDEX(Parks!$A$2:$A$255,MATCH(A95,Parks!$B$2:$B$255,0)),"?"))</f>
        <v/>
      </c>
      <c r="C95" s="9"/>
      <c r="D95" s="10" t="str">
        <f aca="false">IF(C95="","",IF(SUMPRODUCT(--ISNUMBER(SEARCH({"Nets","Wicket","Diamond","Softball","T-ball","Baseball","Netball","Tennis","Bocce","Pentaque","Petanque","Skate","Car Park","Pond","Bridle","Amphitheatre","Perimeter","Passive"},C95)))&gt;0,"no",IF(SUMPRODUCT(--ISNUMBER(SEARCH({"Cricket","Junior","Mini","Summer Football","Small"},C95)))&gt;0,"reduced",IF(SUMPRODUCT(--ISNUMBER(SEARCH({"Rugby","Football","League","Touch","Gaelic","Australian","Lacrosse","General Sport","Training Area","Ultimate"},C95)))&gt;0,"full","unknown"))))</f>
        <v/>
      </c>
      <c r="E95" s="9"/>
      <c r="F95" s="9"/>
      <c r="G95" s="9"/>
      <c r="H95" s="9"/>
      <c r="I95" s="12"/>
      <c r="J95" s="9"/>
      <c r="K95" s="9"/>
      <c r="L95" s="9"/>
      <c r="M95" s="9"/>
      <c r="N95" s="9"/>
      <c r="O95" s="13" t="str">
        <f aca="false">IF(C95="","",IF(N(M95)+N(N95)&lt;Settings!$C$9,"untested",M95/(M95+N95)))</f>
        <v/>
      </c>
      <c r="P95" s="9"/>
      <c r="Q95" s="9"/>
      <c r="R95" s="9"/>
      <c r="S95" s="12"/>
      <c r="T95" s="9"/>
      <c r="U95" s="9"/>
      <c r="V95" s="9"/>
      <c r="W95" s="10" t="str">
        <f aca="false">IF(C95="","",IF(OR(G95="training",G95="full"),"Yes",IF(G95="none","No","?")))</f>
        <v/>
      </c>
      <c r="X95" s="10" t="str">
        <f aca="false">IF(C95="","",IF(OR(E95="",E95="unknown"),D95,E95))</f>
        <v/>
      </c>
      <c r="Y95" s="10" t="str">
        <f aca="false">IF(C95="","",IF(OR(T95="unsuitable",T95="retired",X95="no"),"—",IF(J95="","unrated",IF(AND(X95="full",J95&gt;=Settings!$C$5,OR(O95="untested",O95&gt;=Settings!$C$6)),"A",IF(AND(OR(X95="full",X95="reduced"),J95&gt;=Settings!$C$7,OR(O95="untested",O95&gt;=Settings!$C$8)),"B","C")))))</f>
        <v/>
      </c>
      <c r="Z95" s="11" t="str">
        <f aca="false">IF(C95="","",IF(P95&lt;&gt;"",P95,Y95))</f>
        <v/>
      </c>
    </row>
    <row r="96" customFormat="false" ht="15" hidden="false" customHeight="false" outlineLevel="0" collapsed="false">
      <c r="A96" s="9"/>
      <c r="B96" s="10" t="str">
        <f aca="false">IF(A96="","",IFERROR(INDEX(Parks!$A$2:$A$255,MATCH(A96,Parks!$B$2:$B$255,0)),"?"))</f>
        <v/>
      </c>
      <c r="C96" s="9"/>
      <c r="D96" s="10" t="str">
        <f aca="false">IF(C96="","",IF(SUMPRODUCT(--ISNUMBER(SEARCH({"Nets","Wicket","Diamond","Softball","T-ball","Baseball","Netball","Tennis","Bocce","Pentaque","Petanque","Skate","Car Park","Pond","Bridle","Amphitheatre","Perimeter","Passive"},C96)))&gt;0,"no",IF(SUMPRODUCT(--ISNUMBER(SEARCH({"Cricket","Junior","Mini","Summer Football","Small"},C96)))&gt;0,"reduced",IF(SUMPRODUCT(--ISNUMBER(SEARCH({"Rugby","Football","League","Touch","Gaelic","Australian","Lacrosse","General Sport","Training Area","Ultimate"},C96)))&gt;0,"full","unknown"))))</f>
        <v/>
      </c>
      <c r="E96" s="9"/>
      <c r="F96" s="9"/>
      <c r="G96" s="9"/>
      <c r="H96" s="9"/>
      <c r="I96" s="12"/>
      <c r="J96" s="9"/>
      <c r="K96" s="9"/>
      <c r="L96" s="9"/>
      <c r="M96" s="9"/>
      <c r="N96" s="9"/>
      <c r="O96" s="13" t="str">
        <f aca="false">IF(C96="","",IF(N(M96)+N(N96)&lt;Settings!$C$9,"untested",M96/(M96+N96)))</f>
        <v/>
      </c>
      <c r="P96" s="9"/>
      <c r="Q96" s="9"/>
      <c r="R96" s="9"/>
      <c r="S96" s="12"/>
      <c r="T96" s="9"/>
      <c r="U96" s="9"/>
      <c r="V96" s="9"/>
      <c r="W96" s="10" t="str">
        <f aca="false">IF(C96="","",IF(OR(G96="training",G96="full"),"Yes",IF(G96="none","No","?")))</f>
        <v/>
      </c>
      <c r="X96" s="10" t="str">
        <f aca="false">IF(C96="","",IF(OR(E96="",E96="unknown"),D96,E96))</f>
        <v/>
      </c>
      <c r="Y96" s="10" t="str">
        <f aca="false">IF(C96="","",IF(OR(T96="unsuitable",T96="retired",X96="no"),"—",IF(J96="","unrated",IF(AND(X96="full",J96&gt;=Settings!$C$5,OR(O96="untested",O96&gt;=Settings!$C$6)),"A",IF(AND(OR(X96="full",X96="reduced"),J96&gt;=Settings!$C$7,OR(O96="untested",O96&gt;=Settings!$C$8)),"B","C")))))</f>
        <v/>
      </c>
      <c r="Z96" s="11" t="str">
        <f aca="false">IF(C96="","",IF(P96&lt;&gt;"",P96,Y96))</f>
        <v/>
      </c>
    </row>
    <row r="97" customFormat="false" ht="15" hidden="false" customHeight="false" outlineLevel="0" collapsed="false">
      <c r="A97" s="9"/>
      <c r="B97" s="10" t="str">
        <f aca="false">IF(A97="","",IFERROR(INDEX(Parks!$A$2:$A$255,MATCH(A97,Parks!$B$2:$B$255,0)),"?"))</f>
        <v/>
      </c>
      <c r="C97" s="9"/>
      <c r="D97" s="10" t="str">
        <f aca="false">IF(C97="","",IF(SUMPRODUCT(--ISNUMBER(SEARCH({"Nets","Wicket","Diamond","Softball","T-ball","Baseball","Netball","Tennis","Bocce","Pentaque","Petanque","Skate","Car Park","Pond","Bridle","Amphitheatre","Perimeter","Passive"},C97)))&gt;0,"no",IF(SUMPRODUCT(--ISNUMBER(SEARCH({"Cricket","Junior","Mini","Summer Football","Small"},C97)))&gt;0,"reduced",IF(SUMPRODUCT(--ISNUMBER(SEARCH({"Rugby","Football","League","Touch","Gaelic","Australian","Lacrosse","General Sport","Training Area","Ultimate"},C97)))&gt;0,"full","unknown"))))</f>
        <v/>
      </c>
      <c r="E97" s="9"/>
      <c r="F97" s="9"/>
      <c r="G97" s="9"/>
      <c r="H97" s="9"/>
      <c r="I97" s="12"/>
      <c r="J97" s="9"/>
      <c r="K97" s="9"/>
      <c r="L97" s="9"/>
      <c r="M97" s="9"/>
      <c r="N97" s="9"/>
      <c r="O97" s="13" t="str">
        <f aca="false">IF(C97="","",IF(N(M97)+N(N97)&lt;Settings!$C$9,"untested",M97/(M97+N97)))</f>
        <v/>
      </c>
      <c r="P97" s="9"/>
      <c r="Q97" s="9"/>
      <c r="R97" s="9"/>
      <c r="S97" s="12"/>
      <c r="T97" s="9"/>
      <c r="U97" s="9"/>
      <c r="V97" s="9"/>
      <c r="W97" s="10" t="str">
        <f aca="false">IF(C97="","",IF(OR(G97="training",G97="full"),"Yes",IF(G97="none","No","?")))</f>
        <v/>
      </c>
      <c r="X97" s="10" t="str">
        <f aca="false">IF(C97="","",IF(OR(E97="",E97="unknown"),D97,E97))</f>
        <v/>
      </c>
      <c r="Y97" s="10" t="str">
        <f aca="false">IF(C97="","",IF(OR(T97="unsuitable",T97="retired",X97="no"),"—",IF(J97="","unrated",IF(AND(X97="full",J97&gt;=Settings!$C$5,OR(O97="untested",O97&gt;=Settings!$C$6)),"A",IF(AND(OR(X97="full",X97="reduced"),J97&gt;=Settings!$C$7,OR(O97="untested",O97&gt;=Settings!$C$8)),"B","C")))))</f>
        <v/>
      </c>
      <c r="Z97" s="11" t="str">
        <f aca="false">IF(C97="","",IF(P97&lt;&gt;"",P97,Y97))</f>
        <v/>
      </c>
    </row>
    <row r="98" customFormat="false" ht="15" hidden="false" customHeight="false" outlineLevel="0" collapsed="false">
      <c r="A98" s="9"/>
      <c r="B98" s="10" t="str">
        <f aca="false">IF(A98="","",IFERROR(INDEX(Parks!$A$2:$A$255,MATCH(A98,Parks!$B$2:$B$255,0)),"?"))</f>
        <v/>
      </c>
      <c r="C98" s="9"/>
      <c r="D98" s="10" t="str">
        <f aca="false">IF(C98="","",IF(SUMPRODUCT(--ISNUMBER(SEARCH({"Nets","Wicket","Diamond","Softball","T-ball","Baseball","Netball","Tennis","Bocce","Pentaque","Petanque","Skate","Car Park","Pond","Bridle","Amphitheatre","Perimeter","Passive"},C98)))&gt;0,"no",IF(SUMPRODUCT(--ISNUMBER(SEARCH({"Cricket","Junior","Mini","Summer Football","Small"},C98)))&gt;0,"reduced",IF(SUMPRODUCT(--ISNUMBER(SEARCH({"Rugby","Football","League","Touch","Gaelic","Australian","Lacrosse","General Sport","Training Area","Ultimate"},C98)))&gt;0,"full","unknown"))))</f>
        <v/>
      </c>
      <c r="E98" s="9"/>
      <c r="F98" s="9"/>
      <c r="G98" s="9"/>
      <c r="H98" s="9"/>
      <c r="I98" s="12"/>
      <c r="J98" s="9"/>
      <c r="K98" s="9"/>
      <c r="L98" s="9"/>
      <c r="M98" s="9"/>
      <c r="N98" s="9"/>
      <c r="O98" s="13" t="str">
        <f aca="false">IF(C98="","",IF(N(M98)+N(N98)&lt;Settings!$C$9,"untested",M98/(M98+N98)))</f>
        <v/>
      </c>
      <c r="P98" s="9"/>
      <c r="Q98" s="9"/>
      <c r="R98" s="9"/>
      <c r="S98" s="12"/>
      <c r="T98" s="9"/>
      <c r="U98" s="9"/>
      <c r="V98" s="9"/>
      <c r="W98" s="10" t="str">
        <f aca="false">IF(C98="","",IF(OR(G98="training",G98="full"),"Yes",IF(G98="none","No","?")))</f>
        <v/>
      </c>
      <c r="X98" s="10" t="str">
        <f aca="false">IF(C98="","",IF(OR(E98="",E98="unknown"),D98,E98))</f>
        <v/>
      </c>
      <c r="Y98" s="10" t="str">
        <f aca="false">IF(C98="","",IF(OR(T98="unsuitable",T98="retired",X98="no"),"—",IF(J98="","unrated",IF(AND(X98="full",J98&gt;=Settings!$C$5,OR(O98="untested",O98&gt;=Settings!$C$6)),"A",IF(AND(OR(X98="full",X98="reduced"),J98&gt;=Settings!$C$7,OR(O98="untested",O98&gt;=Settings!$C$8)),"B","C")))))</f>
        <v/>
      </c>
      <c r="Z98" s="11" t="str">
        <f aca="false">IF(C98="","",IF(P98&lt;&gt;"",P98,Y98))</f>
        <v/>
      </c>
    </row>
    <row r="99" customFormat="false" ht="15" hidden="false" customHeight="false" outlineLevel="0" collapsed="false">
      <c r="A99" s="9"/>
      <c r="B99" s="10" t="str">
        <f aca="false">IF(A99="","",IFERROR(INDEX(Parks!$A$2:$A$255,MATCH(A99,Parks!$B$2:$B$255,0)),"?"))</f>
        <v/>
      </c>
      <c r="C99" s="9"/>
      <c r="D99" s="10" t="str">
        <f aca="false">IF(C99="","",IF(SUMPRODUCT(--ISNUMBER(SEARCH({"Nets","Wicket","Diamond","Softball","T-ball","Baseball","Netball","Tennis","Bocce","Pentaque","Petanque","Skate","Car Park","Pond","Bridle","Amphitheatre","Perimeter","Passive"},C99)))&gt;0,"no",IF(SUMPRODUCT(--ISNUMBER(SEARCH({"Cricket","Junior","Mini","Summer Football","Small"},C99)))&gt;0,"reduced",IF(SUMPRODUCT(--ISNUMBER(SEARCH({"Rugby","Football","League","Touch","Gaelic","Australian","Lacrosse","General Sport","Training Area","Ultimate"},C99)))&gt;0,"full","unknown"))))</f>
        <v/>
      </c>
      <c r="E99" s="9"/>
      <c r="F99" s="9"/>
      <c r="G99" s="9"/>
      <c r="H99" s="9"/>
      <c r="I99" s="12"/>
      <c r="J99" s="9"/>
      <c r="K99" s="9"/>
      <c r="L99" s="9"/>
      <c r="M99" s="9"/>
      <c r="N99" s="9"/>
      <c r="O99" s="13" t="str">
        <f aca="false">IF(C99="","",IF(N(M99)+N(N99)&lt;Settings!$C$9,"untested",M99/(M99+N99)))</f>
        <v/>
      </c>
      <c r="P99" s="9"/>
      <c r="Q99" s="9"/>
      <c r="R99" s="9"/>
      <c r="S99" s="12"/>
      <c r="T99" s="9"/>
      <c r="U99" s="9"/>
      <c r="V99" s="9"/>
      <c r="W99" s="10" t="str">
        <f aca="false">IF(C99="","",IF(OR(G99="training",G99="full"),"Yes",IF(G99="none","No","?")))</f>
        <v/>
      </c>
      <c r="X99" s="10" t="str">
        <f aca="false">IF(C99="","",IF(OR(E99="",E99="unknown"),D99,E99))</f>
        <v/>
      </c>
      <c r="Y99" s="10" t="str">
        <f aca="false">IF(C99="","",IF(OR(T99="unsuitable",T99="retired",X99="no"),"—",IF(J99="","unrated",IF(AND(X99="full",J99&gt;=Settings!$C$5,OR(O99="untested",O99&gt;=Settings!$C$6)),"A",IF(AND(OR(X99="full",X99="reduced"),J99&gt;=Settings!$C$7,OR(O99="untested",O99&gt;=Settings!$C$8)),"B","C")))))</f>
        <v/>
      </c>
      <c r="Z99" s="11" t="str">
        <f aca="false">IF(C99="","",IF(P99&lt;&gt;"",P99,Y99))</f>
        <v/>
      </c>
    </row>
    <row r="100" customFormat="false" ht="15" hidden="false" customHeight="false" outlineLevel="0" collapsed="false">
      <c r="A100" s="9"/>
      <c r="B100" s="10" t="str">
        <f aca="false">IF(A100="","",IFERROR(INDEX(Parks!$A$2:$A$255,MATCH(A100,Parks!$B$2:$B$255,0)),"?"))</f>
        <v/>
      </c>
      <c r="C100" s="9"/>
      <c r="D100" s="10" t="str">
        <f aca="false">IF(C100="","",IF(SUMPRODUCT(--ISNUMBER(SEARCH({"Nets","Wicket","Diamond","Softball","T-ball","Baseball","Netball","Tennis","Bocce","Pentaque","Petanque","Skate","Car Park","Pond","Bridle","Amphitheatre","Perimeter","Passive"},C100)))&gt;0,"no",IF(SUMPRODUCT(--ISNUMBER(SEARCH({"Cricket","Junior","Mini","Summer Football","Small"},C100)))&gt;0,"reduced",IF(SUMPRODUCT(--ISNUMBER(SEARCH({"Rugby","Football","League","Touch","Gaelic","Australian","Lacrosse","General Sport","Training Area","Ultimate"},C100)))&gt;0,"full","unknown"))))</f>
        <v/>
      </c>
      <c r="E100" s="9"/>
      <c r="F100" s="9"/>
      <c r="G100" s="9"/>
      <c r="H100" s="9"/>
      <c r="I100" s="12"/>
      <c r="J100" s="9"/>
      <c r="K100" s="9"/>
      <c r="L100" s="9"/>
      <c r="M100" s="9"/>
      <c r="N100" s="9"/>
      <c r="O100" s="13" t="str">
        <f aca="false">IF(C100="","",IF(N(M100)+N(N100)&lt;Settings!$C$9,"untested",M100/(M100+N100)))</f>
        <v/>
      </c>
      <c r="P100" s="9"/>
      <c r="Q100" s="9"/>
      <c r="R100" s="9"/>
      <c r="S100" s="12"/>
      <c r="T100" s="9"/>
      <c r="U100" s="9"/>
      <c r="V100" s="9"/>
      <c r="W100" s="10" t="str">
        <f aca="false">IF(C100="","",IF(OR(G100="training",G100="full"),"Yes",IF(G100="none","No","?")))</f>
        <v/>
      </c>
      <c r="X100" s="10" t="str">
        <f aca="false">IF(C100="","",IF(OR(E100="",E100="unknown"),D100,E100))</f>
        <v/>
      </c>
      <c r="Y100" s="10" t="str">
        <f aca="false">IF(C100="","",IF(OR(T100="unsuitable",T100="retired",X100="no"),"—",IF(J100="","unrated",IF(AND(X100="full",J100&gt;=Settings!$C$5,OR(O100="untested",O100&gt;=Settings!$C$6)),"A",IF(AND(OR(X100="full",X100="reduced"),J100&gt;=Settings!$C$7,OR(O100="untested",O100&gt;=Settings!$C$8)),"B","C")))))</f>
        <v/>
      </c>
      <c r="Z100" s="11" t="str">
        <f aca="false">IF(C100="","",IF(P100&lt;&gt;"",P100,Y100))</f>
        <v/>
      </c>
    </row>
    <row r="101" customFormat="false" ht="15" hidden="false" customHeight="false" outlineLevel="0" collapsed="false">
      <c r="A101" s="9"/>
      <c r="B101" s="10" t="str">
        <f aca="false">IF(A101="","",IFERROR(INDEX(Parks!$A$2:$A$255,MATCH(A101,Parks!$B$2:$B$255,0)),"?"))</f>
        <v/>
      </c>
      <c r="C101" s="9"/>
      <c r="D101" s="10" t="str">
        <f aca="false">IF(C101="","",IF(SUMPRODUCT(--ISNUMBER(SEARCH({"Nets","Wicket","Diamond","Softball","T-ball","Baseball","Netball","Tennis","Bocce","Pentaque","Petanque","Skate","Car Park","Pond","Bridle","Amphitheatre","Perimeter","Passive"},C101)))&gt;0,"no",IF(SUMPRODUCT(--ISNUMBER(SEARCH({"Cricket","Junior","Mini","Summer Football","Small"},C101)))&gt;0,"reduced",IF(SUMPRODUCT(--ISNUMBER(SEARCH({"Rugby","Football","League","Touch","Gaelic","Australian","Lacrosse","General Sport","Training Area","Ultimate"},C101)))&gt;0,"full","unknown"))))</f>
        <v/>
      </c>
      <c r="E101" s="9"/>
      <c r="F101" s="9"/>
      <c r="G101" s="9"/>
      <c r="H101" s="9"/>
      <c r="I101" s="12"/>
      <c r="J101" s="9"/>
      <c r="K101" s="9"/>
      <c r="L101" s="9"/>
      <c r="M101" s="9"/>
      <c r="N101" s="9"/>
      <c r="O101" s="13" t="str">
        <f aca="false">IF(C101="","",IF(N(M101)+N(N101)&lt;Settings!$C$9,"untested",M101/(M101+N101)))</f>
        <v/>
      </c>
      <c r="P101" s="9"/>
      <c r="Q101" s="9"/>
      <c r="R101" s="9"/>
      <c r="S101" s="12"/>
      <c r="T101" s="9"/>
      <c r="U101" s="9"/>
      <c r="V101" s="9"/>
      <c r="W101" s="10" t="str">
        <f aca="false">IF(C101="","",IF(OR(G101="training",G101="full"),"Yes",IF(G101="none","No","?")))</f>
        <v/>
      </c>
      <c r="X101" s="10" t="str">
        <f aca="false">IF(C101="","",IF(OR(E101="",E101="unknown"),D101,E101))</f>
        <v/>
      </c>
      <c r="Y101" s="10" t="str">
        <f aca="false">IF(C101="","",IF(OR(T101="unsuitable",T101="retired",X101="no"),"—",IF(J101="","unrated",IF(AND(X101="full",J101&gt;=Settings!$C$5,OR(O101="untested",O101&gt;=Settings!$C$6)),"A",IF(AND(OR(X101="full",X101="reduced"),J101&gt;=Settings!$C$7,OR(O101="untested",O101&gt;=Settings!$C$8)),"B","C")))))</f>
        <v/>
      </c>
      <c r="Z101" s="11" t="str">
        <f aca="false">IF(C101="","",IF(P101&lt;&gt;"",P101,Y101))</f>
        <v/>
      </c>
    </row>
    <row r="102" customFormat="false" ht="15" hidden="false" customHeight="false" outlineLevel="0" collapsed="false">
      <c r="A102" s="9"/>
      <c r="B102" s="10" t="str">
        <f aca="false">IF(A102="","",IFERROR(INDEX(Parks!$A$2:$A$255,MATCH(A102,Parks!$B$2:$B$255,0)),"?"))</f>
        <v/>
      </c>
      <c r="C102" s="9"/>
      <c r="D102" s="10" t="str">
        <f aca="false">IF(C102="","",IF(SUMPRODUCT(--ISNUMBER(SEARCH({"Nets","Wicket","Diamond","Softball","T-ball","Baseball","Netball","Tennis","Bocce","Pentaque","Petanque","Skate","Car Park","Pond","Bridle","Amphitheatre","Perimeter","Passive"},C102)))&gt;0,"no",IF(SUMPRODUCT(--ISNUMBER(SEARCH({"Cricket","Junior","Mini","Summer Football","Small"},C102)))&gt;0,"reduced",IF(SUMPRODUCT(--ISNUMBER(SEARCH({"Rugby","Football","League","Touch","Gaelic","Australian","Lacrosse","General Sport","Training Area","Ultimate"},C102)))&gt;0,"full","unknown"))))</f>
        <v/>
      </c>
      <c r="E102" s="9"/>
      <c r="F102" s="9"/>
      <c r="G102" s="9"/>
      <c r="H102" s="9"/>
      <c r="I102" s="12"/>
      <c r="J102" s="9"/>
      <c r="K102" s="9"/>
      <c r="L102" s="9"/>
      <c r="M102" s="9"/>
      <c r="N102" s="9"/>
      <c r="O102" s="13" t="str">
        <f aca="false">IF(C102="","",IF(N(M102)+N(N102)&lt;Settings!$C$9,"untested",M102/(M102+N102)))</f>
        <v/>
      </c>
      <c r="P102" s="9"/>
      <c r="Q102" s="9"/>
      <c r="R102" s="9"/>
      <c r="S102" s="12"/>
      <c r="T102" s="9"/>
      <c r="U102" s="9"/>
      <c r="V102" s="9"/>
      <c r="W102" s="10" t="str">
        <f aca="false">IF(C102="","",IF(OR(G102="training",G102="full"),"Yes",IF(G102="none","No","?")))</f>
        <v/>
      </c>
      <c r="X102" s="10" t="str">
        <f aca="false">IF(C102="","",IF(OR(E102="",E102="unknown"),D102,E102))</f>
        <v/>
      </c>
      <c r="Y102" s="10" t="str">
        <f aca="false">IF(C102="","",IF(OR(T102="unsuitable",T102="retired",X102="no"),"—",IF(J102="","unrated",IF(AND(X102="full",J102&gt;=Settings!$C$5,OR(O102="untested",O102&gt;=Settings!$C$6)),"A",IF(AND(OR(X102="full",X102="reduced"),J102&gt;=Settings!$C$7,OR(O102="untested",O102&gt;=Settings!$C$8)),"B","C")))))</f>
        <v/>
      </c>
      <c r="Z102" s="11" t="str">
        <f aca="false">IF(C102="","",IF(P102&lt;&gt;"",P102,Y102))</f>
        <v/>
      </c>
    </row>
    <row r="103" customFormat="false" ht="15" hidden="false" customHeight="false" outlineLevel="0" collapsed="false">
      <c r="A103" s="9"/>
      <c r="B103" s="10" t="str">
        <f aca="false">IF(A103="","",IFERROR(INDEX(Parks!$A$2:$A$255,MATCH(A103,Parks!$B$2:$B$255,0)),"?"))</f>
        <v/>
      </c>
      <c r="C103" s="9"/>
      <c r="D103" s="10" t="str">
        <f aca="false">IF(C103="","",IF(SUMPRODUCT(--ISNUMBER(SEARCH({"Nets","Wicket","Diamond","Softball","T-ball","Baseball","Netball","Tennis","Bocce","Pentaque","Petanque","Skate","Car Park","Pond","Bridle","Amphitheatre","Perimeter","Passive"},C103)))&gt;0,"no",IF(SUMPRODUCT(--ISNUMBER(SEARCH({"Cricket","Junior","Mini","Summer Football","Small"},C103)))&gt;0,"reduced",IF(SUMPRODUCT(--ISNUMBER(SEARCH({"Rugby","Football","League","Touch","Gaelic","Australian","Lacrosse","General Sport","Training Area","Ultimate"},C103)))&gt;0,"full","unknown"))))</f>
        <v/>
      </c>
      <c r="E103" s="9"/>
      <c r="F103" s="9"/>
      <c r="G103" s="9"/>
      <c r="H103" s="9"/>
      <c r="I103" s="12"/>
      <c r="J103" s="9"/>
      <c r="K103" s="9"/>
      <c r="L103" s="9"/>
      <c r="M103" s="9"/>
      <c r="N103" s="9"/>
      <c r="O103" s="13" t="str">
        <f aca="false">IF(C103="","",IF(N(M103)+N(N103)&lt;Settings!$C$9,"untested",M103/(M103+N103)))</f>
        <v/>
      </c>
      <c r="P103" s="9"/>
      <c r="Q103" s="9"/>
      <c r="R103" s="9"/>
      <c r="S103" s="12"/>
      <c r="T103" s="9"/>
      <c r="U103" s="9"/>
      <c r="V103" s="9"/>
      <c r="W103" s="10" t="str">
        <f aca="false">IF(C103="","",IF(OR(G103="training",G103="full"),"Yes",IF(G103="none","No","?")))</f>
        <v/>
      </c>
      <c r="X103" s="10" t="str">
        <f aca="false">IF(C103="","",IF(OR(E103="",E103="unknown"),D103,E103))</f>
        <v/>
      </c>
      <c r="Y103" s="10" t="str">
        <f aca="false">IF(C103="","",IF(OR(T103="unsuitable",T103="retired",X103="no"),"—",IF(J103="","unrated",IF(AND(X103="full",J103&gt;=Settings!$C$5,OR(O103="untested",O103&gt;=Settings!$C$6)),"A",IF(AND(OR(X103="full",X103="reduced"),J103&gt;=Settings!$C$7,OR(O103="untested",O103&gt;=Settings!$C$8)),"B","C")))))</f>
        <v/>
      </c>
      <c r="Z103" s="11" t="str">
        <f aca="false">IF(C103="","",IF(P103&lt;&gt;"",P103,Y103))</f>
        <v/>
      </c>
    </row>
    <row r="104" customFormat="false" ht="15" hidden="false" customHeight="false" outlineLevel="0" collapsed="false">
      <c r="A104" s="9"/>
      <c r="B104" s="10" t="str">
        <f aca="false">IF(A104="","",IFERROR(INDEX(Parks!$A$2:$A$255,MATCH(A104,Parks!$B$2:$B$255,0)),"?"))</f>
        <v/>
      </c>
      <c r="C104" s="9"/>
      <c r="D104" s="10" t="str">
        <f aca="false">IF(C104="","",IF(SUMPRODUCT(--ISNUMBER(SEARCH({"Nets","Wicket","Diamond","Softball","T-ball","Baseball","Netball","Tennis","Bocce","Pentaque","Petanque","Skate","Car Park","Pond","Bridle","Amphitheatre","Perimeter","Passive"},C104)))&gt;0,"no",IF(SUMPRODUCT(--ISNUMBER(SEARCH({"Cricket","Junior","Mini","Summer Football","Small"},C104)))&gt;0,"reduced",IF(SUMPRODUCT(--ISNUMBER(SEARCH({"Rugby","Football","League","Touch","Gaelic","Australian","Lacrosse","General Sport","Training Area","Ultimate"},C104)))&gt;0,"full","unknown"))))</f>
        <v/>
      </c>
      <c r="E104" s="9"/>
      <c r="F104" s="9"/>
      <c r="G104" s="9"/>
      <c r="H104" s="9"/>
      <c r="I104" s="12"/>
      <c r="J104" s="9"/>
      <c r="K104" s="9"/>
      <c r="L104" s="9"/>
      <c r="M104" s="9"/>
      <c r="N104" s="9"/>
      <c r="O104" s="13" t="str">
        <f aca="false">IF(C104="","",IF(N(M104)+N(N104)&lt;Settings!$C$9,"untested",M104/(M104+N104)))</f>
        <v/>
      </c>
      <c r="P104" s="9"/>
      <c r="Q104" s="9"/>
      <c r="R104" s="9"/>
      <c r="S104" s="12"/>
      <c r="T104" s="9"/>
      <c r="U104" s="9"/>
      <c r="V104" s="9"/>
      <c r="W104" s="10" t="str">
        <f aca="false">IF(C104="","",IF(OR(G104="training",G104="full"),"Yes",IF(G104="none","No","?")))</f>
        <v/>
      </c>
      <c r="X104" s="10" t="str">
        <f aca="false">IF(C104="","",IF(OR(E104="",E104="unknown"),D104,E104))</f>
        <v/>
      </c>
      <c r="Y104" s="10" t="str">
        <f aca="false">IF(C104="","",IF(OR(T104="unsuitable",T104="retired",X104="no"),"—",IF(J104="","unrated",IF(AND(X104="full",J104&gt;=Settings!$C$5,OR(O104="untested",O104&gt;=Settings!$C$6)),"A",IF(AND(OR(X104="full",X104="reduced"),J104&gt;=Settings!$C$7,OR(O104="untested",O104&gt;=Settings!$C$8)),"B","C")))))</f>
        <v/>
      </c>
      <c r="Z104" s="11" t="str">
        <f aca="false">IF(C104="","",IF(P104&lt;&gt;"",P104,Y104))</f>
        <v/>
      </c>
    </row>
    <row r="105" customFormat="false" ht="15" hidden="false" customHeight="false" outlineLevel="0" collapsed="false">
      <c r="A105" s="9"/>
      <c r="B105" s="10" t="str">
        <f aca="false">IF(A105="","",IFERROR(INDEX(Parks!$A$2:$A$255,MATCH(A105,Parks!$B$2:$B$255,0)),"?"))</f>
        <v/>
      </c>
      <c r="C105" s="9"/>
      <c r="D105" s="10" t="str">
        <f aca="false">IF(C105="","",IF(SUMPRODUCT(--ISNUMBER(SEARCH({"Nets","Wicket","Diamond","Softball","T-ball","Baseball","Netball","Tennis","Bocce","Pentaque","Petanque","Skate","Car Park","Pond","Bridle","Amphitheatre","Perimeter","Passive"},C105)))&gt;0,"no",IF(SUMPRODUCT(--ISNUMBER(SEARCH({"Cricket","Junior","Mini","Summer Football","Small"},C105)))&gt;0,"reduced",IF(SUMPRODUCT(--ISNUMBER(SEARCH({"Rugby","Football","League","Touch","Gaelic","Australian","Lacrosse","General Sport","Training Area","Ultimate"},C105)))&gt;0,"full","unknown"))))</f>
        <v/>
      </c>
      <c r="E105" s="9"/>
      <c r="F105" s="9"/>
      <c r="G105" s="9"/>
      <c r="H105" s="9"/>
      <c r="I105" s="12"/>
      <c r="J105" s="9"/>
      <c r="K105" s="9"/>
      <c r="L105" s="9"/>
      <c r="M105" s="9"/>
      <c r="N105" s="9"/>
      <c r="O105" s="13" t="str">
        <f aca="false">IF(C105="","",IF(N(M105)+N(N105)&lt;Settings!$C$9,"untested",M105/(M105+N105)))</f>
        <v/>
      </c>
      <c r="P105" s="9"/>
      <c r="Q105" s="9"/>
      <c r="R105" s="9"/>
      <c r="S105" s="12"/>
      <c r="T105" s="9"/>
      <c r="U105" s="9"/>
      <c r="V105" s="9"/>
      <c r="W105" s="10" t="str">
        <f aca="false">IF(C105="","",IF(OR(G105="training",G105="full"),"Yes",IF(G105="none","No","?")))</f>
        <v/>
      </c>
      <c r="X105" s="10" t="str">
        <f aca="false">IF(C105="","",IF(OR(E105="",E105="unknown"),D105,E105))</f>
        <v/>
      </c>
      <c r="Y105" s="10" t="str">
        <f aca="false">IF(C105="","",IF(OR(T105="unsuitable",T105="retired",X105="no"),"—",IF(J105="","unrated",IF(AND(X105="full",J105&gt;=Settings!$C$5,OR(O105="untested",O105&gt;=Settings!$C$6)),"A",IF(AND(OR(X105="full",X105="reduced"),J105&gt;=Settings!$C$7,OR(O105="untested",O105&gt;=Settings!$C$8)),"B","C")))))</f>
        <v/>
      </c>
      <c r="Z105" s="11" t="str">
        <f aca="false">IF(C105="","",IF(P105&lt;&gt;"",P105,Y105))</f>
        <v/>
      </c>
    </row>
    <row r="106" customFormat="false" ht="15" hidden="false" customHeight="false" outlineLevel="0" collapsed="false">
      <c r="A106" s="9"/>
      <c r="B106" s="10" t="str">
        <f aca="false">IF(A106="","",IFERROR(INDEX(Parks!$A$2:$A$255,MATCH(A106,Parks!$B$2:$B$255,0)),"?"))</f>
        <v/>
      </c>
      <c r="C106" s="9"/>
      <c r="D106" s="10" t="str">
        <f aca="false">IF(C106="","",IF(SUMPRODUCT(--ISNUMBER(SEARCH({"Nets","Wicket","Diamond","Softball","T-ball","Baseball","Netball","Tennis","Bocce","Pentaque","Petanque","Skate","Car Park","Pond","Bridle","Amphitheatre","Perimeter","Passive"},C106)))&gt;0,"no",IF(SUMPRODUCT(--ISNUMBER(SEARCH({"Cricket","Junior","Mini","Summer Football","Small"},C106)))&gt;0,"reduced",IF(SUMPRODUCT(--ISNUMBER(SEARCH({"Rugby","Football","League","Touch","Gaelic","Australian","Lacrosse","General Sport","Training Area","Ultimate"},C106)))&gt;0,"full","unknown"))))</f>
        <v/>
      </c>
      <c r="E106" s="9"/>
      <c r="F106" s="9"/>
      <c r="G106" s="9"/>
      <c r="H106" s="9"/>
      <c r="I106" s="12"/>
      <c r="J106" s="9"/>
      <c r="K106" s="9"/>
      <c r="L106" s="9"/>
      <c r="M106" s="9"/>
      <c r="N106" s="9"/>
      <c r="O106" s="13" t="str">
        <f aca="false">IF(C106="","",IF(N(M106)+N(N106)&lt;Settings!$C$9,"untested",M106/(M106+N106)))</f>
        <v/>
      </c>
      <c r="P106" s="9"/>
      <c r="Q106" s="9"/>
      <c r="R106" s="9"/>
      <c r="S106" s="12"/>
      <c r="T106" s="9"/>
      <c r="U106" s="9"/>
      <c r="V106" s="9"/>
      <c r="W106" s="10" t="str">
        <f aca="false">IF(C106="","",IF(OR(G106="training",G106="full"),"Yes",IF(G106="none","No","?")))</f>
        <v/>
      </c>
      <c r="X106" s="10" t="str">
        <f aca="false">IF(C106="","",IF(OR(E106="",E106="unknown"),D106,E106))</f>
        <v/>
      </c>
      <c r="Y106" s="10" t="str">
        <f aca="false">IF(C106="","",IF(OR(T106="unsuitable",T106="retired",X106="no"),"—",IF(J106="","unrated",IF(AND(X106="full",J106&gt;=Settings!$C$5,OR(O106="untested",O106&gt;=Settings!$C$6)),"A",IF(AND(OR(X106="full",X106="reduced"),J106&gt;=Settings!$C$7,OR(O106="untested",O106&gt;=Settings!$C$8)),"B","C")))))</f>
        <v/>
      </c>
      <c r="Z106" s="11" t="str">
        <f aca="false">IF(C106="","",IF(P106&lt;&gt;"",P106,Y106))</f>
        <v/>
      </c>
    </row>
    <row r="107" customFormat="false" ht="15" hidden="false" customHeight="false" outlineLevel="0" collapsed="false">
      <c r="A107" s="9"/>
      <c r="B107" s="10" t="str">
        <f aca="false">IF(A107="","",IFERROR(INDEX(Parks!$A$2:$A$255,MATCH(A107,Parks!$B$2:$B$255,0)),"?"))</f>
        <v/>
      </c>
      <c r="C107" s="9"/>
      <c r="D107" s="10" t="str">
        <f aca="false">IF(C107="","",IF(SUMPRODUCT(--ISNUMBER(SEARCH({"Nets","Wicket","Diamond","Softball","T-ball","Baseball","Netball","Tennis","Bocce","Pentaque","Petanque","Skate","Car Park","Pond","Bridle","Amphitheatre","Perimeter","Passive"},C107)))&gt;0,"no",IF(SUMPRODUCT(--ISNUMBER(SEARCH({"Cricket","Junior","Mini","Summer Football","Small"},C107)))&gt;0,"reduced",IF(SUMPRODUCT(--ISNUMBER(SEARCH({"Rugby","Football","League","Touch","Gaelic","Australian","Lacrosse","General Sport","Training Area","Ultimate"},C107)))&gt;0,"full","unknown"))))</f>
        <v/>
      </c>
      <c r="E107" s="9"/>
      <c r="F107" s="9"/>
      <c r="G107" s="9"/>
      <c r="H107" s="9"/>
      <c r="I107" s="12"/>
      <c r="J107" s="9"/>
      <c r="K107" s="9"/>
      <c r="L107" s="9"/>
      <c r="M107" s="9"/>
      <c r="N107" s="9"/>
      <c r="O107" s="13" t="str">
        <f aca="false">IF(C107="","",IF(N(M107)+N(N107)&lt;Settings!$C$9,"untested",M107/(M107+N107)))</f>
        <v/>
      </c>
      <c r="P107" s="9"/>
      <c r="Q107" s="9"/>
      <c r="R107" s="9"/>
      <c r="S107" s="12"/>
      <c r="T107" s="9"/>
      <c r="U107" s="9"/>
      <c r="V107" s="9"/>
      <c r="W107" s="10" t="str">
        <f aca="false">IF(C107="","",IF(OR(G107="training",G107="full"),"Yes",IF(G107="none","No","?")))</f>
        <v/>
      </c>
      <c r="X107" s="10" t="str">
        <f aca="false">IF(C107="","",IF(OR(E107="",E107="unknown"),D107,E107))</f>
        <v/>
      </c>
      <c r="Y107" s="10" t="str">
        <f aca="false">IF(C107="","",IF(OR(T107="unsuitable",T107="retired",X107="no"),"—",IF(J107="","unrated",IF(AND(X107="full",J107&gt;=Settings!$C$5,OR(O107="untested",O107&gt;=Settings!$C$6)),"A",IF(AND(OR(X107="full",X107="reduced"),J107&gt;=Settings!$C$7,OR(O107="untested",O107&gt;=Settings!$C$8)),"B","C")))))</f>
        <v/>
      </c>
      <c r="Z107" s="11" t="str">
        <f aca="false">IF(C107="","",IF(P107&lt;&gt;"",P107,Y107))</f>
        <v/>
      </c>
    </row>
    <row r="108" customFormat="false" ht="15" hidden="false" customHeight="false" outlineLevel="0" collapsed="false">
      <c r="A108" s="9"/>
      <c r="B108" s="10" t="str">
        <f aca="false">IF(A108="","",IFERROR(INDEX(Parks!$A$2:$A$255,MATCH(A108,Parks!$B$2:$B$255,0)),"?"))</f>
        <v/>
      </c>
      <c r="C108" s="9"/>
      <c r="D108" s="10" t="str">
        <f aca="false">IF(C108="","",IF(SUMPRODUCT(--ISNUMBER(SEARCH({"Nets","Wicket","Diamond","Softball","T-ball","Baseball","Netball","Tennis","Bocce","Pentaque","Petanque","Skate","Car Park","Pond","Bridle","Amphitheatre","Perimeter","Passive"},C108)))&gt;0,"no",IF(SUMPRODUCT(--ISNUMBER(SEARCH({"Cricket","Junior","Mini","Summer Football","Small"},C108)))&gt;0,"reduced",IF(SUMPRODUCT(--ISNUMBER(SEARCH({"Rugby","Football","League","Touch","Gaelic","Australian","Lacrosse","General Sport","Training Area","Ultimate"},C108)))&gt;0,"full","unknown"))))</f>
        <v/>
      </c>
      <c r="E108" s="9"/>
      <c r="F108" s="9"/>
      <c r="G108" s="9"/>
      <c r="H108" s="9"/>
      <c r="I108" s="12"/>
      <c r="J108" s="9"/>
      <c r="K108" s="9"/>
      <c r="L108" s="9"/>
      <c r="M108" s="9"/>
      <c r="N108" s="9"/>
      <c r="O108" s="13" t="str">
        <f aca="false">IF(C108="","",IF(N(M108)+N(N108)&lt;Settings!$C$9,"untested",M108/(M108+N108)))</f>
        <v/>
      </c>
      <c r="P108" s="9"/>
      <c r="Q108" s="9"/>
      <c r="R108" s="9"/>
      <c r="S108" s="12"/>
      <c r="T108" s="9"/>
      <c r="U108" s="9"/>
      <c r="V108" s="9"/>
      <c r="W108" s="10" t="str">
        <f aca="false">IF(C108="","",IF(OR(G108="training",G108="full"),"Yes",IF(G108="none","No","?")))</f>
        <v/>
      </c>
      <c r="X108" s="10" t="str">
        <f aca="false">IF(C108="","",IF(OR(E108="",E108="unknown"),D108,E108))</f>
        <v/>
      </c>
      <c r="Y108" s="10" t="str">
        <f aca="false">IF(C108="","",IF(OR(T108="unsuitable",T108="retired",X108="no"),"—",IF(J108="","unrated",IF(AND(X108="full",J108&gt;=Settings!$C$5,OR(O108="untested",O108&gt;=Settings!$C$6)),"A",IF(AND(OR(X108="full",X108="reduced"),J108&gt;=Settings!$C$7,OR(O108="untested",O108&gt;=Settings!$C$8)),"B","C")))))</f>
        <v/>
      </c>
      <c r="Z108" s="11" t="str">
        <f aca="false">IF(C108="","",IF(P108&lt;&gt;"",P108,Y108))</f>
        <v/>
      </c>
    </row>
    <row r="109" customFormat="false" ht="15" hidden="false" customHeight="false" outlineLevel="0" collapsed="false">
      <c r="A109" s="9"/>
      <c r="B109" s="10" t="str">
        <f aca="false">IF(A109="","",IFERROR(INDEX(Parks!$A$2:$A$255,MATCH(A109,Parks!$B$2:$B$255,0)),"?"))</f>
        <v/>
      </c>
      <c r="C109" s="9"/>
      <c r="D109" s="10" t="str">
        <f aca="false">IF(C109="","",IF(SUMPRODUCT(--ISNUMBER(SEARCH({"Nets","Wicket","Diamond","Softball","T-ball","Baseball","Netball","Tennis","Bocce","Pentaque","Petanque","Skate","Car Park","Pond","Bridle","Amphitheatre","Perimeter","Passive"},C109)))&gt;0,"no",IF(SUMPRODUCT(--ISNUMBER(SEARCH({"Cricket","Junior","Mini","Summer Football","Small"},C109)))&gt;0,"reduced",IF(SUMPRODUCT(--ISNUMBER(SEARCH({"Rugby","Football","League","Touch","Gaelic","Australian","Lacrosse","General Sport","Training Area","Ultimate"},C109)))&gt;0,"full","unknown"))))</f>
        <v/>
      </c>
      <c r="E109" s="9"/>
      <c r="F109" s="9"/>
      <c r="G109" s="9"/>
      <c r="H109" s="9"/>
      <c r="I109" s="12"/>
      <c r="J109" s="9"/>
      <c r="K109" s="9"/>
      <c r="L109" s="9"/>
      <c r="M109" s="9"/>
      <c r="N109" s="9"/>
      <c r="O109" s="13" t="str">
        <f aca="false">IF(C109="","",IF(N(M109)+N(N109)&lt;Settings!$C$9,"untested",M109/(M109+N109)))</f>
        <v/>
      </c>
      <c r="P109" s="9"/>
      <c r="Q109" s="9"/>
      <c r="R109" s="9"/>
      <c r="S109" s="12"/>
      <c r="T109" s="9"/>
      <c r="U109" s="9"/>
      <c r="V109" s="9"/>
      <c r="W109" s="10" t="str">
        <f aca="false">IF(C109="","",IF(OR(G109="training",G109="full"),"Yes",IF(G109="none","No","?")))</f>
        <v/>
      </c>
      <c r="X109" s="10" t="str">
        <f aca="false">IF(C109="","",IF(OR(E109="",E109="unknown"),D109,E109))</f>
        <v/>
      </c>
      <c r="Y109" s="10" t="str">
        <f aca="false">IF(C109="","",IF(OR(T109="unsuitable",T109="retired",X109="no"),"—",IF(J109="","unrated",IF(AND(X109="full",J109&gt;=Settings!$C$5,OR(O109="untested",O109&gt;=Settings!$C$6)),"A",IF(AND(OR(X109="full",X109="reduced"),J109&gt;=Settings!$C$7,OR(O109="untested",O109&gt;=Settings!$C$8)),"B","C")))))</f>
        <v/>
      </c>
      <c r="Z109" s="11" t="str">
        <f aca="false">IF(C109="","",IF(P109&lt;&gt;"",P109,Y109))</f>
        <v/>
      </c>
    </row>
    <row r="110" customFormat="false" ht="15" hidden="false" customHeight="false" outlineLevel="0" collapsed="false">
      <c r="A110" s="9"/>
      <c r="B110" s="10" t="str">
        <f aca="false">IF(A110="","",IFERROR(INDEX(Parks!$A$2:$A$255,MATCH(A110,Parks!$B$2:$B$255,0)),"?"))</f>
        <v/>
      </c>
      <c r="C110" s="9"/>
      <c r="D110" s="10" t="str">
        <f aca="false">IF(C110="","",IF(SUMPRODUCT(--ISNUMBER(SEARCH({"Nets","Wicket","Diamond","Softball","T-ball","Baseball","Netball","Tennis","Bocce","Pentaque","Petanque","Skate","Car Park","Pond","Bridle","Amphitheatre","Perimeter","Passive"},C110)))&gt;0,"no",IF(SUMPRODUCT(--ISNUMBER(SEARCH({"Cricket","Junior","Mini","Summer Football","Small"},C110)))&gt;0,"reduced",IF(SUMPRODUCT(--ISNUMBER(SEARCH({"Rugby","Football","League","Touch","Gaelic","Australian","Lacrosse","General Sport","Training Area","Ultimate"},C110)))&gt;0,"full","unknown"))))</f>
        <v/>
      </c>
      <c r="E110" s="9"/>
      <c r="F110" s="9"/>
      <c r="G110" s="9"/>
      <c r="H110" s="9"/>
      <c r="I110" s="12"/>
      <c r="J110" s="9"/>
      <c r="K110" s="9"/>
      <c r="L110" s="9"/>
      <c r="M110" s="9"/>
      <c r="N110" s="9"/>
      <c r="O110" s="13" t="str">
        <f aca="false">IF(C110="","",IF(N(M110)+N(N110)&lt;Settings!$C$9,"untested",M110/(M110+N110)))</f>
        <v/>
      </c>
      <c r="P110" s="9"/>
      <c r="Q110" s="9"/>
      <c r="R110" s="9"/>
      <c r="S110" s="12"/>
      <c r="T110" s="9"/>
      <c r="U110" s="9"/>
      <c r="V110" s="9"/>
      <c r="W110" s="10" t="str">
        <f aca="false">IF(C110="","",IF(OR(G110="training",G110="full"),"Yes",IF(G110="none","No","?")))</f>
        <v/>
      </c>
      <c r="X110" s="10" t="str">
        <f aca="false">IF(C110="","",IF(OR(E110="",E110="unknown"),D110,E110))</f>
        <v/>
      </c>
      <c r="Y110" s="10" t="str">
        <f aca="false">IF(C110="","",IF(OR(T110="unsuitable",T110="retired",X110="no"),"—",IF(J110="","unrated",IF(AND(X110="full",J110&gt;=Settings!$C$5,OR(O110="untested",O110&gt;=Settings!$C$6)),"A",IF(AND(OR(X110="full",X110="reduced"),J110&gt;=Settings!$C$7,OR(O110="untested",O110&gt;=Settings!$C$8)),"B","C")))))</f>
        <v/>
      </c>
      <c r="Z110" s="11" t="str">
        <f aca="false">IF(C110="","",IF(P110&lt;&gt;"",P110,Y110))</f>
        <v/>
      </c>
    </row>
    <row r="111" customFormat="false" ht="15" hidden="false" customHeight="false" outlineLevel="0" collapsed="false">
      <c r="A111" s="9"/>
      <c r="B111" s="10" t="str">
        <f aca="false">IF(A111="","",IFERROR(INDEX(Parks!$A$2:$A$255,MATCH(A111,Parks!$B$2:$B$255,0)),"?"))</f>
        <v/>
      </c>
      <c r="C111" s="9"/>
      <c r="D111" s="10" t="str">
        <f aca="false">IF(C111="","",IF(SUMPRODUCT(--ISNUMBER(SEARCH({"Nets","Wicket","Diamond","Softball","T-ball","Baseball","Netball","Tennis","Bocce","Pentaque","Petanque","Skate","Car Park","Pond","Bridle","Amphitheatre","Perimeter","Passive"},C111)))&gt;0,"no",IF(SUMPRODUCT(--ISNUMBER(SEARCH({"Cricket","Junior","Mini","Summer Football","Small"},C111)))&gt;0,"reduced",IF(SUMPRODUCT(--ISNUMBER(SEARCH({"Rugby","Football","League","Touch","Gaelic","Australian","Lacrosse","General Sport","Training Area","Ultimate"},C111)))&gt;0,"full","unknown"))))</f>
        <v/>
      </c>
      <c r="E111" s="9"/>
      <c r="F111" s="9"/>
      <c r="G111" s="9"/>
      <c r="H111" s="9"/>
      <c r="I111" s="12"/>
      <c r="J111" s="9"/>
      <c r="K111" s="9"/>
      <c r="L111" s="9"/>
      <c r="M111" s="9"/>
      <c r="N111" s="9"/>
      <c r="O111" s="13" t="str">
        <f aca="false">IF(C111="","",IF(N(M111)+N(N111)&lt;Settings!$C$9,"untested",M111/(M111+N111)))</f>
        <v/>
      </c>
      <c r="P111" s="9"/>
      <c r="Q111" s="9"/>
      <c r="R111" s="9"/>
      <c r="S111" s="12"/>
      <c r="T111" s="9"/>
      <c r="U111" s="9"/>
      <c r="V111" s="9"/>
      <c r="W111" s="10" t="str">
        <f aca="false">IF(C111="","",IF(OR(G111="training",G111="full"),"Yes",IF(G111="none","No","?")))</f>
        <v/>
      </c>
      <c r="X111" s="10" t="str">
        <f aca="false">IF(C111="","",IF(OR(E111="",E111="unknown"),D111,E111))</f>
        <v/>
      </c>
      <c r="Y111" s="10" t="str">
        <f aca="false">IF(C111="","",IF(OR(T111="unsuitable",T111="retired",X111="no"),"—",IF(J111="","unrated",IF(AND(X111="full",J111&gt;=Settings!$C$5,OR(O111="untested",O111&gt;=Settings!$C$6)),"A",IF(AND(OR(X111="full",X111="reduced"),J111&gt;=Settings!$C$7,OR(O111="untested",O111&gt;=Settings!$C$8)),"B","C")))))</f>
        <v/>
      </c>
      <c r="Z111" s="11" t="str">
        <f aca="false">IF(C111="","",IF(P111&lt;&gt;"",P111,Y111))</f>
        <v/>
      </c>
    </row>
    <row r="112" customFormat="false" ht="15" hidden="false" customHeight="false" outlineLevel="0" collapsed="false">
      <c r="A112" s="9"/>
      <c r="B112" s="10" t="str">
        <f aca="false">IF(A112="","",IFERROR(INDEX(Parks!$A$2:$A$255,MATCH(A112,Parks!$B$2:$B$255,0)),"?"))</f>
        <v/>
      </c>
      <c r="C112" s="9"/>
      <c r="D112" s="10" t="str">
        <f aca="false">IF(C112="","",IF(SUMPRODUCT(--ISNUMBER(SEARCH({"Nets","Wicket","Diamond","Softball","T-ball","Baseball","Netball","Tennis","Bocce","Pentaque","Petanque","Skate","Car Park","Pond","Bridle","Amphitheatre","Perimeter","Passive"},C112)))&gt;0,"no",IF(SUMPRODUCT(--ISNUMBER(SEARCH({"Cricket","Junior","Mini","Summer Football","Small"},C112)))&gt;0,"reduced",IF(SUMPRODUCT(--ISNUMBER(SEARCH({"Rugby","Football","League","Touch","Gaelic","Australian","Lacrosse","General Sport","Training Area","Ultimate"},C112)))&gt;0,"full","unknown"))))</f>
        <v/>
      </c>
      <c r="E112" s="9"/>
      <c r="F112" s="9"/>
      <c r="G112" s="9"/>
      <c r="H112" s="9"/>
      <c r="I112" s="12"/>
      <c r="J112" s="9"/>
      <c r="K112" s="9"/>
      <c r="L112" s="9"/>
      <c r="M112" s="9"/>
      <c r="N112" s="9"/>
      <c r="O112" s="13" t="str">
        <f aca="false">IF(C112="","",IF(N(M112)+N(N112)&lt;Settings!$C$9,"untested",M112/(M112+N112)))</f>
        <v/>
      </c>
      <c r="P112" s="9"/>
      <c r="Q112" s="9"/>
      <c r="R112" s="9"/>
      <c r="S112" s="12"/>
      <c r="T112" s="9"/>
      <c r="U112" s="9"/>
      <c r="V112" s="9"/>
      <c r="W112" s="10" t="str">
        <f aca="false">IF(C112="","",IF(OR(G112="training",G112="full"),"Yes",IF(G112="none","No","?")))</f>
        <v/>
      </c>
      <c r="X112" s="10" t="str">
        <f aca="false">IF(C112="","",IF(OR(E112="",E112="unknown"),D112,E112))</f>
        <v/>
      </c>
      <c r="Y112" s="10" t="str">
        <f aca="false">IF(C112="","",IF(OR(T112="unsuitable",T112="retired",X112="no"),"—",IF(J112="","unrated",IF(AND(X112="full",J112&gt;=Settings!$C$5,OR(O112="untested",O112&gt;=Settings!$C$6)),"A",IF(AND(OR(X112="full",X112="reduced"),J112&gt;=Settings!$C$7,OR(O112="untested",O112&gt;=Settings!$C$8)),"B","C")))))</f>
        <v/>
      </c>
      <c r="Z112" s="11" t="str">
        <f aca="false">IF(C112="","",IF(P112&lt;&gt;"",P112,Y112))</f>
        <v/>
      </c>
    </row>
    <row r="113" customFormat="false" ht="15" hidden="false" customHeight="false" outlineLevel="0" collapsed="false">
      <c r="A113" s="9"/>
      <c r="B113" s="10" t="str">
        <f aca="false">IF(A113="","",IFERROR(INDEX(Parks!$A$2:$A$255,MATCH(A113,Parks!$B$2:$B$255,0)),"?"))</f>
        <v/>
      </c>
      <c r="C113" s="9"/>
      <c r="D113" s="10" t="str">
        <f aca="false">IF(C113="","",IF(SUMPRODUCT(--ISNUMBER(SEARCH({"Nets","Wicket","Diamond","Softball","T-ball","Baseball","Netball","Tennis","Bocce","Pentaque","Petanque","Skate","Car Park","Pond","Bridle","Amphitheatre","Perimeter","Passive"},C113)))&gt;0,"no",IF(SUMPRODUCT(--ISNUMBER(SEARCH({"Cricket","Junior","Mini","Summer Football","Small"},C113)))&gt;0,"reduced",IF(SUMPRODUCT(--ISNUMBER(SEARCH({"Rugby","Football","League","Touch","Gaelic","Australian","Lacrosse","General Sport","Training Area","Ultimate"},C113)))&gt;0,"full","unknown"))))</f>
        <v/>
      </c>
      <c r="E113" s="9"/>
      <c r="F113" s="9"/>
      <c r="G113" s="9"/>
      <c r="H113" s="9"/>
      <c r="I113" s="12"/>
      <c r="J113" s="9"/>
      <c r="K113" s="9"/>
      <c r="L113" s="9"/>
      <c r="M113" s="9"/>
      <c r="N113" s="9"/>
      <c r="O113" s="13" t="str">
        <f aca="false">IF(C113="","",IF(N(M113)+N(N113)&lt;Settings!$C$9,"untested",M113/(M113+N113)))</f>
        <v/>
      </c>
      <c r="P113" s="9"/>
      <c r="Q113" s="9"/>
      <c r="R113" s="9"/>
      <c r="S113" s="12"/>
      <c r="T113" s="9"/>
      <c r="U113" s="9"/>
      <c r="V113" s="9"/>
      <c r="W113" s="10" t="str">
        <f aca="false">IF(C113="","",IF(OR(G113="training",G113="full"),"Yes",IF(G113="none","No","?")))</f>
        <v/>
      </c>
      <c r="X113" s="10" t="str">
        <f aca="false">IF(C113="","",IF(OR(E113="",E113="unknown"),D113,E113))</f>
        <v/>
      </c>
      <c r="Y113" s="10" t="str">
        <f aca="false">IF(C113="","",IF(OR(T113="unsuitable",T113="retired",X113="no"),"—",IF(J113="","unrated",IF(AND(X113="full",J113&gt;=Settings!$C$5,OR(O113="untested",O113&gt;=Settings!$C$6)),"A",IF(AND(OR(X113="full",X113="reduced"),J113&gt;=Settings!$C$7,OR(O113="untested",O113&gt;=Settings!$C$8)),"B","C")))))</f>
        <v/>
      </c>
      <c r="Z113" s="11" t="str">
        <f aca="false">IF(C113="","",IF(P113&lt;&gt;"",P113,Y113))</f>
        <v/>
      </c>
    </row>
    <row r="114" customFormat="false" ht="15" hidden="false" customHeight="false" outlineLevel="0" collapsed="false">
      <c r="A114" s="9"/>
      <c r="B114" s="10" t="str">
        <f aca="false">IF(A114="","",IFERROR(INDEX(Parks!$A$2:$A$255,MATCH(A114,Parks!$B$2:$B$255,0)),"?"))</f>
        <v/>
      </c>
      <c r="C114" s="9"/>
      <c r="D114" s="10" t="str">
        <f aca="false">IF(C114="","",IF(SUMPRODUCT(--ISNUMBER(SEARCH({"Nets","Wicket","Diamond","Softball","T-ball","Baseball","Netball","Tennis","Bocce","Pentaque","Petanque","Skate","Car Park","Pond","Bridle","Amphitheatre","Perimeter","Passive"},C114)))&gt;0,"no",IF(SUMPRODUCT(--ISNUMBER(SEARCH({"Cricket","Junior","Mini","Summer Football","Small"},C114)))&gt;0,"reduced",IF(SUMPRODUCT(--ISNUMBER(SEARCH({"Rugby","Football","League","Touch","Gaelic","Australian","Lacrosse","General Sport","Training Area","Ultimate"},C114)))&gt;0,"full","unknown"))))</f>
        <v/>
      </c>
      <c r="E114" s="9"/>
      <c r="F114" s="9"/>
      <c r="G114" s="9"/>
      <c r="H114" s="9"/>
      <c r="I114" s="12"/>
      <c r="J114" s="9"/>
      <c r="K114" s="9"/>
      <c r="L114" s="9"/>
      <c r="M114" s="9"/>
      <c r="N114" s="9"/>
      <c r="O114" s="13" t="str">
        <f aca="false">IF(C114="","",IF(N(M114)+N(N114)&lt;Settings!$C$9,"untested",M114/(M114+N114)))</f>
        <v/>
      </c>
      <c r="P114" s="9"/>
      <c r="Q114" s="9"/>
      <c r="R114" s="9"/>
      <c r="S114" s="12"/>
      <c r="T114" s="9"/>
      <c r="U114" s="9"/>
      <c r="V114" s="9"/>
      <c r="W114" s="10" t="str">
        <f aca="false">IF(C114="","",IF(OR(G114="training",G114="full"),"Yes",IF(G114="none","No","?")))</f>
        <v/>
      </c>
      <c r="X114" s="10" t="str">
        <f aca="false">IF(C114="","",IF(OR(E114="",E114="unknown"),D114,E114))</f>
        <v/>
      </c>
      <c r="Y114" s="10" t="str">
        <f aca="false">IF(C114="","",IF(OR(T114="unsuitable",T114="retired",X114="no"),"—",IF(J114="","unrated",IF(AND(X114="full",J114&gt;=Settings!$C$5,OR(O114="untested",O114&gt;=Settings!$C$6)),"A",IF(AND(OR(X114="full",X114="reduced"),J114&gt;=Settings!$C$7,OR(O114="untested",O114&gt;=Settings!$C$8)),"B","C")))))</f>
        <v/>
      </c>
      <c r="Z114" s="11" t="str">
        <f aca="false">IF(C114="","",IF(P114&lt;&gt;"",P114,Y114))</f>
        <v/>
      </c>
    </row>
    <row r="115" customFormat="false" ht="15" hidden="false" customHeight="false" outlineLevel="0" collapsed="false">
      <c r="A115" s="9"/>
      <c r="B115" s="10" t="str">
        <f aca="false">IF(A115="","",IFERROR(INDEX(Parks!$A$2:$A$255,MATCH(A115,Parks!$B$2:$B$255,0)),"?"))</f>
        <v/>
      </c>
      <c r="C115" s="9"/>
      <c r="D115" s="10" t="str">
        <f aca="false">IF(C115="","",IF(SUMPRODUCT(--ISNUMBER(SEARCH({"Nets","Wicket","Diamond","Softball","T-ball","Baseball","Netball","Tennis","Bocce","Pentaque","Petanque","Skate","Car Park","Pond","Bridle","Amphitheatre","Perimeter","Passive"},C115)))&gt;0,"no",IF(SUMPRODUCT(--ISNUMBER(SEARCH({"Cricket","Junior","Mini","Summer Football","Small"},C115)))&gt;0,"reduced",IF(SUMPRODUCT(--ISNUMBER(SEARCH({"Rugby","Football","League","Touch","Gaelic","Australian","Lacrosse","General Sport","Training Area","Ultimate"},C115)))&gt;0,"full","unknown"))))</f>
        <v/>
      </c>
      <c r="E115" s="9"/>
      <c r="F115" s="9"/>
      <c r="G115" s="9"/>
      <c r="H115" s="9"/>
      <c r="I115" s="12"/>
      <c r="J115" s="9"/>
      <c r="K115" s="9"/>
      <c r="L115" s="9"/>
      <c r="M115" s="9"/>
      <c r="N115" s="9"/>
      <c r="O115" s="13" t="str">
        <f aca="false">IF(C115="","",IF(N(M115)+N(N115)&lt;Settings!$C$9,"untested",M115/(M115+N115)))</f>
        <v/>
      </c>
      <c r="P115" s="9"/>
      <c r="Q115" s="9"/>
      <c r="R115" s="9"/>
      <c r="S115" s="12"/>
      <c r="T115" s="9"/>
      <c r="U115" s="9"/>
      <c r="V115" s="9"/>
      <c r="W115" s="10" t="str">
        <f aca="false">IF(C115="","",IF(OR(G115="training",G115="full"),"Yes",IF(G115="none","No","?")))</f>
        <v/>
      </c>
      <c r="X115" s="10" t="str">
        <f aca="false">IF(C115="","",IF(OR(E115="",E115="unknown"),D115,E115))</f>
        <v/>
      </c>
      <c r="Y115" s="10" t="str">
        <f aca="false">IF(C115="","",IF(OR(T115="unsuitable",T115="retired",X115="no"),"—",IF(J115="","unrated",IF(AND(X115="full",J115&gt;=Settings!$C$5,OR(O115="untested",O115&gt;=Settings!$C$6)),"A",IF(AND(OR(X115="full",X115="reduced"),J115&gt;=Settings!$C$7,OR(O115="untested",O115&gt;=Settings!$C$8)),"B","C")))))</f>
        <v/>
      </c>
      <c r="Z115" s="11" t="str">
        <f aca="false">IF(C115="","",IF(P115&lt;&gt;"",P115,Y115))</f>
        <v/>
      </c>
    </row>
    <row r="116" customFormat="false" ht="15" hidden="false" customHeight="false" outlineLevel="0" collapsed="false">
      <c r="A116" s="9"/>
      <c r="B116" s="10" t="str">
        <f aca="false">IF(A116="","",IFERROR(INDEX(Parks!$A$2:$A$255,MATCH(A116,Parks!$B$2:$B$255,0)),"?"))</f>
        <v/>
      </c>
      <c r="C116" s="9"/>
      <c r="D116" s="10" t="str">
        <f aca="false">IF(C116="","",IF(SUMPRODUCT(--ISNUMBER(SEARCH({"Nets","Wicket","Diamond","Softball","T-ball","Baseball","Netball","Tennis","Bocce","Pentaque","Petanque","Skate","Car Park","Pond","Bridle","Amphitheatre","Perimeter","Passive"},C116)))&gt;0,"no",IF(SUMPRODUCT(--ISNUMBER(SEARCH({"Cricket","Junior","Mini","Summer Football","Small"},C116)))&gt;0,"reduced",IF(SUMPRODUCT(--ISNUMBER(SEARCH({"Rugby","Football","League","Touch","Gaelic","Australian","Lacrosse","General Sport","Training Area","Ultimate"},C116)))&gt;0,"full","unknown"))))</f>
        <v/>
      </c>
      <c r="E116" s="9"/>
      <c r="F116" s="9"/>
      <c r="G116" s="9"/>
      <c r="H116" s="9"/>
      <c r="I116" s="12"/>
      <c r="J116" s="9"/>
      <c r="K116" s="9"/>
      <c r="L116" s="9"/>
      <c r="M116" s="9"/>
      <c r="N116" s="9"/>
      <c r="O116" s="13" t="str">
        <f aca="false">IF(C116="","",IF(N(M116)+N(N116)&lt;Settings!$C$9,"untested",M116/(M116+N116)))</f>
        <v/>
      </c>
      <c r="P116" s="9"/>
      <c r="Q116" s="9"/>
      <c r="R116" s="9"/>
      <c r="S116" s="12"/>
      <c r="T116" s="9"/>
      <c r="U116" s="9"/>
      <c r="V116" s="9"/>
      <c r="W116" s="10" t="str">
        <f aca="false">IF(C116="","",IF(OR(G116="training",G116="full"),"Yes",IF(G116="none","No","?")))</f>
        <v/>
      </c>
      <c r="X116" s="10" t="str">
        <f aca="false">IF(C116="","",IF(OR(E116="",E116="unknown"),D116,E116))</f>
        <v/>
      </c>
      <c r="Y116" s="10" t="str">
        <f aca="false">IF(C116="","",IF(OR(T116="unsuitable",T116="retired",X116="no"),"—",IF(J116="","unrated",IF(AND(X116="full",J116&gt;=Settings!$C$5,OR(O116="untested",O116&gt;=Settings!$C$6)),"A",IF(AND(OR(X116="full",X116="reduced"),J116&gt;=Settings!$C$7,OR(O116="untested",O116&gt;=Settings!$C$8)),"B","C")))))</f>
        <v/>
      </c>
      <c r="Z116" s="11" t="str">
        <f aca="false">IF(C116="","",IF(P116&lt;&gt;"",P116,Y116))</f>
        <v/>
      </c>
    </row>
    <row r="117" customFormat="false" ht="15" hidden="false" customHeight="false" outlineLevel="0" collapsed="false">
      <c r="A117" s="9"/>
      <c r="B117" s="10" t="str">
        <f aca="false">IF(A117="","",IFERROR(INDEX(Parks!$A$2:$A$255,MATCH(A117,Parks!$B$2:$B$255,0)),"?"))</f>
        <v/>
      </c>
      <c r="C117" s="9"/>
      <c r="D117" s="10" t="str">
        <f aca="false">IF(C117="","",IF(SUMPRODUCT(--ISNUMBER(SEARCH({"Nets","Wicket","Diamond","Softball","T-ball","Baseball","Netball","Tennis","Bocce","Pentaque","Petanque","Skate","Car Park","Pond","Bridle","Amphitheatre","Perimeter","Passive"},C117)))&gt;0,"no",IF(SUMPRODUCT(--ISNUMBER(SEARCH({"Cricket","Junior","Mini","Summer Football","Small"},C117)))&gt;0,"reduced",IF(SUMPRODUCT(--ISNUMBER(SEARCH({"Rugby","Football","League","Touch","Gaelic","Australian","Lacrosse","General Sport","Training Area","Ultimate"},C117)))&gt;0,"full","unknown"))))</f>
        <v/>
      </c>
      <c r="E117" s="9"/>
      <c r="F117" s="9"/>
      <c r="G117" s="9"/>
      <c r="H117" s="9"/>
      <c r="I117" s="12"/>
      <c r="J117" s="9"/>
      <c r="K117" s="9"/>
      <c r="L117" s="9"/>
      <c r="M117" s="9"/>
      <c r="N117" s="9"/>
      <c r="O117" s="13" t="str">
        <f aca="false">IF(C117="","",IF(N(M117)+N(N117)&lt;Settings!$C$9,"untested",M117/(M117+N117)))</f>
        <v/>
      </c>
      <c r="P117" s="9"/>
      <c r="Q117" s="9"/>
      <c r="R117" s="9"/>
      <c r="S117" s="12"/>
      <c r="T117" s="9"/>
      <c r="U117" s="9"/>
      <c r="V117" s="9"/>
      <c r="W117" s="10" t="str">
        <f aca="false">IF(C117="","",IF(OR(G117="training",G117="full"),"Yes",IF(G117="none","No","?")))</f>
        <v/>
      </c>
      <c r="X117" s="10" t="str">
        <f aca="false">IF(C117="","",IF(OR(E117="",E117="unknown"),D117,E117))</f>
        <v/>
      </c>
      <c r="Y117" s="10" t="str">
        <f aca="false">IF(C117="","",IF(OR(T117="unsuitable",T117="retired",X117="no"),"—",IF(J117="","unrated",IF(AND(X117="full",J117&gt;=Settings!$C$5,OR(O117="untested",O117&gt;=Settings!$C$6)),"A",IF(AND(OR(X117="full",X117="reduced"),J117&gt;=Settings!$C$7,OR(O117="untested",O117&gt;=Settings!$C$8)),"B","C")))))</f>
        <v/>
      </c>
      <c r="Z117" s="11" t="str">
        <f aca="false">IF(C117="","",IF(P117&lt;&gt;"",P117,Y117))</f>
        <v/>
      </c>
    </row>
    <row r="118" customFormat="false" ht="15" hidden="false" customHeight="false" outlineLevel="0" collapsed="false">
      <c r="A118" s="9"/>
      <c r="B118" s="10" t="str">
        <f aca="false">IF(A118="","",IFERROR(INDEX(Parks!$A$2:$A$255,MATCH(A118,Parks!$B$2:$B$255,0)),"?"))</f>
        <v/>
      </c>
      <c r="C118" s="9"/>
      <c r="D118" s="10" t="str">
        <f aca="false">IF(C118="","",IF(SUMPRODUCT(--ISNUMBER(SEARCH({"Nets","Wicket","Diamond","Softball","T-ball","Baseball","Netball","Tennis","Bocce","Pentaque","Petanque","Skate","Car Park","Pond","Bridle","Amphitheatre","Perimeter","Passive"},C118)))&gt;0,"no",IF(SUMPRODUCT(--ISNUMBER(SEARCH({"Cricket","Junior","Mini","Summer Football","Small"},C118)))&gt;0,"reduced",IF(SUMPRODUCT(--ISNUMBER(SEARCH({"Rugby","Football","League","Touch","Gaelic","Australian","Lacrosse","General Sport","Training Area","Ultimate"},C118)))&gt;0,"full","unknown"))))</f>
        <v/>
      </c>
      <c r="E118" s="9"/>
      <c r="F118" s="9"/>
      <c r="G118" s="9"/>
      <c r="H118" s="9"/>
      <c r="I118" s="12"/>
      <c r="J118" s="9"/>
      <c r="K118" s="9"/>
      <c r="L118" s="9"/>
      <c r="M118" s="9"/>
      <c r="N118" s="9"/>
      <c r="O118" s="13" t="str">
        <f aca="false">IF(C118="","",IF(N(M118)+N(N118)&lt;Settings!$C$9,"untested",M118/(M118+N118)))</f>
        <v/>
      </c>
      <c r="P118" s="9"/>
      <c r="Q118" s="9"/>
      <c r="R118" s="9"/>
      <c r="S118" s="12"/>
      <c r="T118" s="9"/>
      <c r="U118" s="9"/>
      <c r="V118" s="9"/>
      <c r="W118" s="10" t="str">
        <f aca="false">IF(C118="","",IF(OR(G118="training",G118="full"),"Yes",IF(G118="none","No","?")))</f>
        <v/>
      </c>
      <c r="X118" s="10" t="str">
        <f aca="false">IF(C118="","",IF(OR(E118="",E118="unknown"),D118,E118))</f>
        <v/>
      </c>
      <c r="Y118" s="10" t="str">
        <f aca="false">IF(C118="","",IF(OR(T118="unsuitable",T118="retired",X118="no"),"—",IF(J118="","unrated",IF(AND(X118="full",J118&gt;=Settings!$C$5,OR(O118="untested",O118&gt;=Settings!$C$6)),"A",IF(AND(OR(X118="full",X118="reduced"),J118&gt;=Settings!$C$7,OR(O118="untested",O118&gt;=Settings!$C$8)),"B","C")))))</f>
        <v/>
      </c>
      <c r="Z118" s="11" t="str">
        <f aca="false">IF(C118="","",IF(P118&lt;&gt;"",P118,Y118))</f>
        <v/>
      </c>
    </row>
    <row r="119" customFormat="false" ht="15" hidden="false" customHeight="false" outlineLevel="0" collapsed="false">
      <c r="A119" s="9"/>
      <c r="B119" s="10" t="str">
        <f aca="false">IF(A119="","",IFERROR(INDEX(Parks!$A$2:$A$255,MATCH(A119,Parks!$B$2:$B$255,0)),"?"))</f>
        <v/>
      </c>
      <c r="C119" s="9"/>
      <c r="D119" s="10" t="str">
        <f aca="false">IF(C119="","",IF(SUMPRODUCT(--ISNUMBER(SEARCH({"Nets","Wicket","Diamond","Softball","T-ball","Baseball","Netball","Tennis","Bocce","Pentaque","Petanque","Skate","Car Park","Pond","Bridle","Amphitheatre","Perimeter","Passive"},C119)))&gt;0,"no",IF(SUMPRODUCT(--ISNUMBER(SEARCH({"Cricket","Junior","Mini","Summer Football","Small"},C119)))&gt;0,"reduced",IF(SUMPRODUCT(--ISNUMBER(SEARCH({"Rugby","Football","League","Touch","Gaelic","Australian","Lacrosse","General Sport","Training Area","Ultimate"},C119)))&gt;0,"full","unknown"))))</f>
        <v/>
      </c>
      <c r="E119" s="9"/>
      <c r="F119" s="9"/>
      <c r="G119" s="9"/>
      <c r="H119" s="9"/>
      <c r="I119" s="12"/>
      <c r="J119" s="9"/>
      <c r="K119" s="9"/>
      <c r="L119" s="9"/>
      <c r="M119" s="9"/>
      <c r="N119" s="9"/>
      <c r="O119" s="13" t="str">
        <f aca="false">IF(C119="","",IF(N(M119)+N(N119)&lt;Settings!$C$9,"untested",M119/(M119+N119)))</f>
        <v/>
      </c>
      <c r="P119" s="9"/>
      <c r="Q119" s="9"/>
      <c r="R119" s="9"/>
      <c r="S119" s="12"/>
      <c r="T119" s="9"/>
      <c r="U119" s="9"/>
      <c r="V119" s="9"/>
      <c r="W119" s="10" t="str">
        <f aca="false">IF(C119="","",IF(OR(G119="training",G119="full"),"Yes",IF(G119="none","No","?")))</f>
        <v/>
      </c>
      <c r="X119" s="10" t="str">
        <f aca="false">IF(C119="","",IF(OR(E119="",E119="unknown"),D119,E119))</f>
        <v/>
      </c>
      <c r="Y119" s="10" t="str">
        <f aca="false">IF(C119="","",IF(OR(T119="unsuitable",T119="retired",X119="no"),"—",IF(J119="","unrated",IF(AND(X119="full",J119&gt;=Settings!$C$5,OR(O119="untested",O119&gt;=Settings!$C$6)),"A",IF(AND(OR(X119="full",X119="reduced"),J119&gt;=Settings!$C$7,OR(O119="untested",O119&gt;=Settings!$C$8)),"B","C")))))</f>
        <v/>
      </c>
      <c r="Z119" s="11" t="str">
        <f aca="false">IF(C119="","",IF(P119&lt;&gt;"",P119,Y119))</f>
        <v/>
      </c>
    </row>
    <row r="120" customFormat="false" ht="15" hidden="false" customHeight="false" outlineLevel="0" collapsed="false">
      <c r="A120" s="9"/>
      <c r="B120" s="10" t="str">
        <f aca="false">IF(A120="","",IFERROR(INDEX(Parks!$A$2:$A$255,MATCH(A120,Parks!$B$2:$B$255,0)),"?"))</f>
        <v/>
      </c>
      <c r="C120" s="9"/>
      <c r="D120" s="10" t="str">
        <f aca="false">IF(C120="","",IF(SUMPRODUCT(--ISNUMBER(SEARCH({"Nets","Wicket","Diamond","Softball","T-ball","Baseball","Netball","Tennis","Bocce","Pentaque","Petanque","Skate","Car Park","Pond","Bridle","Amphitheatre","Perimeter","Passive"},C120)))&gt;0,"no",IF(SUMPRODUCT(--ISNUMBER(SEARCH({"Cricket","Junior","Mini","Summer Football","Small"},C120)))&gt;0,"reduced",IF(SUMPRODUCT(--ISNUMBER(SEARCH({"Rugby","Football","League","Touch","Gaelic","Australian","Lacrosse","General Sport","Training Area","Ultimate"},C120)))&gt;0,"full","unknown"))))</f>
        <v/>
      </c>
      <c r="E120" s="9"/>
      <c r="F120" s="9"/>
      <c r="G120" s="9"/>
      <c r="H120" s="9"/>
      <c r="I120" s="12"/>
      <c r="J120" s="9"/>
      <c r="K120" s="9"/>
      <c r="L120" s="9"/>
      <c r="M120" s="9"/>
      <c r="N120" s="9"/>
      <c r="O120" s="13" t="str">
        <f aca="false">IF(C120="","",IF(N(M120)+N(N120)&lt;Settings!$C$9,"untested",M120/(M120+N120)))</f>
        <v/>
      </c>
      <c r="P120" s="9"/>
      <c r="Q120" s="9"/>
      <c r="R120" s="9"/>
      <c r="S120" s="12"/>
      <c r="T120" s="9"/>
      <c r="U120" s="9"/>
      <c r="V120" s="9"/>
      <c r="W120" s="10" t="str">
        <f aca="false">IF(C120="","",IF(OR(G120="training",G120="full"),"Yes",IF(G120="none","No","?")))</f>
        <v/>
      </c>
      <c r="X120" s="10" t="str">
        <f aca="false">IF(C120="","",IF(OR(E120="",E120="unknown"),D120,E120))</f>
        <v/>
      </c>
      <c r="Y120" s="10" t="str">
        <f aca="false">IF(C120="","",IF(OR(T120="unsuitable",T120="retired",X120="no"),"—",IF(J120="","unrated",IF(AND(X120="full",J120&gt;=Settings!$C$5,OR(O120="untested",O120&gt;=Settings!$C$6)),"A",IF(AND(OR(X120="full",X120="reduced"),J120&gt;=Settings!$C$7,OR(O120="untested",O120&gt;=Settings!$C$8)),"B","C")))))</f>
        <v/>
      </c>
      <c r="Z120" s="11" t="str">
        <f aca="false">IF(C120="","",IF(P120&lt;&gt;"",P120,Y120))</f>
        <v/>
      </c>
    </row>
    <row r="121" customFormat="false" ht="15" hidden="false" customHeight="false" outlineLevel="0" collapsed="false">
      <c r="A121" s="9"/>
      <c r="B121" s="10" t="str">
        <f aca="false">IF(A121="","",IFERROR(INDEX(Parks!$A$2:$A$255,MATCH(A121,Parks!$B$2:$B$255,0)),"?"))</f>
        <v/>
      </c>
      <c r="C121" s="9"/>
      <c r="D121" s="10" t="str">
        <f aca="false">IF(C121="","",IF(SUMPRODUCT(--ISNUMBER(SEARCH({"Nets","Wicket","Diamond","Softball","T-ball","Baseball","Netball","Tennis","Bocce","Pentaque","Petanque","Skate","Car Park","Pond","Bridle","Amphitheatre","Perimeter","Passive"},C121)))&gt;0,"no",IF(SUMPRODUCT(--ISNUMBER(SEARCH({"Cricket","Junior","Mini","Summer Football","Small"},C121)))&gt;0,"reduced",IF(SUMPRODUCT(--ISNUMBER(SEARCH({"Rugby","Football","League","Touch","Gaelic","Australian","Lacrosse","General Sport","Training Area","Ultimate"},C121)))&gt;0,"full","unknown"))))</f>
        <v/>
      </c>
      <c r="E121" s="9"/>
      <c r="F121" s="9"/>
      <c r="G121" s="9"/>
      <c r="H121" s="9"/>
      <c r="I121" s="12"/>
      <c r="J121" s="9"/>
      <c r="K121" s="9"/>
      <c r="L121" s="9"/>
      <c r="M121" s="9"/>
      <c r="N121" s="9"/>
      <c r="O121" s="13" t="str">
        <f aca="false">IF(C121="","",IF(N(M121)+N(N121)&lt;Settings!$C$9,"untested",M121/(M121+N121)))</f>
        <v/>
      </c>
      <c r="P121" s="9"/>
      <c r="Q121" s="9"/>
      <c r="R121" s="9"/>
      <c r="S121" s="12"/>
      <c r="T121" s="9"/>
      <c r="U121" s="9"/>
      <c r="V121" s="9"/>
      <c r="W121" s="10" t="str">
        <f aca="false">IF(C121="","",IF(OR(G121="training",G121="full"),"Yes",IF(G121="none","No","?")))</f>
        <v/>
      </c>
      <c r="X121" s="10" t="str">
        <f aca="false">IF(C121="","",IF(OR(E121="",E121="unknown"),D121,E121))</f>
        <v/>
      </c>
      <c r="Y121" s="10" t="str">
        <f aca="false">IF(C121="","",IF(OR(T121="unsuitable",T121="retired",X121="no"),"—",IF(J121="","unrated",IF(AND(X121="full",J121&gt;=Settings!$C$5,OR(O121="untested",O121&gt;=Settings!$C$6)),"A",IF(AND(OR(X121="full",X121="reduced"),J121&gt;=Settings!$C$7,OR(O121="untested",O121&gt;=Settings!$C$8)),"B","C")))))</f>
        <v/>
      </c>
      <c r="Z121" s="11" t="str">
        <f aca="false">IF(C121="","",IF(P121&lt;&gt;"",P121,Y121))</f>
        <v/>
      </c>
    </row>
    <row r="122" customFormat="false" ht="15" hidden="false" customHeight="false" outlineLevel="0" collapsed="false">
      <c r="A122" s="9"/>
      <c r="B122" s="10" t="str">
        <f aca="false">IF(A122="","",IFERROR(INDEX(Parks!$A$2:$A$255,MATCH(A122,Parks!$B$2:$B$255,0)),"?"))</f>
        <v/>
      </c>
      <c r="C122" s="9"/>
      <c r="D122" s="10" t="str">
        <f aca="false">IF(C122="","",IF(SUMPRODUCT(--ISNUMBER(SEARCH({"Nets","Wicket","Diamond","Softball","T-ball","Baseball","Netball","Tennis","Bocce","Pentaque","Petanque","Skate","Car Park","Pond","Bridle","Amphitheatre","Perimeter","Passive"},C122)))&gt;0,"no",IF(SUMPRODUCT(--ISNUMBER(SEARCH({"Cricket","Junior","Mini","Summer Football","Small"},C122)))&gt;0,"reduced",IF(SUMPRODUCT(--ISNUMBER(SEARCH({"Rugby","Football","League","Touch","Gaelic","Australian","Lacrosse","General Sport","Training Area","Ultimate"},C122)))&gt;0,"full","unknown"))))</f>
        <v/>
      </c>
      <c r="E122" s="9"/>
      <c r="F122" s="9"/>
      <c r="G122" s="9"/>
      <c r="H122" s="9"/>
      <c r="I122" s="12"/>
      <c r="J122" s="9"/>
      <c r="K122" s="9"/>
      <c r="L122" s="9"/>
      <c r="M122" s="9"/>
      <c r="N122" s="9"/>
      <c r="O122" s="13" t="str">
        <f aca="false">IF(C122="","",IF(N(M122)+N(N122)&lt;Settings!$C$9,"untested",M122/(M122+N122)))</f>
        <v/>
      </c>
      <c r="P122" s="9"/>
      <c r="Q122" s="9"/>
      <c r="R122" s="9"/>
      <c r="S122" s="12"/>
      <c r="T122" s="9"/>
      <c r="U122" s="9"/>
      <c r="V122" s="9"/>
      <c r="W122" s="10" t="str">
        <f aca="false">IF(C122="","",IF(OR(G122="training",G122="full"),"Yes",IF(G122="none","No","?")))</f>
        <v/>
      </c>
      <c r="X122" s="10" t="str">
        <f aca="false">IF(C122="","",IF(OR(E122="",E122="unknown"),D122,E122))</f>
        <v/>
      </c>
      <c r="Y122" s="10" t="str">
        <f aca="false">IF(C122="","",IF(OR(T122="unsuitable",T122="retired",X122="no"),"—",IF(J122="","unrated",IF(AND(X122="full",J122&gt;=Settings!$C$5,OR(O122="untested",O122&gt;=Settings!$C$6)),"A",IF(AND(OR(X122="full",X122="reduced"),J122&gt;=Settings!$C$7,OR(O122="untested",O122&gt;=Settings!$C$8)),"B","C")))))</f>
        <v/>
      </c>
      <c r="Z122" s="11" t="str">
        <f aca="false">IF(C122="","",IF(P122&lt;&gt;"",P122,Y122))</f>
        <v/>
      </c>
    </row>
    <row r="123" customFormat="false" ht="15" hidden="false" customHeight="false" outlineLevel="0" collapsed="false">
      <c r="A123" s="9"/>
      <c r="B123" s="10" t="str">
        <f aca="false">IF(A123="","",IFERROR(INDEX(Parks!$A$2:$A$255,MATCH(A123,Parks!$B$2:$B$255,0)),"?"))</f>
        <v/>
      </c>
      <c r="C123" s="9"/>
      <c r="D123" s="10" t="str">
        <f aca="false">IF(C123="","",IF(SUMPRODUCT(--ISNUMBER(SEARCH({"Nets","Wicket","Diamond","Softball","T-ball","Baseball","Netball","Tennis","Bocce","Pentaque","Petanque","Skate","Car Park","Pond","Bridle","Amphitheatre","Perimeter","Passive"},C123)))&gt;0,"no",IF(SUMPRODUCT(--ISNUMBER(SEARCH({"Cricket","Junior","Mini","Summer Football","Small"},C123)))&gt;0,"reduced",IF(SUMPRODUCT(--ISNUMBER(SEARCH({"Rugby","Football","League","Touch","Gaelic","Australian","Lacrosse","General Sport","Training Area","Ultimate"},C123)))&gt;0,"full","unknown"))))</f>
        <v/>
      </c>
      <c r="E123" s="9"/>
      <c r="F123" s="9"/>
      <c r="G123" s="9"/>
      <c r="H123" s="9"/>
      <c r="I123" s="12"/>
      <c r="J123" s="9"/>
      <c r="K123" s="9"/>
      <c r="L123" s="9"/>
      <c r="M123" s="9"/>
      <c r="N123" s="9"/>
      <c r="O123" s="13" t="str">
        <f aca="false">IF(C123="","",IF(N(M123)+N(N123)&lt;Settings!$C$9,"untested",M123/(M123+N123)))</f>
        <v/>
      </c>
      <c r="P123" s="9"/>
      <c r="Q123" s="9"/>
      <c r="R123" s="9"/>
      <c r="S123" s="12"/>
      <c r="T123" s="9"/>
      <c r="U123" s="9"/>
      <c r="V123" s="9"/>
      <c r="W123" s="10" t="str">
        <f aca="false">IF(C123="","",IF(OR(G123="training",G123="full"),"Yes",IF(G123="none","No","?")))</f>
        <v/>
      </c>
      <c r="X123" s="10" t="str">
        <f aca="false">IF(C123="","",IF(OR(E123="",E123="unknown"),D123,E123))</f>
        <v/>
      </c>
      <c r="Y123" s="10" t="str">
        <f aca="false">IF(C123="","",IF(OR(T123="unsuitable",T123="retired",X123="no"),"—",IF(J123="","unrated",IF(AND(X123="full",J123&gt;=Settings!$C$5,OR(O123="untested",O123&gt;=Settings!$C$6)),"A",IF(AND(OR(X123="full",X123="reduced"),J123&gt;=Settings!$C$7,OR(O123="untested",O123&gt;=Settings!$C$8)),"B","C")))))</f>
        <v/>
      </c>
      <c r="Z123" s="11" t="str">
        <f aca="false">IF(C123="","",IF(P123&lt;&gt;"",P123,Y123))</f>
        <v/>
      </c>
    </row>
    <row r="124" customFormat="false" ht="15" hidden="false" customHeight="false" outlineLevel="0" collapsed="false">
      <c r="A124" s="9"/>
      <c r="B124" s="10" t="str">
        <f aca="false">IF(A124="","",IFERROR(INDEX(Parks!$A$2:$A$255,MATCH(A124,Parks!$B$2:$B$255,0)),"?"))</f>
        <v/>
      </c>
      <c r="C124" s="9"/>
      <c r="D124" s="10" t="str">
        <f aca="false">IF(C124="","",IF(SUMPRODUCT(--ISNUMBER(SEARCH({"Nets","Wicket","Diamond","Softball","T-ball","Baseball","Netball","Tennis","Bocce","Pentaque","Petanque","Skate","Car Park","Pond","Bridle","Amphitheatre","Perimeter","Passive"},C124)))&gt;0,"no",IF(SUMPRODUCT(--ISNUMBER(SEARCH({"Cricket","Junior","Mini","Summer Football","Small"},C124)))&gt;0,"reduced",IF(SUMPRODUCT(--ISNUMBER(SEARCH({"Rugby","Football","League","Touch","Gaelic","Australian","Lacrosse","General Sport","Training Area","Ultimate"},C124)))&gt;0,"full","unknown"))))</f>
        <v/>
      </c>
      <c r="E124" s="9"/>
      <c r="F124" s="9"/>
      <c r="G124" s="9"/>
      <c r="H124" s="9"/>
      <c r="I124" s="12"/>
      <c r="J124" s="9"/>
      <c r="K124" s="9"/>
      <c r="L124" s="9"/>
      <c r="M124" s="9"/>
      <c r="N124" s="9"/>
      <c r="O124" s="13" t="str">
        <f aca="false">IF(C124="","",IF(N(M124)+N(N124)&lt;Settings!$C$9,"untested",M124/(M124+N124)))</f>
        <v/>
      </c>
      <c r="P124" s="9"/>
      <c r="Q124" s="9"/>
      <c r="R124" s="9"/>
      <c r="S124" s="12"/>
      <c r="T124" s="9"/>
      <c r="U124" s="9"/>
      <c r="V124" s="9"/>
      <c r="W124" s="10" t="str">
        <f aca="false">IF(C124="","",IF(OR(G124="training",G124="full"),"Yes",IF(G124="none","No","?")))</f>
        <v/>
      </c>
      <c r="X124" s="10" t="str">
        <f aca="false">IF(C124="","",IF(OR(E124="",E124="unknown"),D124,E124))</f>
        <v/>
      </c>
      <c r="Y124" s="10" t="str">
        <f aca="false">IF(C124="","",IF(OR(T124="unsuitable",T124="retired",X124="no"),"—",IF(J124="","unrated",IF(AND(X124="full",J124&gt;=Settings!$C$5,OR(O124="untested",O124&gt;=Settings!$C$6)),"A",IF(AND(OR(X124="full",X124="reduced"),J124&gt;=Settings!$C$7,OR(O124="untested",O124&gt;=Settings!$C$8)),"B","C")))))</f>
        <v/>
      </c>
      <c r="Z124" s="11" t="str">
        <f aca="false">IF(C124="","",IF(P124&lt;&gt;"",P124,Y124))</f>
        <v/>
      </c>
    </row>
    <row r="125" customFormat="false" ht="15" hidden="false" customHeight="false" outlineLevel="0" collapsed="false">
      <c r="A125" s="9"/>
      <c r="B125" s="10" t="str">
        <f aca="false">IF(A125="","",IFERROR(INDEX(Parks!$A$2:$A$255,MATCH(A125,Parks!$B$2:$B$255,0)),"?"))</f>
        <v/>
      </c>
      <c r="C125" s="9"/>
      <c r="D125" s="10" t="str">
        <f aca="false">IF(C125="","",IF(SUMPRODUCT(--ISNUMBER(SEARCH({"Nets","Wicket","Diamond","Softball","T-ball","Baseball","Netball","Tennis","Bocce","Pentaque","Petanque","Skate","Car Park","Pond","Bridle","Amphitheatre","Perimeter","Passive"},C125)))&gt;0,"no",IF(SUMPRODUCT(--ISNUMBER(SEARCH({"Cricket","Junior","Mini","Summer Football","Small"},C125)))&gt;0,"reduced",IF(SUMPRODUCT(--ISNUMBER(SEARCH({"Rugby","Football","League","Touch","Gaelic","Australian","Lacrosse","General Sport","Training Area","Ultimate"},C125)))&gt;0,"full","unknown"))))</f>
        <v/>
      </c>
      <c r="E125" s="9"/>
      <c r="F125" s="9"/>
      <c r="G125" s="9"/>
      <c r="H125" s="9"/>
      <c r="I125" s="12"/>
      <c r="J125" s="9"/>
      <c r="K125" s="9"/>
      <c r="L125" s="9"/>
      <c r="M125" s="9"/>
      <c r="N125" s="9"/>
      <c r="O125" s="13" t="str">
        <f aca="false">IF(C125="","",IF(N(M125)+N(N125)&lt;Settings!$C$9,"untested",M125/(M125+N125)))</f>
        <v/>
      </c>
      <c r="P125" s="9"/>
      <c r="Q125" s="9"/>
      <c r="R125" s="9"/>
      <c r="S125" s="12"/>
      <c r="T125" s="9"/>
      <c r="U125" s="9"/>
      <c r="V125" s="9"/>
      <c r="W125" s="10" t="str">
        <f aca="false">IF(C125="","",IF(OR(G125="training",G125="full"),"Yes",IF(G125="none","No","?")))</f>
        <v/>
      </c>
      <c r="X125" s="10" t="str">
        <f aca="false">IF(C125="","",IF(OR(E125="",E125="unknown"),D125,E125))</f>
        <v/>
      </c>
      <c r="Y125" s="10" t="str">
        <f aca="false">IF(C125="","",IF(OR(T125="unsuitable",T125="retired",X125="no"),"—",IF(J125="","unrated",IF(AND(X125="full",J125&gt;=Settings!$C$5,OR(O125="untested",O125&gt;=Settings!$C$6)),"A",IF(AND(OR(X125="full",X125="reduced"),J125&gt;=Settings!$C$7,OR(O125="untested",O125&gt;=Settings!$C$8)),"B","C")))))</f>
        <v/>
      </c>
      <c r="Z125" s="11" t="str">
        <f aca="false">IF(C125="","",IF(P125&lt;&gt;"",P125,Y125))</f>
        <v/>
      </c>
    </row>
    <row r="126" customFormat="false" ht="15" hidden="false" customHeight="false" outlineLevel="0" collapsed="false">
      <c r="A126" s="9"/>
      <c r="B126" s="10" t="str">
        <f aca="false">IF(A126="","",IFERROR(INDEX(Parks!$A$2:$A$255,MATCH(A126,Parks!$B$2:$B$255,0)),"?"))</f>
        <v/>
      </c>
      <c r="C126" s="9"/>
      <c r="D126" s="10" t="str">
        <f aca="false">IF(C126="","",IF(SUMPRODUCT(--ISNUMBER(SEARCH({"Nets","Wicket","Diamond","Softball","T-ball","Baseball","Netball","Tennis","Bocce","Pentaque","Petanque","Skate","Car Park","Pond","Bridle","Amphitheatre","Perimeter","Passive"},C126)))&gt;0,"no",IF(SUMPRODUCT(--ISNUMBER(SEARCH({"Cricket","Junior","Mini","Summer Football","Small"},C126)))&gt;0,"reduced",IF(SUMPRODUCT(--ISNUMBER(SEARCH({"Rugby","Football","League","Touch","Gaelic","Australian","Lacrosse","General Sport","Training Area","Ultimate"},C126)))&gt;0,"full","unknown"))))</f>
        <v/>
      </c>
      <c r="E126" s="9"/>
      <c r="F126" s="9"/>
      <c r="G126" s="9"/>
      <c r="H126" s="9"/>
      <c r="I126" s="12"/>
      <c r="J126" s="9"/>
      <c r="K126" s="9"/>
      <c r="L126" s="9"/>
      <c r="M126" s="9"/>
      <c r="N126" s="9"/>
      <c r="O126" s="13" t="str">
        <f aca="false">IF(C126="","",IF(N(M126)+N(N126)&lt;Settings!$C$9,"untested",M126/(M126+N126)))</f>
        <v/>
      </c>
      <c r="P126" s="9"/>
      <c r="Q126" s="9"/>
      <c r="R126" s="9"/>
      <c r="S126" s="12"/>
      <c r="T126" s="9"/>
      <c r="U126" s="9"/>
      <c r="V126" s="9"/>
      <c r="W126" s="10" t="str">
        <f aca="false">IF(C126="","",IF(OR(G126="training",G126="full"),"Yes",IF(G126="none","No","?")))</f>
        <v/>
      </c>
      <c r="X126" s="10" t="str">
        <f aca="false">IF(C126="","",IF(OR(E126="",E126="unknown"),D126,E126))</f>
        <v/>
      </c>
      <c r="Y126" s="10" t="str">
        <f aca="false">IF(C126="","",IF(OR(T126="unsuitable",T126="retired",X126="no"),"—",IF(J126="","unrated",IF(AND(X126="full",J126&gt;=Settings!$C$5,OR(O126="untested",O126&gt;=Settings!$C$6)),"A",IF(AND(OR(X126="full",X126="reduced"),J126&gt;=Settings!$C$7,OR(O126="untested",O126&gt;=Settings!$C$8)),"B","C")))))</f>
        <v/>
      </c>
      <c r="Z126" s="11" t="str">
        <f aca="false">IF(C126="","",IF(P126&lt;&gt;"",P126,Y126))</f>
        <v/>
      </c>
    </row>
    <row r="127" customFormat="false" ht="15" hidden="false" customHeight="false" outlineLevel="0" collapsed="false">
      <c r="A127" s="9"/>
      <c r="B127" s="10" t="str">
        <f aca="false">IF(A127="","",IFERROR(INDEX(Parks!$A$2:$A$255,MATCH(A127,Parks!$B$2:$B$255,0)),"?"))</f>
        <v/>
      </c>
      <c r="C127" s="9"/>
      <c r="D127" s="10" t="str">
        <f aca="false">IF(C127="","",IF(SUMPRODUCT(--ISNUMBER(SEARCH({"Nets","Wicket","Diamond","Softball","T-ball","Baseball","Netball","Tennis","Bocce","Pentaque","Petanque","Skate","Car Park","Pond","Bridle","Amphitheatre","Perimeter","Passive"},C127)))&gt;0,"no",IF(SUMPRODUCT(--ISNUMBER(SEARCH({"Cricket","Junior","Mini","Summer Football","Small"},C127)))&gt;0,"reduced",IF(SUMPRODUCT(--ISNUMBER(SEARCH({"Rugby","Football","League","Touch","Gaelic","Australian","Lacrosse","General Sport","Training Area","Ultimate"},C127)))&gt;0,"full","unknown"))))</f>
        <v/>
      </c>
      <c r="E127" s="9"/>
      <c r="F127" s="9"/>
      <c r="G127" s="9"/>
      <c r="H127" s="9"/>
      <c r="I127" s="12"/>
      <c r="J127" s="9"/>
      <c r="K127" s="9"/>
      <c r="L127" s="9"/>
      <c r="M127" s="9"/>
      <c r="N127" s="9"/>
      <c r="O127" s="13" t="str">
        <f aca="false">IF(C127="","",IF(N(M127)+N(N127)&lt;Settings!$C$9,"untested",M127/(M127+N127)))</f>
        <v/>
      </c>
      <c r="P127" s="9"/>
      <c r="Q127" s="9"/>
      <c r="R127" s="9"/>
      <c r="S127" s="12"/>
      <c r="T127" s="9"/>
      <c r="U127" s="9"/>
      <c r="V127" s="9"/>
      <c r="W127" s="10" t="str">
        <f aca="false">IF(C127="","",IF(OR(G127="training",G127="full"),"Yes",IF(G127="none","No","?")))</f>
        <v/>
      </c>
      <c r="X127" s="10" t="str">
        <f aca="false">IF(C127="","",IF(OR(E127="",E127="unknown"),D127,E127))</f>
        <v/>
      </c>
      <c r="Y127" s="10" t="str">
        <f aca="false">IF(C127="","",IF(OR(T127="unsuitable",T127="retired",X127="no"),"—",IF(J127="","unrated",IF(AND(X127="full",J127&gt;=Settings!$C$5,OR(O127="untested",O127&gt;=Settings!$C$6)),"A",IF(AND(OR(X127="full",X127="reduced"),J127&gt;=Settings!$C$7,OR(O127="untested",O127&gt;=Settings!$C$8)),"B","C")))))</f>
        <v/>
      </c>
      <c r="Z127" s="11" t="str">
        <f aca="false">IF(C127="","",IF(P127&lt;&gt;"",P127,Y127))</f>
        <v/>
      </c>
    </row>
    <row r="128" customFormat="false" ht="15" hidden="false" customHeight="false" outlineLevel="0" collapsed="false">
      <c r="A128" s="9"/>
      <c r="B128" s="10" t="str">
        <f aca="false">IF(A128="","",IFERROR(INDEX(Parks!$A$2:$A$255,MATCH(A128,Parks!$B$2:$B$255,0)),"?"))</f>
        <v/>
      </c>
      <c r="C128" s="9"/>
      <c r="D128" s="10" t="str">
        <f aca="false">IF(C128="","",IF(SUMPRODUCT(--ISNUMBER(SEARCH({"Nets","Wicket","Diamond","Softball","T-ball","Baseball","Netball","Tennis","Bocce","Pentaque","Petanque","Skate","Car Park","Pond","Bridle","Amphitheatre","Perimeter","Passive"},C128)))&gt;0,"no",IF(SUMPRODUCT(--ISNUMBER(SEARCH({"Cricket","Junior","Mini","Summer Football","Small"},C128)))&gt;0,"reduced",IF(SUMPRODUCT(--ISNUMBER(SEARCH({"Rugby","Football","League","Touch","Gaelic","Australian","Lacrosse","General Sport","Training Area","Ultimate"},C128)))&gt;0,"full","unknown"))))</f>
        <v/>
      </c>
      <c r="E128" s="9"/>
      <c r="F128" s="9"/>
      <c r="G128" s="9"/>
      <c r="H128" s="9"/>
      <c r="I128" s="12"/>
      <c r="J128" s="9"/>
      <c r="K128" s="9"/>
      <c r="L128" s="9"/>
      <c r="M128" s="9"/>
      <c r="N128" s="9"/>
      <c r="O128" s="13" t="str">
        <f aca="false">IF(C128="","",IF(N(M128)+N(N128)&lt;Settings!$C$9,"untested",M128/(M128+N128)))</f>
        <v/>
      </c>
      <c r="P128" s="9"/>
      <c r="Q128" s="9"/>
      <c r="R128" s="9"/>
      <c r="S128" s="12"/>
      <c r="T128" s="9"/>
      <c r="U128" s="9"/>
      <c r="V128" s="9"/>
      <c r="W128" s="10" t="str">
        <f aca="false">IF(C128="","",IF(OR(G128="training",G128="full"),"Yes",IF(G128="none","No","?")))</f>
        <v/>
      </c>
      <c r="X128" s="10" t="str">
        <f aca="false">IF(C128="","",IF(OR(E128="",E128="unknown"),D128,E128))</f>
        <v/>
      </c>
      <c r="Y128" s="10" t="str">
        <f aca="false">IF(C128="","",IF(OR(T128="unsuitable",T128="retired",X128="no"),"—",IF(J128="","unrated",IF(AND(X128="full",J128&gt;=Settings!$C$5,OR(O128="untested",O128&gt;=Settings!$C$6)),"A",IF(AND(OR(X128="full",X128="reduced"),J128&gt;=Settings!$C$7,OR(O128="untested",O128&gt;=Settings!$C$8)),"B","C")))))</f>
        <v/>
      </c>
      <c r="Z128" s="11" t="str">
        <f aca="false">IF(C128="","",IF(P128&lt;&gt;"",P128,Y128))</f>
        <v/>
      </c>
    </row>
    <row r="129" customFormat="false" ht="15" hidden="false" customHeight="false" outlineLevel="0" collapsed="false">
      <c r="A129" s="9"/>
      <c r="B129" s="10" t="str">
        <f aca="false">IF(A129="","",IFERROR(INDEX(Parks!$A$2:$A$255,MATCH(A129,Parks!$B$2:$B$255,0)),"?"))</f>
        <v/>
      </c>
      <c r="C129" s="9"/>
      <c r="D129" s="10" t="str">
        <f aca="false">IF(C129="","",IF(SUMPRODUCT(--ISNUMBER(SEARCH({"Nets","Wicket","Diamond","Softball","T-ball","Baseball","Netball","Tennis","Bocce","Pentaque","Petanque","Skate","Car Park","Pond","Bridle","Amphitheatre","Perimeter","Passive"},C129)))&gt;0,"no",IF(SUMPRODUCT(--ISNUMBER(SEARCH({"Cricket","Junior","Mini","Summer Football","Small"},C129)))&gt;0,"reduced",IF(SUMPRODUCT(--ISNUMBER(SEARCH({"Rugby","Football","League","Touch","Gaelic","Australian","Lacrosse","General Sport","Training Area","Ultimate"},C129)))&gt;0,"full","unknown"))))</f>
        <v/>
      </c>
      <c r="E129" s="9"/>
      <c r="F129" s="9"/>
      <c r="G129" s="9"/>
      <c r="H129" s="9"/>
      <c r="I129" s="12"/>
      <c r="J129" s="9"/>
      <c r="K129" s="9"/>
      <c r="L129" s="9"/>
      <c r="M129" s="9"/>
      <c r="N129" s="9"/>
      <c r="O129" s="13" t="str">
        <f aca="false">IF(C129="","",IF(N(M129)+N(N129)&lt;Settings!$C$9,"untested",M129/(M129+N129)))</f>
        <v/>
      </c>
      <c r="P129" s="9"/>
      <c r="Q129" s="9"/>
      <c r="R129" s="9"/>
      <c r="S129" s="12"/>
      <c r="T129" s="9"/>
      <c r="U129" s="9"/>
      <c r="V129" s="9"/>
      <c r="W129" s="10" t="str">
        <f aca="false">IF(C129="","",IF(OR(G129="training",G129="full"),"Yes",IF(G129="none","No","?")))</f>
        <v/>
      </c>
      <c r="X129" s="10" t="str">
        <f aca="false">IF(C129="","",IF(OR(E129="",E129="unknown"),D129,E129))</f>
        <v/>
      </c>
      <c r="Y129" s="10" t="str">
        <f aca="false">IF(C129="","",IF(OR(T129="unsuitable",T129="retired",X129="no"),"—",IF(J129="","unrated",IF(AND(X129="full",J129&gt;=Settings!$C$5,OR(O129="untested",O129&gt;=Settings!$C$6)),"A",IF(AND(OR(X129="full",X129="reduced"),J129&gt;=Settings!$C$7,OR(O129="untested",O129&gt;=Settings!$C$8)),"B","C")))))</f>
        <v/>
      </c>
      <c r="Z129" s="11" t="str">
        <f aca="false">IF(C129="","",IF(P129&lt;&gt;"",P129,Y129))</f>
        <v/>
      </c>
    </row>
    <row r="130" customFormat="false" ht="15" hidden="false" customHeight="false" outlineLevel="0" collapsed="false">
      <c r="A130" s="9"/>
      <c r="B130" s="10" t="str">
        <f aca="false">IF(A130="","",IFERROR(INDEX(Parks!$A$2:$A$255,MATCH(A130,Parks!$B$2:$B$255,0)),"?"))</f>
        <v/>
      </c>
      <c r="C130" s="9"/>
      <c r="D130" s="10" t="str">
        <f aca="false">IF(C130="","",IF(SUMPRODUCT(--ISNUMBER(SEARCH({"Nets","Wicket","Diamond","Softball","T-ball","Baseball","Netball","Tennis","Bocce","Pentaque","Petanque","Skate","Car Park","Pond","Bridle","Amphitheatre","Perimeter","Passive"},C130)))&gt;0,"no",IF(SUMPRODUCT(--ISNUMBER(SEARCH({"Cricket","Junior","Mini","Summer Football","Small"},C130)))&gt;0,"reduced",IF(SUMPRODUCT(--ISNUMBER(SEARCH({"Rugby","Football","League","Touch","Gaelic","Australian","Lacrosse","General Sport","Training Area","Ultimate"},C130)))&gt;0,"full","unknown"))))</f>
        <v/>
      </c>
      <c r="E130" s="9"/>
      <c r="F130" s="9"/>
      <c r="G130" s="9"/>
      <c r="H130" s="9"/>
      <c r="I130" s="12"/>
      <c r="J130" s="9"/>
      <c r="K130" s="9"/>
      <c r="L130" s="9"/>
      <c r="M130" s="9"/>
      <c r="N130" s="9"/>
      <c r="O130" s="13" t="str">
        <f aca="false">IF(C130="","",IF(N(M130)+N(N130)&lt;Settings!$C$9,"untested",M130/(M130+N130)))</f>
        <v/>
      </c>
      <c r="P130" s="9"/>
      <c r="Q130" s="9"/>
      <c r="R130" s="9"/>
      <c r="S130" s="12"/>
      <c r="T130" s="9"/>
      <c r="U130" s="9"/>
      <c r="V130" s="9"/>
      <c r="W130" s="10" t="str">
        <f aca="false">IF(C130="","",IF(OR(G130="training",G130="full"),"Yes",IF(G130="none","No","?")))</f>
        <v/>
      </c>
      <c r="X130" s="10" t="str">
        <f aca="false">IF(C130="","",IF(OR(E130="",E130="unknown"),D130,E130))</f>
        <v/>
      </c>
      <c r="Y130" s="10" t="str">
        <f aca="false">IF(C130="","",IF(OR(T130="unsuitable",T130="retired",X130="no"),"—",IF(J130="","unrated",IF(AND(X130="full",J130&gt;=Settings!$C$5,OR(O130="untested",O130&gt;=Settings!$C$6)),"A",IF(AND(OR(X130="full",X130="reduced"),J130&gt;=Settings!$C$7,OR(O130="untested",O130&gt;=Settings!$C$8)),"B","C")))))</f>
        <v/>
      </c>
      <c r="Z130" s="11" t="str">
        <f aca="false">IF(C130="","",IF(P130&lt;&gt;"",P130,Y130))</f>
        <v/>
      </c>
    </row>
    <row r="131" customFormat="false" ht="15" hidden="false" customHeight="false" outlineLevel="0" collapsed="false">
      <c r="A131" s="9"/>
      <c r="B131" s="10" t="str">
        <f aca="false">IF(A131="","",IFERROR(INDEX(Parks!$A$2:$A$255,MATCH(A131,Parks!$B$2:$B$255,0)),"?"))</f>
        <v/>
      </c>
      <c r="C131" s="9"/>
      <c r="D131" s="10" t="str">
        <f aca="false">IF(C131="","",IF(SUMPRODUCT(--ISNUMBER(SEARCH({"Nets","Wicket","Diamond","Softball","T-ball","Baseball","Netball","Tennis","Bocce","Pentaque","Petanque","Skate","Car Park","Pond","Bridle","Amphitheatre","Perimeter","Passive"},C131)))&gt;0,"no",IF(SUMPRODUCT(--ISNUMBER(SEARCH({"Cricket","Junior","Mini","Summer Football","Small"},C131)))&gt;0,"reduced",IF(SUMPRODUCT(--ISNUMBER(SEARCH({"Rugby","Football","League","Touch","Gaelic","Australian","Lacrosse","General Sport","Training Area","Ultimate"},C131)))&gt;0,"full","unknown"))))</f>
        <v/>
      </c>
      <c r="E131" s="9"/>
      <c r="F131" s="9"/>
      <c r="G131" s="9"/>
      <c r="H131" s="9"/>
      <c r="I131" s="12"/>
      <c r="J131" s="9"/>
      <c r="K131" s="9"/>
      <c r="L131" s="9"/>
      <c r="M131" s="9"/>
      <c r="N131" s="9"/>
      <c r="O131" s="13" t="str">
        <f aca="false">IF(C131="","",IF(N(M131)+N(N131)&lt;Settings!$C$9,"untested",M131/(M131+N131)))</f>
        <v/>
      </c>
      <c r="P131" s="9"/>
      <c r="Q131" s="9"/>
      <c r="R131" s="9"/>
      <c r="S131" s="12"/>
      <c r="T131" s="9"/>
      <c r="U131" s="9"/>
      <c r="V131" s="9"/>
      <c r="W131" s="10" t="str">
        <f aca="false">IF(C131="","",IF(OR(G131="training",G131="full"),"Yes",IF(G131="none","No","?")))</f>
        <v/>
      </c>
      <c r="X131" s="10" t="str">
        <f aca="false">IF(C131="","",IF(OR(E131="",E131="unknown"),D131,E131))</f>
        <v/>
      </c>
      <c r="Y131" s="10" t="str">
        <f aca="false">IF(C131="","",IF(OR(T131="unsuitable",T131="retired",X131="no"),"—",IF(J131="","unrated",IF(AND(X131="full",J131&gt;=Settings!$C$5,OR(O131="untested",O131&gt;=Settings!$C$6)),"A",IF(AND(OR(X131="full",X131="reduced"),J131&gt;=Settings!$C$7,OR(O131="untested",O131&gt;=Settings!$C$8)),"B","C")))))</f>
        <v/>
      </c>
      <c r="Z131" s="11" t="str">
        <f aca="false">IF(C131="","",IF(P131&lt;&gt;"",P131,Y131))</f>
        <v/>
      </c>
    </row>
    <row r="132" customFormat="false" ht="15" hidden="false" customHeight="false" outlineLevel="0" collapsed="false">
      <c r="A132" s="9"/>
      <c r="B132" s="10" t="str">
        <f aca="false">IF(A132="","",IFERROR(INDEX(Parks!$A$2:$A$255,MATCH(A132,Parks!$B$2:$B$255,0)),"?"))</f>
        <v/>
      </c>
      <c r="C132" s="9"/>
      <c r="D132" s="10" t="str">
        <f aca="false">IF(C132="","",IF(SUMPRODUCT(--ISNUMBER(SEARCH({"Nets","Wicket","Diamond","Softball","T-ball","Baseball","Netball","Tennis","Bocce","Pentaque","Petanque","Skate","Car Park","Pond","Bridle","Amphitheatre","Perimeter","Passive"},C132)))&gt;0,"no",IF(SUMPRODUCT(--ISNUMBER(SEARCH({"Cricket","Junior","Mini","Summer Football","Small"},C132)))&gt;0,"reduced",IF(SUMPRODUCT(--ISNUMBER(SEARCH({"Rugby","Football","League","Touch","Gaelic","Australian","Lacrosse","General Sport","Training Area","Ultimate"},C132)))&gt;0,"full","unknown"))))</f>
        <v/>
      </c>
      <c r="E132" s="9"/>
      <c r="F132" s="9"/>
      <c r="G132" s="9"/>
      <c r="H132" s="9"/>
      <c r="I132" s="12"/>
      <c r="J132" s="9"/>
      <c r="K132" s="9"/>
      <c r="L132" s="9"/>
      <c r="M132" s="9"/>
      <c r="N132" s="9"/>
      <c r="O132" s="13" t="str">
        <f aca="false">IF(C132="","",IF(N(M132)+N(N132)&lt;Settings!$C$9,"untested",M132/(M132+N132)))</f>
        <v/>
      </c>
      <c r="P132" s="9"/>
      <c r="Q132" s="9"/>
      <c r="R132" s="9"/>
      <c r="S132" s="12"/>
      <c r="T132" s="9"/>
      <c r="U132" s="9"/>
      <c r="V132" s="9"/>
      <c r="W132" s="10" t="str">
        <f aca="false">IF(C132="","",IF(OR(G132="training",G132="full"),"Yes",IF(G132="none","No","?")))</f>
        <v/>
      </c>
      <c r="X132" s="10" t="str">
        <f aca="false">IF(C132="","",IF(OR(E132="",E132="unknown"),D132,E132))</f>
        <v/>
      </c>
      <c r="Y132" s="10" t="str">
        <f aca="false">IF(C132="","",IF(OR(T132="unsuitable",T132="retired",X132="no"),"—",IF(J132="","unrated",IF(AND(X132="full",J132&gt;=Settings!$C$5,OR(O132="untested",O132&gt;=Settings!$C$6)),"A",IF(AND(OR(X132="full",X132="reduced"),J132&gt;=Settings!$C$7,OR(O132="untested",O132&gt;=Settings!$C$8)),"B","C")))))</f>
        <v/>
      </c>
      <c r="Z132" s="11" t="str">
        <f aca="false">IF(C132="","",IF(P132&lt;&gt;"",P132,Y132))</f>
        <v/>
      </c>
    </row>
    <row r="133" customFormat="false" ht="15" hidden="false" customHeight="false" outlineLevel="0" collapsed="false">
      <c r="A133" s="9"/>
      <c r="B133" s="10" t="str">
        <f aca="false">IF(A133="","",IFERROR(INDEX(Parks!$A$2:$A$255,MATCH(A133,Parks!$B$2:$B$255,0)),"?"))</f>
        <v/>
      </c>
      <c r="C133" s="9"/>
      <c r="D133" s="10" t="str">
        <f aca="false">IF(C133="","",IF(SUMPRODUCT(--ISNUMBER(SEARCH({"Nets","Wicket","Diamond","Softball","T-ball","Baseball","Netball","Tennis","Bocce","Pentaque","Petanque","Skate","Car Park","Pond","Bridle","Amphitheatre","Perimeter","Passive"},C133)))&gt;0,"no",IF(SUMPRODUCT(--ISNUMBER(SEARCH({"Cricket","Junior","Mini","Summer Football","Small"},C133)))&gt;0,"reduced",IF(SUMPRODUCT(--ISNUMBER(SEARCH({"Rugby","Football","League","Touch","Gaelic","Australian","Lacrosse","General Sport","Training Area","Ultimate"},C133)))&gt;0,"full","unknown"))))</f>
        <v/>
      </c>
      <c r="E133" s="9"/>
      <c r="F133" s="9"/>
      <c r="G133" s="9"/>
      <c r="H133" s="9"/>
      <c r="I133" s="12"/>
      <c r="J133" s="9"/>
      <c r="K133" s="9"/>
      <c r="L133" s="9"/>
      <c r="M133" s="9"/>
      <c r="N133" s="9"/>
      <c r="O133" s="13" t="str">
        <f aca="false">IF(C133="","",IF(N(M133)+N(N133)&lt;Settings!$C$9,"untested",M133/(M133+N133)))</f>
        <v/>
      </c>
      <c r="P133" s="9"/>
      <c r="Q133" s="9"/>
      <c r="R133" s="9"/>
      <c r="S133" s="12"/>
      <c r="T133" s="9"/>
      <c r="U133" s="9"/>
      <c r="V133" s="9"/>
      <c r="W133" s="10" t="str">
        <f aca="false">IF(C133="","",IF(OR(G133="training",G133="full"),"Yes",IF(G133="none","No","?")))</f>
        <v/>
      </c>
      <c r="X133" s="10" t="str">
        <f aca="false">IF(C133="","",IF(OR(E133="",E133="unknown"),D133,E133))</f>
        <v/>
      </c>
      <c r="Y133" s="10" t="str">
        <f aca="false">IF(C133="","",IF(OR(T133="unsuitable",T133="retired",X133="no"),"—",IF(J133="","unrated",IF(AND(X133="full",J133&gt;=Settings!$C$5,OR(O133="untested",O133&gt;=Settings!$C$6)),"A",IF(AND(OR(X133="full",X133="reduced"),J133&gt;=Settings!$C$7,OR(O133="untested",O133&gt;=Settings!$C$8)),"B","C")))))</f>
        <v/>
      </c>
      <c r="Z133" s="11" t="str">
        <f aca="false">IF(C133="","",IF(P133&lt;&gt;"",P133,Y133))</f>
        <v/>
      </c>
    </row>
    <row r="134" customFormat="false" ht="15" hidden="false" customHeight="false" outlineLevel="0" collapsed="false">
      <c r="A134" s="9"/>
      <c r="B134" s="10" t="str">
        <f aca="false">IF(A134="","",IFERROR(INDEX(Parks!$A$2:$A$255,MATCH(A134,Parks!$B$2:$B$255,0)),"?"))</f>
        <v/>
      </c>
      <c r="C134" s="9"/>
      <c r="D134" s="10" t="str">
        <f aca="false">IF(C134="","",IF(SUMPRODUCT(--ISNUMBER(SEARCH({"Nets","Wicket","Diamond","Softball","T-ball","Baseball","Netball","Tennis","Bocce","Pentaque","Petanque","Skate","Car Park","Pond","Bridle","Amphitheatre","Perimeter","Passive"},C134)))&gt;0,"no",IF(SUMPRODUCT(--ISNUMBER(SEARCH({"Cricket","Junior","Mini","Summer Football","Small"},C134)))&gt;0,"reduced",IF(SUMPRODUCT(--ISNUMBER(SEARCH({"Rugby","Football","League","Touch","Gaelic","Australian","Lacrosse","General Sport","Training Area","Ultimate"},C134)))&gt;0,"full","unknown"))))</f>
        <v/>
      </c>
      <c r="E134" s="9"/>
      <c r="F134" s="9"/>
      <c r="G134" s="9"/>
      <c r="H134" s="9"/>
      <c r="I134" s="12"/>
      <c r="J134" s="9"/>
      <c r="K134" s="9"/>
      <c r="L134" s="9"/>
      <c r="M134" s="9"/>
      <c r="N134" s="9"/>
      <c r="O134" s="13" t="str">
        <f aca="false">IF(C134="","",IF(N(M134)+N(N134)&lt;Settings!$C$9,"untested",M134/(M134+N134)))</f>
        <v/>
      </c>
      <c r="P134" s="9"/>
      <c r="Q134" s="9"/>
      <c r="R134" s="9"/>
      <c r="S134" s="12"/>
      <c r="T134" s="9"/>
      <c r="U134" s="9"/>
      <c r="V134" s="9"/>
      <c r="W134" s="10" t="str">
        <f aca="false">IF(C134="","",IF(OR(G134="training",G134="full"),"Yes",IF(G134="none","No","?")))</f>
        <v/>
      </c>
      <c r="X134" s="10" t="str">
        <f aca="false">IF(C134="","",IF(OR(E134="",E134="unknown"),D134,E134))</f>
        <v/>
      </c>
      <c r="Y134" s="10" t="str">
        <f aca="false">IF(C134="","",IF(OR(T134="unsuitable",T134="retired",X134="no"),"—",IF(J134="","unrated",IF(AND(X134="full",J134&gt;=Settings!$C$5,OR(O134="untested",O134&gt;=Settings!$C$6)),"A",IF(AND(OR(X134="full",X134="reduced"),J134&gt;=Settings!$C$7,OR(O134="untested",O134&gt;=Settings!$C$8)),"B","C")))))</f>
        <v/>
      </c>
      <c r="Z134" s="11" t="str">
        <f aca="false">IF(C134="","",IF(P134&lt;&gt;"",P134,Y134))</f>
        <v/>
      </c>
    </row>
    <row r="135" customFormat="false" ht="15" hidden="false" customHeight="false" outlineLevel="0" collapsed="false">
      <c r="A135" s="9"/>
      <c r="B135" s="10" t="str">
        <f aca="false">IF(A135="","",IFERROR(INDEX(Parks!$A$2:$A$255,MATCH(A135,Parks!$B$2:$B$255,0)),"?"))</f>
        <v/>
      </c>
      <c r="C135" s="9"/>
      <c r="D135" s="10" t="str">
        <f aca="false">IF(C135="","",IF(SUMPRODUCT(--ISNUMBER(SEARCH({"Nets","Wicket","Diamond","Softball","T-ball","Baseball","Netball","Tennis","Bocce","Pentaque","Petanque","Skate","Car Park","Pond","Bridle","Amphitheatre","Perimeter","Passive"},C135)))&gt;0,"no",IF(SUMPRODUCT(--ISNUMBER(SEARCH({"Cricket","Junior","Mini","Summer Football","Small"},C135)))&gt;0,"reduced",IF(SUMPRODUCT(--ISNUMBER(SEARCH({"Rugby","Football","League","Touch","Gaelic","Australian","Lacrosse","General Sport","Training Area","Ultimate"},C135)))&gt;0,"full","unknown"))))</f>
        <v/>
      </c>
      <c r="E135" s="9"/>
      <c r="F135" s="9"/>
      <c r="G135" s="9"/>
      <c r="H135" s="9"/>
      <c r="I135" s="12"/>
      <c r="J135" s="9"/>
      <c r="K135" s="9"/>
      <c r="L135" s="9"/>
      <c r="M135" s="9"/>
      <c r="N135" s="9"/>
      <c r="O135" s="13" t="str">
        <f aca="false">IF(C135="","",IF(N(M135)+N(N135)&lt;Settings!$C$9,"untested",M135/(M135+N135)))</f>
        <v/>
      </c>
      <c r="P135" s="9"/>
      <c r="Q135" s="9"/>
      <c r="R135" s="9"/>
      <c r="S135" s="12"/>
      <c r="T135" s="9"/>
      <c r="U135" s="9"/>
      <c r="V135" s="9"/>
      <c r="W135" s="10" t="str">
        <f aca="false">IF(C135="","",IF(OR(G135="training",G135="full"),"Yes",IF(G135="none","No","?")))</f>
        <v/>
      </c>
      <c r="X135" s="10" t="str">
        <f aca="false">IF(C135="","",IF(OR(E135="",E135="unknown"),D135,E135))</f>
        <v/>
      </c>
      <c r="Y135" s="10" t="str">
        <f aca="false">IF(C135="","",IF(OR(T135="unsuitable",T135="retired",X135="no"),"—",IF(J135="","unrated",IF(AND(X135="full",J135&gt;=Settings!$C$5,OR(O135="untested",O135&gt;=Settings!$C$6)),"A",IF(AND(OR(X135="full",X135="reduced"),J135&gt;=Settings!$C$7,OR(O135="untested",O135&gt;=Settings!$C$8)),"B","C")))))</f>
        <v/>
      </c>
      <c r="Z135" s="11" t="str">
        <f aca="false">IF(C135="","",IF(P135&lt;&gt;"",P135,Y135))</f>
        <v/>
      </c>
    </row>
    <row r="136" customFormat="false" ht="15" hidden="false" customHeight="false" outlineLevel="0" collapsed="false">
      <c r="A136" s="9"/>
      <c r="B136" s="10" t="str">
        <f aca="false">IF(A136="","",IFERROR(INDEX(Parks!$A$2:$A$255,MATCH(A136,Parks!$B$2:$B$255,0)),"?"))</f>
        <v/>
      </c>
      <c r="C136" s="9"/>
      <c r="D136" s="10" t="str">
        <f aca="false">IF(C136="","",IF(SUMPRODUCT(--ISNUMBER(SEARCH({"Nets","Wicket","Diamond","Softball","T-ball","Baseball","Netball","Tennis","Bocce","Pentaque","Petanque","Skate","Car Park","Pond","Bridle","Amphitheatre","Perimeter","Passive"},C136)))&gt;0,"no",IF(SUMPRODUCT(--ISNUMBER(SEARCH({"Cricket","Junior","Mini","Summer Football","Small"},C136)))&gt;0,"reduced",IF(SUMPRODUCT(--ISNUMBER(SEARCH({"Rugby","Football","League","Touch","Gaelic","Australian","Lacrosse","General Sport","Training Area","Ultimate"},C136)))&gt;0,"full","unknown"))))</f>
        <v/>
      </c>
      <c r="E136" s="9"/>
      <c r="F136" s="9"/>
      <c r="G136" s="9"/>
      <c r="H136" s="9"/>
      <c r="I136" s="12"/>
      <c r="J136" s="9"/>
      <c r="K136" s="9"/>
      <c r="L136" s="9"/>
      <c r="M136" s="9"/>
      <c r="N136" s="9"/>
      <c r="O136" s="13" t="str">
        <f aca="false">IF(C136="","",IF(N(M136)+N(N136)&lt;Settings!$C$9,"untested",M136/(M136+N136)))</f>
        <v/>
      </c>
      <c r="P136" s="9"/>
      <c r="Q136" s="9"/>
      <c r="R136" s="9"/>
      <c r="S136" s="12"/>
      <c r="T136" s="9"/>
      <c r="U136" s="9"/>
      <c r="V136" s="9"/>
      <c r="W136" s="10" t="str">
        <f aca="false">IF(C136="","",IF(OR(G136="training",G136="full"),"Yes",IF(G136="none","No","?")))</f>
        <v/>
      </c>
      <c r="X136" s="10" t="str">
        <f aca="false">IF(C136="","",IF(OR(E136="",E136="unknown"),D136,E136))</f>
        <v/>
      </c>
      <c r="Y136" s="10" t="str">
        <f aca="false">IF(C136="","",IF(OR(T136="unsuitable",T136="retired",X136="no"),"—",IF(J136="","unrated",IF(AND(X136="full",J136&gt;=Settings!$C$5,OR(O136="untested",O136&gt;=Settings!$C$6)),"A",IF(AND(OR(X136="full",X136="reduced"),J136&gt;=Settings!$C$7,OR(O136="untested",O136&gt;=Settings!$C$8)),"B","C")))))</f>
        <v/>
      </c>
      <c r="Z136" s="11" t="str">
        <f aca="false">IF(C136="","",IF(P136&lt;&gt;"",P136,Y136))</f>
        <v/>
      </c>
    </row>
    <row r="137" customFormat="false" ht="15" hidden="false" customHeight="false" outlineLevel="0" collapsed="false">
      <c r="A137" s="9"/>
      <c r="B137" s="10" t="str">
        <f aca="false">IF(A137="","",IFERROR(INDEX(Parks!$A$2:$A$255,MATCH(A137,Parks!$B$2:$B$255,0)),"?"))</f>
        <v/>
      </c>
      <c r="C137" s="9"/>
      <c r="D137" s="10" t="str">
        <f aca="false">IF(C137="","",IF(SUMPRODUCT(--ISNUMBER(SEARCH({"Nets","Wicket","Diamond","Softball","T-ball","Baseball","Netball","Tennis","Bocce","Pentaque","Petanque","Skate","Car Park","Pond","Bridle","Amphitheatre","Perimeter","Passive"},C137)))&gt;0,"no",IF(SUMPRODUCT(--ISNUMBER(SEARCH({"Cricket","Junior","Mini","Summer Football","Small"},C137)))&gt;0,"reduced",IF(SUMPRODUCT(--ISNUMBER(SEARCH({"Rugby","Football","League","Touch","Gaelic","Australian","Lacrosse","General Sport","Training Area","Ultimate"},C137)))&gt;0,"full","unknown"))))</f>
        <v/>
      </c>
      <c r="E137" s="9"/>
      <c r="F137" s="9"/>
      <c r="G137" s="9"/>
      <c r="H137" s="9"/>
      <c r="I137" s="12"/>
      <c r="J137" s="9"/>
      <c r="K137" s="9"/>
      <c r="L137" s="9"/>
      <c r="M137" s="9"/>
      <c r="N137" s="9"/>
      <c r="O137" s="13" t="str">
        <f aca="false">IF(C137="","",IF(N(M137)+N(N137)&lt;Settings!$C$9,"untested",M137/(M137+N137)))</f>
        <v/>
      </c>
      <c r="P137" s="9"/>
      <c r="Q137" s="9"/>
      <c r="R137" s="9"/>
      <c r="S137" s="12"/>
      <c r="T137" s="9"/>
      <c r="U137" s="9"/>
      <c r="V137" s="9"/>
      <c r="W137" s="10" t="str">
        <f aca="false">IF(C137="","",IF(OR(G137="training",G137="full"),"Yes",IF(G137="none","No","?")))</f>
        <v/>
      </c>
      <c r="X137" s="10" t="str">
        <f aca="false">IF(C137="","",IF(OR(E137="",E137="unknown"),D137,E137))</f>
        <v/>
      </c>
      <c r="Y137" s="10" t="str">
        <f aca="false">IF(C137="","",IF(OR(T137="unsuitable",T137="retired",X137="no"),"—",IF(J137="","unrated",IF(AND(X137="full",J137&gt;=Settings!$C$5,OR(O137="untested",O137&gt;=Settings!$C$6)),"A",IF(AND(OR(X137="full",X137="reduced"),J137&gt;=Settings!$C$7,OR(O137="untested",O137&gt;=Settings!$C$8)),"B","C")))))</f>
        <v/>
      </c>
      <c r="Z137" s="11" t="str">
        <f aca="false">IF(C137="","",IF(P137&lt;&gt;"",P137,Y137))</f>
        <v/>
      </c>
    </row>
    <row r="138" customFormat="false" ht="15" hidden="false" customHeight="false" outlineLevel="0" collapsed="false">
      <c r="A138" s="9"/>
      <c r="B138" s="10" t="str">
        <f aca="false">IF(A138="","",IFERROR(INDEX(Parks!$A$2:$A$255,MATCH(A138,Parks!$B$2:$B$255,0)),"?"))</f>
        <v/>
      </c>
      <c r="C138" s="9"/>
      <c r="D138" s="10" t="str">
        <f aca="false">IF(C138="","",IF(SUMPRODUCT(--ISNUMBER(SEARCH({"Nets","Wicket","Diamond","Softball","T-ball","Baseball","Netball","Tennis","Bocce","Pentaque","Petanque","Skate","Car Park","Pond","Bridle","Amphitheatre","Perimeter","Passive"},C138)))&gt;0,"no",IF(SUMPRODUCT(--ISNUMBER(SEARCH({"Cricket","Junior","Mini","Summer Football","Small"},C138)))&gt;0,"reduced",IF(SUMPRODUCT(--ISNUMBER(SEARCH({"Rugby","Football","League","Touch","Gaelic","Australian","Lacrosse","General Sport","Training Area","Ultimate"},C138)))&gt;0,"full","unknown"))))</f>
        <v/>
      </c>
      <c r="E138" s="9"/>
      <c r="F138" s="9"/>
      <c r="G138" s="9"/>
      <c r="H138" s="9"/>
      <c r="I138" s="12"/>
      <c r="J138" s="9"/>
      <c r="K138" s="9"/>
      <c r="L138" s="9"/>
      <c r="M138" s="9"/>
      <c r="N138" s="9"/>
      <c r="O138" s="13" t="str">
        <f aca="false">IF(C138="","",IF(N(M138)+N(N138)&lt;Settings!$C$9,"untested",M138/(M138+N138)))</f>
        <v/>
      </c>
      <c r="P138" s="9"/>
      <c r="Q138" s="9"/>
      <c r="R138" s="9"/>
      <c r="S138" s="12"/>
      <c r="T138" s="9"/>
      <c r="U138" s="9"/>
      <c r="V138" s="9"/>
      <c r="W138" s="10" t="str">
        <f aca="false">IF(C138="","",IF(OR(G138="training",G138="full"),"Yes",IF(G138="none","No","?")))</f>
        <v/>
      </c>
      <c r="X138" s="10" t="str">
        <f aca="false">IF(C138="","",IF(OR(E138="",E138="unknown"),D138,E138))</f>
        <v/>
      </c>
      <c r="Y138" s="10" t="str">
        <f aca="false">IF(C138="","",IF(OR(T138="unsuitable",T138="retired",X138="no"),"—",IF(J138="","unrated",IF(AND(X138="full",J138&gt;=Settings!$C$5,OR(O138="untested",O138&gt;=Settings!$C$6)),"A",IF(AND(OR(X138="full",X138="reduced"),J138&gt;=Settings!$C$7,OR(O138="untested",O138&gt;=Settings!$C$8)),"B","C")))))</f>
        <v/>
      </c>
      <c r="Z138" s="11" t="str">
        <f aca="false">IF(C138="","",IF(P138&lt;&gt;"",P138,Y138))</f>
        <v/>
      </c>
    </row>
    <row r="139" customFormat="false" ht="15" hidden="false" customHeight="false" outlineLevel="0" collapsed="false">
      <c r="A139" s="9"/>
      <c r="B139" s="10" t="str">
        <f aca="false">IF(A139="","",IFERROR(INDEX(Parks!$A$2:$A$255,MATCH(A139,Parks!$B$2:$B$255,0)),"?"))</f>
        <v/>
      </c>
      <c r="C139" s="9"/>
      <c r="D139" s="10" t="str">
        <f aca="false">IF(C139="","",IF(SUMPRODUCT(--ISNUMBER(SEARCH({"Nets","Wicket","Diamond","Softball","T-ball","Baseball","Netball","Tennis","Bocce","Pentaque","Petanque","Skate","Car Park","Pond","Bridle","Amphitheatre","Perimeter","Passive"},C139)))&gt;0,"no",IF(SUMPRODUCT(--ISNUMBER(SEARCH({"Cricket","Junior","Mini","Summer Football","Small"},C139)))&gt;0,"reduced",IF(SUMPRODUCT(--ISNUMBER(SEARCH({"Rugby","Football","League","Touch","Gaelic","Australian","Lacrosse","General Sport","Training Area","Ultimate"},C139)))&gt;0,"full","unknown"))))</f>
        <v/>
      </c>
      <c r="E139" s="9"/>
      <c r="F139" s="9"/>
      <c r="G139" s="9"/>
      <c r="H139" s="9"/>
      <c r="I139" s="12"/>
      <c r="J139" s="9"/>
      <c r="K139" s="9"/>
      <c r="L139" s="9"/>
      <c r="M139" s="9"/>
      <c r="N139" s="9"/>
      <c r="O139" s="13" t="str">
        <f aca="false">IF(C139="","",IF(N(M139)+N(N139)&lt;Settings!$C$9,"untested",M139/(M139+N139)))</f>
        <v/>
      </c>
      <c r="P139" s="9"/>
      <c r="Q139" s="9"/>
      <c r="R139" s="9"/>
      <c r="S139" s="12"/>
      <c r="T139" s="9"/>
      <c r="U139" s="9"/>
      <c r="V139" s="9"/>
      <c r="W139" s="10" t="str">
        <f aca="false">IF(C139="","",IF(OR(G139="training",G139="full"),"Yes",IF(G139="none","No","?")))</f>
        <v/>
      </c>
      <c r="X139" s="10" t="str">
        <f aca="false">IF(C139="","",IF(OR(E139="",E139="unknown"),D139,E139))</f>
        <v/>
      </c>
      <c r="Y139" s="10" t="str">
        <f aca="false">IF(C139="","",IF(OR(T139="unsuitable",T139="retired",X139="no"),"—",IF(J139="","unrated",IF(AND(X139="full",J139&gt;=Settings!$C$5,OR(O139="untested",O139&gt;=Settings!$C$6)),"A",IF(AND(OR(X139="full",X139="reduced"),J139&gt;=Settings!$C$7,OR(O139="untested",O139&gt;=Settings!$C$8)),"B","C")))))</f>
        <v/>
      </c>
      <c r="Z139" s="11" t="str">
        <f aca="false">IF(C139="","",IF(P139&lt;&gt;"",P139,Y139))</f>
        <v/>
      </c>
    </row>
    <row r="140" customFormat="false" ht="15" hidden="false" customHeight="false" outlineLevel="0" collapsed="false">
      <c r="A140" s="9"/>
      <c r="B140" s="10" t="str">
        <f aca="false">IF(A140="","",IFERROR(INDEX(Parks!$A$2:$A$255,MATCH(A140,Parks!$B$2:$B$255,0)),"?"))</f>
        <v/>
      </c>
      <c r="C140" s="9"/>
      <c r="D140" s="10" t="str">
        <f aca="false">IF(C140="","",IF(SUMPRODUCT(--ISNUMBER(SEARCH({"Nets","Wicket","Diamond","Softball","T-ball","Baseball","Netball","Tennis","Bocce","Pentaque","Petanque","Skate","Car Park","Pond","Bridle","Amphitheatre","Perimeter","Passive"},C140)))&gt;0,"no",IF(SUMPRODUCT(--ISNUMBER(SEARCH({"Cricket","Junior","Mini","Summer Football","Small"},C140)))&gt;0,"reduced",IF(SUMPRODUCT(--ISNUMBER(SEARCH({"Rugby","Football","League","Touch","Gaelic","Australian","Lacrosse","General Sport","Training Area","Ultimate"},C140)))&gt;0,"full","unknown"))))</f>
        <v/>
      </c>
      <c r="E140" s="9"/>
      <c r="F140" s="9"/>
      <c r="G140" s="9"/>
      <c r="H140" s="9"/>
      <c r="I140" s="12"/>
      <c r="J140" s="9"/>
      <c r="K140" s="9"/>
      <c r="L140" s="9"/>
      <c r="M140" s="9"/>
      <c r="N140" s="9"/>
      <c r="O140" s="13" t="str">
        <f aca="false">IF(C140="","",IF(N(M140)+N(N140)&lt;Settings!$C$9,"untested",M140/(M140+N140)))</f>
        <v/>
      </c>
      <c r="P140" s="9"/>
      <c r="Q140" s="9"/>
      <c r="R140" s="9"/>
      <c r="S140" s="12"/>
      <c r="T140" s="9"/>
      <c r="U140" s="9"/>
      <c r="V140" s="9"/>
      <c r="W140" s="10" t="str">
        <f aca="false">IF(C140="","",IF(OR(G140="training",G140="full"),"Yes",IF(G140="none","No","?")))</f>
        <v/>
      </c>
      <c r="X140" s="10" t="str">
        <f aca="false">IF(C140="","",IF(OR(E140="",E140="unknown"),D140,E140))</f>
        <v/>
      </c>
      <c r="Y140" s="10" t="str">
        <f aca="false">IF(C140="","",IF(OR(T140="unsuitable",T140="retired",X140="no"),"—",IF(J140="","unrated",IF(AND(X140="full",J140&gt;=Settings!$C$5,OR(O140="untested",O140&gt;=Settings!$C$6)),"A",IF(AND(OR(X140="full",X140="reduced"),J140&gt;=Settings!$C$7,OR(O140="untested",O140&gt;=Settings!$C$8)),"B","C")))))</f>
        <v/>
      </c>
      <c r="Z140" s="11" t="str">
        <f aca="false">IF(C140="","",IF(P140&lt;&gt;"",P140,Y140))</f>
        <v/>
      </c>
    </row>
    <row r="141" customFormat="false" ht="15" hidden="false" customHeight="false" outlineLevel="0" collapsed="false">
      <c r="A141" s="9"/>
      <c r="B141" s="10" t="str">
        <f aca="false">IF(A141="","",IFERROR(INDEX(Parks!$A$2:$A$255,MATCH(A141,Parks!$B$2:$B$255,0)),"?"))</f>
        <v/>
      </c>
      <c r="C141" s="9"/>
      <c r="D141" s="10" t="str">
        <f aca="false">IF(C141="","",IF(SUMPRODUCT(--ISNUMBER(SEARCH({"Nets","Wicket","Diamond","Softball","T-ball","Baseball","Netball","Tennis","Bocce","Pentaque","Petanque","Skate","Car Park","Pond","Bridle","Amphitheatre","Perimeter","Passive"},C141)))&gt;0,"no",IF(SUMPRODUCT(--ISNUMBER(SEARCH({"Cricket","Junior","Mini","Summer Football","Small"},C141)))&gt;0,"reduced",IF(SUMPRODUCT(--ISNUMBER(SEARCH({"Rugby","Football","League","Touch","Gaelic","Australian","Lacrosse","General Sport","Training Area","Ultimate"},C141)))&gt;0,"full","unknown"))))</f>
        <v/>
      </c>
      <c r="E141" s="9"/>
      <c r="F141" s="9"/>
      <c r="G141" s="9"/>
      <c r="H141" s="9"/>
      <c r="I141" s="12"/>
      <c r="J141" s="9"/>
      <c r="K141" s="9"/>
      <c r="L141" s="9"/>
      <c r="M141" s="9"/>
      <c r="N141" s="9"/>
      <c r="O141" s="13" t="str">
        <f aca="false">IF(C141="","",IF(N(M141)+N(N141)&lt;Settings!$C$9,"untested",M141/(M141+N141)))</f>
        <v/>
      </c>
      <c r="P141" s="9"/>
      <c r="Q141" s="9"/>
      <c r="R141" s="9"/>
      <c r="S141" s="12"/>
      <c r="T141" s="9"/>
      <c r="U141" s="9"/>
      <c r="V141" s="9"/>
      <c r="W141" s="10" t="str">
        <f aca="false">IF(C141="","",IF(OR(G141="training",G141="full"),"Yes",IF(G141="none","No","?")))</f>
        <v/>
      </c>
      <c r="X141" s="10" t="str">
        <f aca="false">IF(C141="","",IF(OR(E141="",E141="unknown"),D141,E141))</f>
        <v/>
      </c>
      <c r="Y141" s="10" t="str">
        <f aca="false">IF(C141="","",IF(OR(T141="unsuitable",T141="retired",X141="no"),"—",IF(J141="","unrated",IF(AND(X141="full",J141&gt;=Settings!$C$5,OR(O141="untested",O141&gt;=Settings!$C$6)),"A",IF(AND(OR(X141="full",X141="reduced"),J141&gt;=Settings!$C$7,OR(O141="untested",O141&gt;=Settings!$C$8)),"B","C")))))</f>
        <v/>
      </c>
      <c r="Z141" s="11" t="str">
        <f aca="false">IF(C141="","",IF(P141&lt;&gt;"",P141,Y141))</f>
        <v/>
      </c>
    </row>
    <row r="142" customFormat="false" ht="15" hidden="false" customHeight="false" outlineLevel="0" collapsed="false">
      <c r="A142" s="9"/>
      <c r="B142" s="10" t="str">
        <f aca="false">IF(A142="","",IFERROR(INDEX(Parks!$A$2:$A$255,MATCH(A142,Parks!$B$2:$B$255,0)),"?"))</f>
        <v/>
      </c>
      <c r="C142" s="9"/>
      <c r="D142" s="10" t="str">
        <f aca="false">IF(C142="","",IF(SUMPRODUCT(--ISNUMBER(SEARCH({"Nets","Wicket","Diamond","Softball","T-ball","Baseball","Netball","Tennis","Bocce","Pentaque","Petanque","Skate","Car Park","Pond","Bridle","Amphitheatre","Perimeter","Passive"},C142)))&gt;0,"no",IF(SUMPRODUCT(--ISNUMBER(SEARCH({"Cricket","Junior","Mini","Summer Football","Small"},C142)))&gt;0,"reduced",IF(SUMPRODUCT(--ISNUMBER(SEARCH({"Rugby","Football","League","Touch","Gaelic","Australian","Lacrosse","General Sport","Training Area","Ultimate"},C142)))&gt;0,"full","unknown"))))</f>
        <v/>
      </c>
      <c r="E142" s="9"/>
      <c r="F142" s="9"/>
      <c r="G142" s="9"/>
      <c r="H142" s="9"/>
      <c r="I142" s="12"/>
      <c r="J142" s="9"/>
      <c r="K142" s="9"/>
      <c r="L142" s="9"/>
      <c r="M142" s="9"/>
      <c r="N142" s="9"/>
      <c r="O142" s="13" t="str">
        <f aca="false">IF(C142="","",IF(N(M142)+N(N142)&lt;Settings!$C$9,"untested",M142/(M142+N142)))</f>
        <v/>
      </c>
      <c r="P142" s="9"/>
      <c r="Q142" s="9"/>
      <c r="R142" s="9"/>
      <c r="S142" s="12"/>
      <c r="T142" s="9"/>
      <c r="U142" s="9"/>
      <c r="V142" s="9"/>
      <c r="W142" s="10" t="str">
        <f aca="false">IF(C142="","",IF(OR(G142="training",G142="full"),"Yes",IF(G142="none","No","?")))</f>
        <v/>
      </c>
      <c r="X142" s="10" t="str">
        <f aca="false">IF(C142="","",IF(OR(E142="",E142="unknown"),D142,E142))</f>
        <v/>
      </c>
      <c r="Y142" s="10" t="str">
        <f aca="false">IF(C142="","",IF(OR(T142="unsuitable",T142="retired",X142="no"),"—",IF(J142="","unrated",IF(AND(X142="full",J142&gt;=Settings!$C$5,OR(O142="untested",O142&gt;=Settings!$C$6)),"A",IF(AND(OR(X142="full",X142="reduced"),J142&gt;=Settings!$C$7,OR(O142="untested",O142&gt;=Settings!$C$8)),"B","C")))))</f>
        <v/>
      </c>
      <c r="Z142" s="11" t="str">
        <f aca="false">IF(C142="","",IF(P142&lt;&gt;"",P142,Y142))</f>
        <v/>
      </c>
    </row>
    <row r="143" customFormat="false" ht="15" hidden="false" customHeight="false" outlineLevel="0" collapsed="false">
      <c r="A143" s="9"/>
      <c r="B143" s="10" t="str">
        <f aca="false">IF(A143="","",IFERROR(INDEX(Parks!$A$2:$A$255,MATCH(A143,Parks!$B$2:$B$255,0)),"?"))</f>
        <v/>
      </c>
      <c r="C143" s="9"/>
      <c r="D143" s="10" t="str">
        <f aca="false">IF(C143="","",IF(SUMPRODUCT(--ISNUMBER(SEARCH({"Nets","Wicket","Diamond","Softball","T-ball","Baseball","Netball","Tennis","Bocce","Pentaque","Petanque","Skate","Car Park","Pond","Bridle","Amphitheatre","Perimeter","Passive"},C143)))&gt;0,"no",IF(SUMPRODUCT(--ISNUMBER(SEARCH({"Cricket","Junior","Mini","Summer Football","Small"},C143)))&gt;0,"reduced",IF(SUMPRODUCT(--ISNUMBER(SEARCH({"Rugby","Football","League","Touch","Gaelic","Australian","Lacrosse","General Sport","Training Area","Ultimate"},C143)))&gt;0,"full","unknown"))))</f>
        <v/>
      </c>
      <c r="E143" s="9"/>
      <c r="F143" s="9"/>
      <c r="G143" s="9"/>
      <c r="H143" s="9"/>
      <c r="I143" s="12"/>
      <c r="J143" s="9"/>
      <c r="K143" s="9"/>
      <c r="L143" s="9"/>
      <c r="M143" s="9"/>
      <c r="N143" s="9"/>
      <c r="O143" s="13" t="str">
        <f aca="false">IF(C143="","",IF(N(M143)+N(N143)&lt;Settings!$C$9,"untested",M143/(M143+N143)))</f>
        <v/>
      </c>
      <c r="P143" s="9"/>
      <c r="Q143" s="9"/>
      <c r="R143" s="9"/>
      <c r="S143" s="12"/>
      <c r="T143" s="9"/>
      <c r="U143" s="9"/>
      <c r="V143" s="9"/>
      <c r="W143" s="10" t="str">
        <f aca="false">IF(C143="","",IF(OR(G143="training",G143="full"),"Yes",IF(G143="none","No","?")))</f>
        <v/>
      </c>
      <c r="X143" s="10" t="str">
        <f aca="false">IF(C143="","",IF(OR(E143="",E143="unknown"),D143,E143))</f>
        <v/>
      </c>
      <c r="Y143" s="10" t="str">
        <f aca="false">IF(C143="","",IF(OR(T143="unsuitable",T143="retired",X143="no"),"—",IF(J143="","unrated",IF(AND(X143="full",J143&gt;=Settings!$C$5,OR(O143="untested",O143&gt;=Settings!$C$6)),"A",IF(AND(OR(X143="full",X143="reduced"),J143&gt;=Settings!$C$7,OR(O143="untested",O143&gt;=Settings!$C$8)),"B","C")))))</f>
        <v/>
      </c>
      <c r="Z143" s="11" t="str">
        <f aca="false">IF(C143="","",IF(P143&lt;&gt;"",P143,Y143))</f>
        <v/>
      </c>
    </row>
    <row r="144" customFormat="false" ht="15" hidden="false" customHeight="false" outlineLevel="0" collapsed="false">
      <c r="A144" s="9"/>
      <c r="B144" s="10" t="str">
        <f aca="false">IF(A144="","",IFERROR(INDEX(Parks!$A$2:$A$255,MATCH(A144,Parks!$B$2:$B$255,0)),"?"))</f>
        <v/>
      </c>
      <c r="C144" s="9"/>
      <c r="D144" s="10" t="str">
        <f aca="false">IF(C144="","",IF(SUMPRODUCT(--ISNUMBER(SEARCH({"Nets","Wicket","Diamond","Softball","T-ball","Baseball","Netball","Tennis","Bocce","Pentaque","Petanque","Skate","Car Park","Pond","Bridle","Amphitheatre","Perimeter","Passive"},C144)))&gt;0,"no",IF(SUMPRODUCT(--ISNUMBER(SEARCH({"Cricket","Junior","Mini","Summer Football","Small"},C144)))&gt;0,"reduced",IF(SUMPRODUCT(--ISNUMBER(SEARCH({"Rugby","Football","League","Touch","Gaelic","Australian","Lacrosse","General Sport","Training Area","Ultimate"},C144)))&gt;0,"full","unknown"))))</f>
        <v/>
      </c>
      <c r="E144" s="9"/>
      <c r="F144" s="9"/>
      <c r="G144" s="9"/>
      <c r="H144" s="9"/>
      <c r="I144" s="12"/>
      <c r="J144" s="9"/>
      <c r="K144" s="9"/>
      <c r="L144" s="9"/>
      <c r="M144" s="9"/>
      <c r="N144" s="9"/>
      <c r="O144" s="13" t="str">
        <f aca="false">IF(C144="","",IF(N(M144)+N(N144)&lt;Settings!$C$9,"untested",M144/(M144+N144)))</f>
        <v/>
      </c>
      <c r="P144" s="9"/>
      <c r="Q144" s="9"/>
      <c r="R144" s="9"/>
      <c r="S144" s="12"/>
      <c r="T144" s="9"/>
      <c r="U144" s="9"/>
      <c r="V144" s="9"/>
      <c r="W144" s="10" t="str">
        <f aca="false">IF(C144="","",IF(OR(G144="training",G144="full"),"Yes",IF(G144="none","No","?")))</f>
        <v/>
      </c>
      <c r="X144" s="10" t="str">
        <f aca="false">IF(C144="","",IF(OR(E144="",E144="unknown"),D144,E144))</f>
        <v/>
      </c>
      <c r="Y144" s="10" t="str">
        <f aca="false">IF(C144="","",IF(OR(T144="unsuitable",T144="retired",X144="no"),"—",IF(J144="","unrated",IF(AND(X144="full",J144&gt;=Settings!$C$5,OR(O144="untested",O144&gt;=Settings!$C$6)),"A",IF(AND(OR(X144="full",X144="reduced"),J144&gt;=Settings!$C$7,OR(O144="untested",O144&gt;=Settings!$C$8)),"B","C")))))</f>
        <v/>
      </c>
      <c r="Z144" s="11" t="str">
        <f aca="false">IF(C144="","",IF(P144&lt;&gt;"",P144,Y144))</f>
        <v/>
      </c>
    </row>
    <row r="145" customFormat="false" ht="15" hidden="false" customHeight="false" outlineLevel="0" collapsed="false">
      <c r="A145" s="9"/>
      <c r="B145" s="10" t="str">
        <f aca="false">IF(A145="","",IFERROR(INDEX(Parks!$A$2:$A$255,MATCH(A145,Parks!$B$2:$B$255,0)),"?"))</f>
        <v/>
      </c>
      <c r="C145" s="9"/>
      <c r="D145" s="10" t="str">
        <f aca="false">IF(C145="","",IF(SUMPRODUCT(--ISNUMBER(SEARCH({"Nets","Wicket","Diamond","Softball","T-ball","Baseball","Netball","Tennis","Bocce","Pentaque","Petanque","Skate","Car Park","Pond","Bridle","Amphitheatre","Perimeter","Passive"},C145)))&gt;0,"no",IF(SUMPRODUCT(--ISNUMBER(SEARCH({"Cricket","Junior","Mini","Summer Football","Small"},C145)))&gt;0,"reduced",IF(SUMPRODUCT(--ISNUMBER(SEARCH({"Rugby","Football","League","Touch","Gaelic","Australian","Lacrosse","General Sport","Training Area","Ultimate"},C145)))&gt;0,"full","unknown"))))</f>
        <v/>
      </c>
      <c r="E145" s="9"/>
      <c r="F145" s="9"/>
      <c r="G145" s="9"/>
      <c r="H145" s="9"/>
      <c r="I145" s="12"/>
      <c r="J145" s="9"/>
      <c r="K145" s="9"/>
      <c r="L145" s="9"/>
      <c r="M145" s="9"/>
      <c r="N145" s="9"/>
      <c r="O145" s="13" t="str">
        <f aca="false">IF(C145="","",IF(N(M145)+N(N145)&lt;Settings!$C$9,"untested",M145/(M145+N145)))</f>
        <v/>
      </c>
      <c r="P145" s="9"/>
      <c r="Q145" s="9"/>
      <c r="R145" s="9"/>
      <c r="S145" s="12"/>
      <c r="T145" s="9"/>
      <c r="U145" s="9"/>
      <c r="V145" s="9"/>
      <c r="W145" s="10" t="str">
        <f aca="false">IF(C145="","",IF(OR(G145="training",G145="full"),"Yes",IF(G145="none","No","?")))</f>
        <v/>
      </c>
      <c r="X145" s="10" t="str">
        <f aca="false">IF(C145="","",IF(OR(E145="",E145="unknown"),D145,E145))</f>
        <v/>
      </c>
      <c r="Y145" s="10" t="str">
        <f aca="false">IF(C145="","",IF(OR(T145="unsuitable",T145="retired",X145="no"),"—",IF(J145="","unrated",IF(AND(X145="full",J145&gt;=Settings!$C$5,OR(O145="untested",O145&gt;=Settings!$C$6)),"A",IF(AND(OR(X145="full",X145="reduced"),J145&gt;=Settings!$C$7,OR(O145="untested",O145&gt;=Settings!$C$8)),"B","C")))))</f>
        <v/>
      </c>
      <c r="Z145" s="11" t="str">
        <f aca="false">IF(C145="","",IF(P145&lt;&gt;"",P145,Y145))</f>
        <v/>
      </c>
    </row>
    <row r="146" customFormat="false" ht="15" hidden="false" customHeight="false" outlineLevel="0" collapsed="false">
      <c r="A146" s="9"/>
      <c r="B146" s="10" t="str">
        <f aca="false">IF(A146="","",IFERROR(INDEX(Parks!$A$2:$A$255,MATCH(A146,Parks!$B$2:$B$255,0)),"?"))</f>
        <v/>
      </c>
      <c r="C146" s="9"/>
      <c r="D146" s="10" t="str">
        <f aca="false">IF(C146="","",IF(SUMPRODUCT(--ISNUMBER(SEARCH({"Nets","Wicket","Diamond","Softball","T-ball","Baseball","Netball","Tennis","Bocce","Pentaque","Petanque","Skate","Car Park","Pond","Bridle","Amphitheatre","Perimeter","Passive"},C146)))&gt;0,"no",IF(SUMPRODUCT(--ISNUMBER(SEARCH({"Cricket","Junior","Mini","Summer Football","Small"},C146)))&gt;0,"reduced",IF(SUMPRODUCT(--ISNUMBER(SEARCH({"Rugby","Football","League","Touch","Gaelic","Australian","Lacrosse","General Sport","Training Area","Ultimate"},C146)))&gt;0,"full","unknown"))))</f>
        <v/>
      </c>
      <c r="E146" s="9"/>
      <c r="F146" s="9"/>
      <c r="G146" s="9"/>
      <c r="H146" s="9"/>
      <c r="I146" s="12"/>
      <c r="J146" s="9"/>
      <c r="K146" s="9"/>
      <c r="L146" s="9"/>
      <c r="M146" s="9"/>
      <c r="N146" s="9"/>
      <c r="O146" s="13" t="str">
        <f aca="false">IF(C146="","",IF(N(M146)+N(N146)&lt;Settings!$C$9,"untested",M146/(M146+N146)))</f>
        <v/>
      </c>
      <c r="P146" s="9"/>
      <c r="Q146" s="9"/>
      <c r="R146" s="9"/>
      <c r="S146" s="12"/>
      <c r="T146" s="9"/>
      <c r="U146" s="9"/>
      <c r="V146" s="9"/>
      <c r="W146" s="10" t="str">
        <f aca="false">IF(C146="","",IF(OR(G146="training",G146="full"),"Yes",IF(G146="none","No","?")))</f>
        <v/>
      </c>
      <c r="X146" s="10" t="str">
        <f aca="false">IF(C146="","",IF(OR(E146="",E146="unknown"),D146,E146))</f>
        <v/>
      </c>
      <c r="Y146" s="10" t="str">
        <f aca="false">IF(C146="","",IF(OR(T146="unsuitable",T146="retired",X146="no"),"—",IF(J146="","unrated",IF(AND(X146="full",J146&gt;=Settings!$C$5,OR(O146="untested",O146&gt;=Settings!$C$6)),"A",IF(AND(OR(X146="full",X146="reduced"),J146&gt;=Settings!$C$7,OR(O146="untested",O146&gt;=Settings!$C$8)),"B","C")))))</f>
        <v/>
      </c>
      <c r="Z146" s="11" t="str">
        <f aca="false">IF(C146="","",IF(P146&lt;&gt;"",P146,Y146))</f>
        <v/>
      </c>
    </row>
    <row r="147" customFormat="false" ht="15" hidden="false" customHeight="false" outlineLevel="0" collapsed="false">
      <c r="A147" s="9"/>
      <c r="B147" s="10" t="str">
        <f aca="false">IF(A147="","",IFERROR(INDEX(Parks!$A$2:$A$255,MATCH(A147,Parks!$B$2:$B$255,0)),"?"))</f>
        <v/>
      </c>
      <c r="C147" s="9"/>
      <c r="D147" s="10" t="str">
        <f aca="false">IF(C147="","",IF(SUMPRODUCT(--ISNUMBER(SEARCH({"Nets","Wicket","Diamond","Softball","T-ball","Baseball","Netball","Tennis","Bocce","Pentaque","Petanque","Skate","Car Park","Pond","Bridle","Amphitheatre","Perimeter","Passive"},C147)))&gt;0,"no",IF(SUMPRODUCT(--ISNUMBER(SEARCH({"Cricket","Junior","Mini","Summer Football","Small"},C147)))&gt;0,"reduced",IF(SUMPRODUCT(--ISNUMBER(SEARCH({"Rugby","Football","League","Touch","Gaelic","Australian","Lacrosse","General Sport","Training Area","Ultimate"},C147)))&gt;0,"full","unknown"))))</f>
        <v/>
      </c>
      <c r="E147" s="9"/>
      <c r="F147" s="9"/>
      <c r="G147" s="9"/>
      <c r="H147" s="9"/>
      <c r="I147" s="12"/>
      <c r="J147" s="9"/>
      <c r="K147" s="9"/>
      <c r="L147" s="9"/>
      <c r="M147" s="9"/>
      <c r="N147" s="9"/>
      <c r="O147" s="13" t="str">
        <f aca="false">IF(C147="","",IF(N(M147)+N(N147)&lt;Settings!$C$9,"untested",M147/(M147+N147)))</f>
        <v/>
      </c>
      <c r="P147" s="9"/>
      <c r="Q147" s="9"/>
      <c r="R147" s="9"/>
      <c r="S147" s="12"/>
      <c r="T147" s="9"/>
      <c r="U147" s="9"/>
      <c r="V147" s="9"/>
      <c r="W147" s="10" t="str">
        <f aca="false">IF(C147="","",IF(OR(G147="training",G147="full"),"Yes",IF(G147="none","No","?")))</f>
        <v/>
      </c>
      <c r="X147" s="10" t="str">
        <f aca="false">IF(C147="","",IF(OR(E147="",E147="unknown"),D147,E147))</f>
        <v/>
      </c>
      <c r="Y147" s="10" t="str">
        <f aca="false">IF(C147="","",IF(OR(T147="unsuitable",T147="retired",X147="no"),"—",IF(J147="","unrated",IF(AND(X147="full",J147&gt;=Settings!$C$5,OR(O147="untested",O147&gt;=Settings!$C$6)),"A",IF(AND(OR(X147="full",X147="reduced"),J147&gt;=Settings!$C$7,OR(O147="untested",O147&gt;=Settings!$C$8)),"B","C")))))</f>
        <v/>
      </c>
      <c r="Z147" s="11" t="str">
        <f aca="false">IF(C147="","",IF(P147&lt;&gt;"",P147,Y147))</f>
        <v/>
      </c>
    </row>
    <row r="148" customFormat="false" ht="15" hidden="false" customHeight="false" outlineLevel="0" collapsed="false">
      <c r="A148" s="9"/>
      <c r="B148" s="10" t="str">
        <f aca="false">IF(A148="","",IFERROR(INDEX(Parks!$A$2:$A$255,MATCH(A148,Parks!$B$2:$B$255,0)),"?"))</f>
        <v/>
      </c>
      <c r="C148" s="9"/>
      <c r="D148" s="10" t="str">
        <f aca="false">IF(C148="","",IF(SUMPRODUCT(--ISNUMBER(SEARCH({"Nets","Wicket","Diamond","Softball","T-ball","Baseball","Netball","Tennis","Bocce","Pentaque","Petanque","Skate","Car Park","Pond","Bridle","Amphitheatre","Perimeter","Passive"},C148)))&gt;0,"no",IF(SUMPRODUCT(--ISNUMBER(SEARCH({"Cricket","Junior","Mini","Summer Football","Small"},C148)))&gt;0,"reduced",IF(SUMPRODUCT(--ISNUMBER(SEARCH({"Rugby","Football","League","Touch","Gaelic","Australian","Lacrosse","General Sport","Training Area","Ultimate"},C148)))&gt;0,"full","unknown"))))</f>
        <v/>
      </c>
      <c r="E148" s="9"/>
      <c r="F148" s="9"/>
      <c r="G148" s="9"/>
      <c r="H148" s="9"/>
      <c r="I148" s="12"/>
      <c r="J148" s="9"/>
      <c r="K148" s="9"/>
      <c r="L148" s="9"/>
      <c r="M148" s="9"/>
      <c r="N148" s="9"/>
      <c r="O148" s="13" t="str">
        <f aca="false">IF(C148="","",IF(N(M148)+N(N148)&lt;Settings!$C$9,"untested",M148/(M148+N148)))</f>
        <v/>
      </c>
      <c r="P148" s="9"/>
      <c r="Q148" s="9"/>
      <c r="R148" s="9"/>
      <c r="S148" s="12"/>
      <c r="T148" s="9"/>
      <c r="U148" s="9"/>
      <c r="V148" s="9"/>
      <c r="W148" s="10" t="str">
        <f aca="false">IF(C148="","",IF(OR(G148="training",G148="full"),"Yes",IF(G148="none","No","?")))</f>
        <v/>
      </c>
      <c r="X148" s="10" t="str">
        <f aca="false">IF(C148="","",IF(OR(E148="",E148="unknown"),D148,E148))</f>
        <v/>
      </c>
      <c r="Y148" s="10" t="str">
        <f aca="false">IF(C148="","",IF(OR(T148="unsuitable",T148="retired",X148="no"),"—",IF(J148="","unrated",IF(AND(X148="full",J148&gt;=Settings!$C$5,OR(O148="untested",O148&gt;=Settings!$C$6)),"A",IF(AND(OR(X148="full",X148="reduced"),J148&gt;=Settings!$C$7,OR(O148="untested",O148&gt;=Settings!$C$8)),"B","C")))))</f>
        <v/>
      </c>
      <c r="Z148" s="11" t="str">
        <f aca="false">IF(C148="","",IF(P148&lt;&gt;"",P148,Y148))</f>
        <v/>
      </c>
    </row>
    <row r="149" customFormat="false" ht="15" hidden="false" customHeight="false" outlineLevel="0" collapsed="false">
      <c r="A149" s="9"/>
      <c r="B149" s="10" t="str">
        <f aca="false">IF(A149="","",IFERROR(INDEX(Parks!$A$2:$A$255,MATCH(A149,Parks!$B$2:$B$255,0)),"?"))</f>
        <v/>
      </c>
      <c r="C149" s="9"/>
      <c r="D149" s="10" t="str">
        <f aca="false">IF(C149="","",IF(SUMPRODUCT(--ISNUMBER(SEARCH({"Nets","Wicket","Diamond","Softball","T-ball","Baseball","Netball","Tennis","Bocce","Pentaque","Petanque","Skate","Car Park","Pond","Bridle","Amphitheatre","Perimeter","Passive"},C149)))&gt;0,"no",IF(SUMPRODUCT(--ISNUMBER(SEARCH({"Cricket","Junior","Mini","Summer Football","Small"},C149)))&gt;0,"reduced",IF(SUMPRODUCT(--ISNUMBER(SEARCH({"Rugby","Football","League","Touch","Gaelic","Australian","Lacrosse","General Sport","Training Area","Ultimate"},C149)))&gt;0,"full","unknown"))))</f>
        <v/>
      </c>
      <c r="E149" s="9"/>
      <c r="F149" s="9"/>
      <c r="G149" s="9"/>
      <c r="H149" s="9"/>
      <c r="I149" s="12"/>
      <c r="J149" s="9"/>
      <c r="K149" s="9"/>
      <c r="L149" s="9"/>
      <c r="M149" s="9"/>
      <c r="N149" s="9"/>
      <c r="O149" s="13" t="str">
        <f aca="false">IF(C149="","",IF(N(M149)+N(N149)&lt;Settings!$C$9,"untested",M149/(M149+N149)))</f>
        <v/>
      </c>
      <c r="P149" s="9"/>
      <c r="Q149" s="9"/>
      <c r="R149" s="9"/>
      <c r="S149" s="12"/>
      <c r="T149" s="9"/>
      <c r="U149" s="9"/>
      <c r="V149" s="9"/>
      <c r="W149" s="10" t="str">
        <f aca="false">IF(C149="","",IF(OR(G149="training",G149="full"),"Yes",IF(G149="none","No","?")))</f>
        <v/>
      </c>
      <c r="X149" s="10" t="str">
        <f aca="false">IF(C149="","",IF(OR(E149="",E149="unknown"),D149,E149))</f>
        <v/>
      </c>
      <c r="Y149" s="10" t="str">
        <f aca="false">IF(C149="","",IF(OR(T149="unsuitable",T149="retired",X149="no"),"—",IF(J149="","unrated",IF(AND(X149="full",J149&gt;=Settings!$C$5,OR(O149="untested",O149&gt;=Settings!$C$6)),"A",IF(AND(OR(X149="full",X149="reduced"),J149&gt;=Settings!$C$7,OR(O149="untested",O149&gt;=Settings!$C$8)),"B","C")))))</f>
        <v/>
      </c>
      <c r="Z149" s="11" t="str">
        <f aca="false">IF(C149="","",IF(P149&lt;&gt;"",P149,Y149))</f>
        <v/>
      </c>
    </row>
    <row r="150" customFormat="false" ht="15" hidden="false" customHeight="false" outlineLevel="0" collapsed="false">
      <c r="A150" s="9"/>
      <c r="B150" s="10" t="str">
        <f aca="false">IF(A150="","",IFERROR(INDEX(Parks!$A$2:$A$255,MATCH(A150,Parks!$B$2:$B$255,0)),"?"))</f>
        <v/>
      </c>
      <c r="C150" s="9"/>
      <c r="D150" s="10" t="str">
        <f aca="false">IF(C150="","",IF(SUMPRODUCT(--ISNUMBER(SEARCH({"Nets","Wicket","Diamond","Softball","T-ball","Baseball","Netball","Tennis","Bocce","Pentaque","Petanque","Skate","Car Park","Pond","Bridle","Amphitheatre","Perimeter","Passive"},C150)))&gt;0,"no",IF(SUMPRODUCT(--ISNUMBER(SEARCH({"Cricket","Junior","Mini","Summer Football","Small"},C150)))&gt;0,"reduced",IF(SUMPRODUCT(--ISNUMBER(SEARCH({"Rugby","Football","League","Touch","Gaelic","Australian","Lacrosse","General Sport","Training Area","Ultimate"},C150)))&gt;0,"full","unknown"))))</f>
        <v/>
      </c>
      <c r="E150" s="9"/>
      <c r="F150" s="9"/>
      <c r="G150" s="9"/>
      <c r="H150" s="9"/>
      <c r="I150" s="12"/>
      <c r="J150" s="9"/>
      <c r="K150" s="9"/>
      <c r="L150" s="9"/>
      <c r="M150" s="9"/>
      <c r="N150" s="9"/>
      <c r="O150" s="13" t="str">
        <f aca="false">IF(C150="","",IF(N(M150)+N(N150)&lt;Settings!$C$9,"untested",M150/(M150+N150)))</f>
        <v/>
      </c>
      <c r="P150" s="9"/>
      <c r="Q150" s="9"/>
      <c r="R150" s="9"/>
      <c r="S150" s="12"/>
      <c r="T150" s="9"/>
      <c r="U150" s="9"/>
      <c r="V150" s="9"/>
      <c r="W150" s="10" t="str">
        <f aca="false">IF(C150="","",IF(OR(G150="training",G150="full"),"Yes",IF(G150="none","No","?")))</f>
        <v/>
      </c>
      <c r="X150" s="10" t="str">
        <f aca="false">IF(C150="","",IF(OR(E150="",E150="unknown"),D150,E150))</f>
        <v/>
      </c>
      <c r="Y150" s="10" t="str">
        <f aca="false">IF(C150="","",IF(OR(T150="unsuitable",T150="retired",X150="no"),"—",IF(J150="","unrated",IF(AND(X150="full",J150&gt;=Settings!$C$5,OR(O150="untested",O150&gt;=Settings!$C$6)),"A",IF(AND(OR(X150="full",X150="reduced"),J150&gt;=Settings!$C$7,OR(O150="untested",O150&gt;=Settings!$C$8)),"B","C")))))</f>
        <v/>
      </c>
      <c r="Z150" s="11" t="str">
        <f aca="false">IF(C150="","",IF(P150&lt;&gt;"",P150,Y150))</f>
        <v/>
      </c>
    </row>
    <row r="151" customFormat="false" ht="15" hidden="false" customHeight="false" outlineLevel="0" collapsed="false">
      <c r="A151" s="9"/>
      <c r="B151" s="10" t="str">
        <f aca="false">IF(A151="","",IFERROR(INDEX(Parks!$A$2:$A$255,MATCH(A151,Parks!$B$2:$B$255,0)),"?"))</f>
        <v/>
      </c>
      <c r="C151" s="9"/>
      <c r="D151" s="10" t="str">
        <f aca="false">IF(C151="","",IF(SUMPRODUCT(--ISNUMBER(SEARCH({"Nets","Wicket","Diamond","Softball","T-ball","Baseball","Netball","Tennis","Bocce","Pentaque","Petanque","Skate","Car Park","Pond","Bridle","Amphitheatre","Perimeter","Passive"},C151)))&gt;0,"no",IF(SUMPRODUCT(--ISNUMBER(SEARCH({"Cricket","Junior","Mini","Summer Football","Small"},C151)))&gt;0,"reduced",IF(SUMPRODUCT(--ISNUMBER(SEARCH({"Rugby","Football","League","Touch","Gaelic","Australian","Lacrosse","General Sport","Training Area","Ultimate"},C151)))&gt;0,"full","unknown"))))</f>
        <v/>
      </c>
      <c r="E151" s="9"/>
      <c r="F151" s="9"/>
      <c r="G151" s="9"/>
      <c r="H151" s="9"/>
      <c r="I151" s="12"/>
      <c r="J151" s="9"/>
      <c r="K151" s="9"/>
      <c r="L151" s="9"/>
      <c r="M151" s="9"/>
      <c r="N151" s="9"/>
      <c r="O151" s="13" t="str">
        <f aca="false">IF(C151="","",IF(N(M151)+N(N151)&lt;Settings!$C$9,"untested",M151/(M151+N151)))</f>
        <v/>
      </c>
      <c r="P151" s="9"/>
      <c r="Q151" s="9"/>
      <c r="R151" s="9"/>
      <c r="S151" s="12"/>
      <c r="T151" s="9"/>
      <c r="U151" s="9"/>
      <c r="V151" s="9"/>
      <c r="W151" s="10" t="str">
        <f aca="false">IF(C151="","",IF(OR(G151="training",G151="full"),"Yes",IF(G151="none","No","?")))</f>
        <v/>
      </c>
      <c r="X151" s="10" t="str">
        <f aca="false">IF(C151="","",IF(OR(E151="",E151="unknown"),D151,E151))</f>
        <v/>
      </c>
      <c r="Y151" s="10" t="str">
        <f aca="false">IF(C151="","",IF(OR(T151="unsuitable",T151="retired",X151="no"),"—",IF(J151="","unrated",IF(AND(X151="full",J151&gt;=Settings!$C$5,OR(O151="untested",O151&gt;=Settings!$C$6)),"A",IF(AND(OR(X151="full",X151="reduced"),J151&gt;=Settings!$C$7,OR(O151="untested",O151&gt;=Settings!$C$8)),"B","C")))))</f>
        <v/>
      </c>
      <c r="Z151" s="11" t="str">
        <f aca="false">IF(C151="","",IF(P151&lt;&gt;"",P151,Y151))</f>
        <v/>
      </c>
    </row>
    <row r="152" customFormat="false" ht="15" hidden="false" customHeight="false" outlineLevel="0" collapsed="false">
      <c r="A152" s="9"/>
      <c r="B152" s="10" t="str">
        <f aca="false">IF(A152="","",IFERROR(INDEX(Parks!$A$2:$A$255,MATCH(A152,Parks!$B$2:$B$255,0)),"?"))</f>
        <v/>
      </c>
      <c r="C152" s="9"/>
      <c r="D152" s="10" t="str">
        <f aca="false">IF(C152="","",IF(SUMPRODUCT(--ISNUMBER(SEARCH({"Nets","Wicket","Diamond","Softball","T-ball","Baseball","Netball","Tennis","Bocce","Pentaque","Petanque","Skate","Car Park","Pond","Bridle","Amphitheatre","Perimeter","Passive"},C152)))&gt;0,"no",IF(SUMPRODUCT(--ISNUMBER(SEARCH({"Cricket","Junior","Mini","Summer Football","Small"},C152)))&gt;0,"reduced",IF(SUMPRODUCT(--ISNUMBER(SEARCH({"Rugby","Football","League","Touch","Gaelic","Australian","Lacrosse","General Sport","Training Area","Ultimate"},C152)))&gt;0,"full","unknown"))))</f>
        <v/>
      </c>
      <c r="E152" s="9"/>
      <c r="F152" s="9"/>
      <c r="G152" s="9"/>
      <c r="H152" s="9"/>
      <c r="I152" s="12"/>
      <c r="J152" s="9"/>
      <c r="K152" s="9"/>
      <c r="L152" s="9"/>
      <c r="M152" s="9"/>
      <c r="N152" s="9"/>
      <c r="O152" s="13" t="str">
        <f aca="false">IF(C152="","",IF(N(M152)+N(N152)&lt;Settings!$C$9,"untested",M152/(M152+N152)))</f>
        <v/>
      </c>
      <c r="P152" s="9"/>
      <c r="Q152" s="9"/>
      <c r="R152" s="9"/>
      <c r="S152" s="12"/>
      <c r="T152" s="9"/>
      <c r="U152" s="9"/>
      <c r="V152" s="9"/>
      <c r="W152" s="10" t="str">
        <f aca="false">IF(C152="","",IF(OR(G152="training",G152="full"),"Yes",IF(G152="none","No","?")))</f>
        <v/>
      </c>
      <c r="X152" s="10" t="str">
        <f aca="false">IF(C152="","",IF(OR(E152="",E152="unknown"),D152,E152))</f>
        <v/>
      </c>
      <c r="Y152" s="10" t="str">
        <f aca="false">IF(C152="","",IF(OR(T152="unsuitable",T152="retired",X152="no"),"—",IF(J152="","unrated",IF(AND(X152="full",J152&gt;=Settings!$C$5,OR(O152="untested",O152&gt;=Settings!$C$6)),"A",IF(AND(OR(X152="full",X152="reduced"),J152&gt;=Settings!$C$7,OR(O152="untested",O152&gt;=Settings!$C$8)),"B","C")))))</f>
        <v/>
      </c>
      <c r="Z152" s="11" t="str">
        <f aca="false">IF(C152="","",IF(P152&lt;&gt;"",P152,Y152))</f>
        <v/>
      </c>
    </row>
    <row r="153" customFormat="false" ht="15" hidden="false" customHeight="false" outlineLevel="0" collapsed="false">
      <c r="A153" s="9"/>
      <c r="B153" s="10" t="str">
        <f aca="false">IF(A153="","",IFERROR(INDEX(Parks!$A$2:$A$255,MATCH(A153,Parks!$B$2:$B$255,0)),"?"))</f>
        <v/>
      </c>
      <c r="C153" s="9"/>
      <c r="D153" s="10" t="str">
        <f aca="false">IF(C153="","",IF(SUMPRODUCT(--ISNUMBER(SEARCH({"Nets","Wicket","Diamond","Softball","T-ball","Baseball","Netball","Tennis","Bocce","Pentaque","Petanque","Skate","Car Park","Pond","Bridle","Amphitheatre","Perimeter","Passive"},C153)))&gt;0,"no",IF(SUMPRODUCT(--ISNUMBER(SEARCH({"Cricket","Junior","Mini","Summer Football","Small"},C153)))&gt;0,"reduced",IF(SUMPRODUCT(--ISNUMBER(SEARCH({"Rugby","Football","League","Touch","Gaelic","Australian","Lacrosse","General Sport","Training Area","Ultimate"},C153)))&gt;0,"full","unknown"))))</f>
        <v/>
      </c>
      <c r="E153" s="9"/>
      <c r="F153" s="9"/>
      <c r="G153" s="9"/>
      <c r="H153" s="9"/>
      <c r="I153" s="12"/>
      <c r="J153" s="9"/>
      <c r="K153" s="9"/>
      <c r="L153" s="9"/>
      <c r="M153" s="9"/>
      <c r="N153" s="9"/>
      <c r="O153" s="13" t="str">
        <f aca="false">IF(C153="","",IF(N(M153)+N(N153)&lt;Settings!$C$9,"untested",M153/(M153+N153)))</f>
        <v/>
      </c>
      <c r="P153" s="9"/>
      <c r="Q153" s="9"/>
      <c r="R153" s="9"/>
      <c r="S153" s="12"/>
      <c r="T153" s="9"/>
      <c r="U153" s="9"/>
      <c r="V153" s="9"/>
      <c r="W153" s="10" t="str">
        <f aca="false">IF(C153="","",IF(OR(G153="training",G153="full"),"Yes",IF(G153="none","No","?")))</f>
        <v/>
      </c>
      <c r="X153" s="10" t="str">
        <f aca="false">IF(C153="","",IF(OR(E153="",E153="unknown"),D153,E153))</f>
        <v/>
      </c>
      <c r="Y153" s="10" t="str">
        <f aca="false">IF(C153="","",IF(OR(T153="unsuitable",T153="retired",X153="no"),"—",IF(J153="","unrated",IF(AND(X153="full",J153&gt;=Settings!$C$5,OR(O153="untested",O153&gt;=Settings!$C$6)),"A",IF(AND(OR(X153="full",X153="reduced"),J153&gt;=Settings!$C$7,OR(O153="untested",O153&gt;=Settings!$C$8)),"B","C")))))</f>
        <v/>
      </c>
      <c r="Z153" s="11" t="str">
        <f aca="false">IF(C153="","",IF(P153&lt;&gt;"",P153,Y153))</f>
        <v/>
      </c>
    </row>
    <row r="154" customFormat="false" ht="15" hidden="false" customHeight="false" outlineLevel="0" collapsed="false">
      <c r="A154" s="9"/>
      <c r="B154" s="10" t="str">
        <f aca="false">IF(A154="","",IFERROR(INDEX(Parks!$A$2:$A$255,MATCH(A154,Parks!$B$2:$B$255,0)),"?"))</f>
        <v/>
      </c>
      <c r="C154" s="9"/>
      <c r="D154" s="10" t="str">
        <f aca="false">IF(C154="","",IF(SUMPRODUCT(--ISNUMBER(SEARCH({"Nets","Wicket","Diamond","Softball","T-ball","Baseball","Netball","Tennis","Bocce","Pentaque","Petanque","Skate","Car Park","Pond","Bridle","Amphitheatre","Perimeter","Passive"},C154)))&gt;0,"no",IF(SUMPRODUCT(--ISNUMBER(SEARCH({"Cricket","Junior","Mini","Summer Football","Small"},C154)))&gt;0,"reduced",IF(SUMPRODUCT(--ISNUMBER(SEARCH({"Rugby","Football","League","Touch","Gaelic","Australian","Lacrosse","General Sport","Training Area","Ultimate"},C154)))&gt;0,"full","unknown"))))</f>
        <v/>
      </c>
      <c r="E154" s="9"/>
      <c r="F154" s="9"/>
      <c r="G154" s="9"/>
      <c r="H154" s="9"/>
      <c r="I154" s="12"/>
      <c r="J154" s="9"/>
      <c r="K154" s="9"/>
      <c r="L154" s="9"/>
      <c r="M154" s="9"/>
      <c r="N154" s="9"/>
      <c r="O154" s="13" t="str">
        <f aca="false">IF(C154="","",IF(N(M154)+N(N154)&lt;Settings!$C$9,"untested",M154/(M154+N154)))</f>
        <v/>
      </c>
      <c r="P154" s="9"/>
      <c r="Q154" s="9"/>
      <c r="R154" s="9"/>
      <c r="S154" s="12"/>
      <c r="T154" s="9"/>
      <c r="U154" s="9"/>
      <c r="V154" s="9"/>
      <c r="W154" s="10" t="str">
        <f aca="false">IF(C154="","",IF(OR(G154="training",G154="full"),"Yes",IF(G154="none","No","?")))</f>
        <v/>
      </c>
      <c r="X154" s="10" t="str">
        <f aca="false">IF(C154="","",IF(OR(E154="",E154="unknown"),D154,E154))</f>
        <v/>
      </c>
      <c r="Y154" s="10" t="str">
        <f aca="false">IF(C154="","",IF(OR(T154="unsuitable",T154="retired",X154="no"),"—",IF(J154="","unrated",IF(AND(X154="full",J154&gt;=Settings!$C$5,OR(O154="untested",O154&gt;=Settings!$C$6)),"A",IF(AND(OR(X154="full",X154="reduced"),J154&gt;=Settings!$C$7,OR(O154="untested",O154&gt;=Settings!$C$8)),"B","C")))))</f>
        <v/>
      </c>
      <c r="Z154" s="11" t="str">
        <f aca="false">IF(C154="","",IF(P154&lt;&gt;"",P154,Y154))</f>
        <v/>
      </c>
    </row>
    <row r="155" customFormat="false" ht="15" hidden="false" customHeight="false" outlineLevel="0" collapsed="false">
      <c r="A155" s="9"/>
      <c r="B155" s="10" t="str">
        <f aca="false">IF(A155="","",IFERROR(INDEX(Parks!$A$2:$A$255,MATCH(A155,Parks!$B$2:$B$255,0)),"?"))</f>
        <v/>
      </c>
      <c r="C155" s="9"/>
      <c r="D155" s="10" t="str">
        <f aca="false">IF(C155="","",IF(SUMPRODUCT(--ISNUMBER(SEARCH({"Nets","Wicket","Diamond","Softball","T-ball","Baseball","Netball","Tennis","Bocce","Pentaque","Petanque","Skate","Car Park","Pond","Bridle","Amphitheatre","Perimeter","Passive"},C155)))&gt;0,"no",IF(SUMPRODUCT(--ISNUMBER(SEARCH({"Cricket","Junior","Mini","Summer Football","Small"},C155)))&gt;0,"reduced",IF(SUMPRODUCT(--ISNUMBER(SEARCH({"Rugby","Football","League","Touch","Gaelic","Australian","Lacrosse","General Sport","Training Area","Ultimate"},C155)))&gt;0,"full","unknown"))))</f>
        <v/>
      </c>
      <c r="E155" s="9"/>
      <c r="F155" s="9"/>
      <c r="G155" s="9"/>
      <c r="H155" s="9"/>
      <c r="I155" s="12"/>
      <c r="J155" s="9"/>
      <c r="K155" s="9"/>
      <c r="L155" s="9"/>
      <c r="M155" s="9"/>
      <c r="N155" s="9"/>
      <c r="O155" s="13" t="str">
        <f aca="false">IF(C155="","",IF(N(M155)+N(N155)&lt;Settings!$C$9,"untested",M155/(M155+N155)))</f>
        <v/>
      </c>
      <c r="P155" s="9"/>
      <c r="Q155" s="9"/>
      <c r="R155" s="9"/>
      <c r="S155" s="12"/>
      <c r="T155" s="9"/>
      <c r="U155" s="9"/>
      <c r="V155" s="9"/>
      <c r="W155" s="10" t="str">
        <f aca="false">IF(C155="","",IF(OR(G155="training",G155="full"),"Yes",IF(G155="none","No","?")))</f>
        <v/>
      </c>
      <c r="X155" s="10" t="str">
        <f aca="false">IF(C155="","",IF(OR(E155="",E155="unknown"),D155,E155))</f>
        <v/>
      </c>
      <c r="Y155" s="10" t="str">
        <f aca="false">IF(C155="","",IF(OR(T155="unsuitable",T155="retired",X155="no"),"—",IF(J155="","unrated",IF(AND(X155="full",J155&gt;=Settings!$C$5,OR(O155="untested",O155&gt;=Settings!$C$6)),"A",IF(AND(OR(X155="full",X155="reduced"),J155&gt;=Settings!$C$7,OR(O155="untested",O155&gt;=Settings!$C$8)),"B","C")))))</f>
        <v/>
      </c>
      <c r="Z155" s="11" t="str">
        <f aca="false">IF(C155="","",IF(P155&lt;&gt;"",P155,Y155))</f>
        <v/>
      </c>
    </row>
    <row r="156" customFormat="false" ht="15" hidden="false" customHeight="false" outlineLevel="0" collapsed="false">
      <c r="A156" s="9"/>
      <c r="B156" s="10" t="str">
        <f aca="false">IF(A156="","",IFERROR(INDEX(Parks!$A$2:$A$255,MATCH(A156,Parks!$B$2:$B$255,0)),"?"))</f>
        <v/>
      </c>
      <c r="C156" s="9"/>
      <c r="D156" s="10" t="str">
        <f aca="false">IF(C156="","",IF(SUMPRODUCT(--ISNUMBER(SEARCH({"Nets","Wicket","Diamond","Softball","T-ball","Baseball","Netball","Tennis","Bocce","Pentaque","Petanque","Skate","Car Park","Pond","Bridle","Amphitheatre","Perimeter","Passive"},C156)))&gt;0,"no",IF(SUMPRODUCT(--ISNUMBER(SEARCH({"Cricket","Junior","Mini","Summer Football","Small"},C156)))&gt;0,"reduced",IF(SUMPRODUCT(--ISNUMBER(SEARCH({"Rugby","Football","League","Touch","Gaelic","Australian","Lacrosse","General Sport","Training Area","Ultimate"},C156)))&gt;0,"full","unknown"))))</f>
        <v/>
      </c>
      <c r="E156" s="9"/>
      <c r="F156" s="9"/>
      <c r="G156" s="9"/>
      <c r="H156" s="9"/>
      <c r="I156" s="12"/>
      <c r="J156" s="9"/>
      <c r="K156" s="9"/>
      <c r="L156" s="9"/>
      <c r="M156" s="9"/>
      <c r="N156" s="9"/>
      <c r="O156" s="13" t="str">
        <f aca="false">IF(C156="","",IF(N(M156)+N(N156)&lt;Settings!$C$9,"untested",M156/(M156+N156)))</f>
        <v/>
      </c>
      <c r="P156" s="9"/>
      <c r="Q156" s="9"/>
      <c r="R156" s="9"/>
      <c r="S156" s="12"/>
      <c r="T156" s="9"/>
      <c r="U156" s="9"/>
      <c r="V156" s="9"/>
      <c r="W156" s="10" t="str">
        <f aca="false">IF(C156="","",IF(OR(G156="training",G156="full"),"Yes",IF(G156="none","No","?")))</f>
        <v/>
      </c>
      <c r="X156" s="10" t="str">
        <f aca="false">IF(C156="","",IF(OR(E156="",E156="unknown"),D156,E156))</f>
        <v/>
      </c>
      <c r="Y156" s="10" t="str">
        <f aca="false">IF(C156="","",IF(OR(T156="unsuitable",T156="retired",X156="no"),"—",IF(J156="","unrated",IF(AND(X156="full",J156&gt;=Settings!$C$5,OR(O156="untested",O156&gt;=Settings!$C$6)),"A",IF(AND(OR(X156="full",X156="reduced"),J156&gt;=Settings!$C$7,OR(O156="untested",O156&gt;=Settings!$C$8)),"B","C")))))</f>
        <v/>
      </c>
      <c r="Z156" s="11" t="str">
        <f aca="false">IF(C156="","",IF(P156&lt;&gt;"",P156,Y156))</f>
        <v/>
      </c>
    </row>
    <row r="157" customFormat="false" ht="15" hidden="false" customHeight="false" outlineLevel="0" collapsed="false">
      <c r="A157" s="9"/>
      <c r="B157" s="10" t="str">
        <f aca="false">IF(A157="","",IFERROR(INDEX(Parks!$A$2:$A$255,MATCH(A157,Parks!$B$2:$B$255,0)),"?"))</f>
        <v/>
      </c>
      <c r="C157" s="9"/>
      <c r="D157" s="10" t="str">
        <f aca="false">IF(C157="","",IF(SUMPRODUCT(--ISNUMBER(SEARCH({"Nets","Wicket","Diamond","Softball","T-ball","Baseball","Netball","Tennis","Bocce","Pentaque","Petanque","Skate","Car Park","Pond","Bridle","Amphitheatre","Perimeter","Passive"},C157)))&gt;0,"no",IF(SUMPRODUCT(--ISNUMBER(SEARCH({"Cricket","Junior","Mini","Summer Football","Small"},C157)))&gt;0,"reduced",IF(SUMPRODUCT(--ISNUMBER(SEARCH({"Rugby","Football","League","Touch","Gaelic","Australian","Lacrosse","General Sport","Training Area","Ultimate"},C157)))&gt;0,"full","unknown"))))</f>
        <v/>
      </c>
      <c r="E157" s="9"/>
      <c r="F157" s="9"/>
      <c r="G157" s="9"/>
      <c r="H157" s="9"/>
      <c r="I157" s="12"/>
      <c r="J157" s="9"/>
      <c r="K157" s="9"/>
      <c r="L157" s="9"/>
      <c r="M157" s="9"/>
      <c r="N157" s="9"/>
      <c r="O157" s="13" t="str">
        <f aca="false">IF(C157="","",IF(N(M157)+N(N157)&lt;Settings!$C$9,"untested",M157/(M157+N157)))</f>
        <v/>
      </c>
      <c r="P157" s="9"/>
      <c r="Q157" s="9"/>
      <c r="R157" s="9"/>
      <c r="S157" s="12"/>
      <c r="T157" s="9"/>
      <c r="U157" s="9"/>
      <c r="V157" s="9"/>
      <c r="W157" s="10" t="str">
        <f aca="false">IF(C157="","",IF(OR(G157="training",G157="full"),"Yes",IF(G157="none","No","?")))</f>
        <v/>
      </c>
      <c r="X157" s="10" t="str">
        <f aca="false">IF(C157="","",IF(OR(E157="",E157="unknown"),D157,E157))</f>
        <v/>
      </c>
      <c r="Y157" s="10" t="str">
        <f aca="false">IF(C157="","",IF(OR(T157="unsuitable",T157="retired",X157="no"),"—",IF(J157="","unrated",IF(AND(X157="full",J157&gt;=Settings!$C$5,OR(O157="untested",O157&gt;=Settings!$C$6)),"A",IF(AND(OR(X157="full",X157="reduced"),J157&gt;=Settings!$C$7,OR(O157="untested",O157&gt;=Settings!$C$8)),"B","C")))))</f>
        <v/>
      </c>
      <c r="Z157" s="11" t="str">
        <f aca="false">IF(C157="","",IF(P157&lt;&gt;"",P157,Y157))</f>
        <v/>
      </c>
    </row>
    <row r="158" customFormat="false" ht="15" hidden="false" customHeight="false" outlineLevel="0" collapsed="false">
      <c r="A158" s="9"/>
      <c r="B158" s="10" t="str">
        <f aca="false">IF(A158="","",IFERROR(INDEX(Parks!$A$2:$A$255,MATCH(A158,Parks!$B$2:$B$255,0)),"?"))</f>
        <v/>
      </c>
      <c r="C158" s="9"/>
      <c r="D158" s="10" t="str">
        <f aca="false">IF(C158="","",IF(SUMPRODUCT(--ISNUMBER(SEARCH({"Nets","Wicket","Diamond","Softball","T-ball","Baseball","Netball","Tennis","Bocce","Pentaque","Petanque","Skate","Car Park","Pond","Bridle","Amphitheatre","Perimeter","Passive"},C158)))&gt;0,"no",IF(SUMPRODUCT(--ISNUMBER(SEARCH({"Cricket","Junior","Mini","Summer Football","Small"},C158)))&gt;0,"reduced",IF(SUMPRODUCT(--ISNUMBER(SEARCH({"Rugby","Football","League","Touch","Gaelic","Australian","Lacrosse","General Sport","Training Area","Ultimate"},C158)))&gt;0,"full","unknown"))))</f>
        <v/>
      </c>
      <c r="E158" s="9"/>
      <c r="F158" s="9"/>
      <c r="G158" s="9"/>
      <c r="H158" s="9"/>
      <c r="I158" s="12"/>
      <c r="J158" s="9"/>
      <c r="K158" s="9"/>
      <c r="L158" s="9"/>
      <c r="M158" s="9"/>
      <c r="N158" s="9"/>
      <c r="O158" s="13" t="str">
        <f aca="false">IF(C158="","",IF(N(M158)+N(N158)&lt;Settings!$C$9,"untested",M158/(M158+N158)))</f>
        <v/>
      </c>
      <c r="P158" s="9"/>
      <c r="Q158" s="9"/>
      <c r="R158" s="9"/>
      <c r="S158" s="12"/>
      <c r="T158" s="9"/>
      <c r="U158" s="9"/>
      <c r="V158" s="9"/>
      <c r="W158" s="10" t="str">
        <f aca="false">IF(C158="","",IF(OR(G158="training",G158="full"),"Yes",IF(G158="none","No","?")))</f>
        <v/>
      </c>
      <c r="X158" s="10" t="str">
        <f aca="false">IF(C158="","",IF(OR(E158="",E158="unknown"),D158,E158))</f>
        <v/>
      </c>
      <c r="Y158" s="10" t="str">
        <f aca="false">IF(C158="","",IF(OR(T158="unsuitable",T158="retired",X158="no"),"—",IF(J158="","unrated",IF(AND(X158="full",J158&gt;=Settings!$C$5,OR(O158="untested",O158&gt;=Settings!$C$6)),"A",IF(AND(OR(X158="full",X158="reduced"),J158&gt;=Settings!$C$7,OR(O158="untested",O158&gt;=Settings!$C$8)),"B","C")))))</f>
        <v/>
      </c>
      <c r="Z158" s="11" t="str">
        <f aca="false">IF(C158="","",IF(P158&lt;&gt;"",P158,Y158))</f>
        <v/>
      </c>
    </row>
    <row r="159" customFormat="false" ht="15" hidden="false" customHeight="false" outlineLevel="0" collapsed="false">
      <c r="A159" s="9"/>
      <c r="B159" s="10" t="str">
        <f aca="false">IF(A159="","",IFERROR(INDEX(Parks!$A$2:$A$255,MATCH(A159,Parks!$B$2:$B$255,0)),"?"))</f>
        <v/>
      </c>
      <c r="C159" s="9"/>
      <c r="D159" s="10" t="str">
        <f aca="false">IF(C159="","",IF(SUMPRODUCT(--ISNUMBER(SEARCH({"Nets","Wicket","Diamond","Softball","T-ball","Baseball","Netball","Tennis","Bocce","Pentaque","Petanque","Skate","Car Park","Pond","Bridle","Amphitheatre","Perimeter","Passive"},C159)))&gt;0,"no",IF(SUMPRODUCT(--ISNUMBER(SEARCH({"Cricket","Junior","Mini","Summer Football","Small"},C159)))&gt;0,"reduced",IF(SUMPRODUCT(--ISNUMBER(SEARCH({"Rugby","Football","League","Touch","Gaelic","Australian","Lacrosse","General Sport","Training Area","Ultimate"},C159)))&gt;0,"full","unknown"))))</f>
        <v/>
      </c>
      <c r="E159" s="9"/>
      <c r="F159" s="9"/>
      <c r="G159" s="9"/>
      <c r="H159" s="9"/>
      <c r="I159" s="12"/>
      <c r="J159" s="9"/>
      <c r="K159" s="9"/>
      <c r="L159" s="9"/>
      <c r="M159" s="9"/>
      <c r="N159" s="9"/>
      <c r="O159" s="13" t="str">
        <f aca="false">IF(C159="","",IF(N(M159)+N(N159)&lt;Settings!$C$9,"untested",M159/(M159+N159)))</f>
        <v/>
      </c>
      <c r="P159" s="9"/>
      <c r="Q159" s="9"/>
      <c r="R159" s="9"/>
      <c r="S159" s="12"/>
      <c r="T159" s="9"/>
      <c r="U159" s="9"/>
      <c r="V159" s="9"/>
      <c r="W159" s="10" t="str">
        <f aca="false">IF(C159="","",IF(OR(G159="training",G159="full"),"Yes",IF(G159="none","No","?")))</f>
        <v/>
      </c>
      <c r="X159" s="10" t="str">
        <f aca="false">IF(C159="","",IF(OR(E159="",E159="unknown"),D159,E159))</f>
        <v/>
      </c>
      <c r="Y159" s="10" t="str">
        <f aca="false">IF(C159="","",IF(OR(T159="unsuitable",T159="retired",X159="no"),"—",IF(J159="","unrated",IF(AND(X159="full",J159&gt;=Settings!$C$5,OR(O159="untested",O159&gt;=Settings!$C$6)),"A",IF(AND(OR(X159="full",X159="reduced"),J159&gt;=Settings!$C$7,OR(O159="untested",O159&gt;=Settings!$C$8)),"B","C")))))</f>
        <v/>
      </c>
      <c r="Z159" s="11" t="str">
        <f aca="false">IF(C159="","",IF(P159&lt;&gt;"",P159,Y159))</f>
        <v/>
      </c>
    </row>
    <row r="160" customFormat="false" ht="15" hidden="false" customHeight="false" outlineLevel="0" collapsed="false">
      <c r="A160" s="9"/>
      <c r="B160" s="10" t="str">
        <f aca="false">IF(A160="","",IFERROR(INDEX(Parks!$A$2:$A$255,MATCH(A160,Parks!$B$2:$B$255,0)),"?"))</f>
        <v/>
      </c>
      <c r="C160" s="9"/>
      <c r="D160" s="10" t="str">
        <f aca="false">IF(C160="","",IF(SUMPRODUCT(--ISNUMBER(SEARCH({"Nets","Wicket","Diamond","Softball","T-ball","Baseball","Netball","Tennis","Bocce","Pentaque","Petanque","Skate","Car Park","Pond","Bridle","Amphitheatre","Perimeter","Passive"},C160)))&gt;0,"no",IF(SUMPRODUCT(--ISNUMBER(SEARCH({"Cricket","Junior","Mini","Summer Football","Small"},C160)))&gt;0,"reduced",IF(SUMPRODUCT(--ISNUMBER(SEARCH({"Rugby","Football","League","Touch","Gaelic","Australian","Lacrosse","General Sport","Training Area","Ultimate"},C160)))&gt;0,"full","unknown"))))</f>
        <v/>
      </c>
      <c r="E160" s="9"/>
      <c r="F160" s="9"/>
      <c r="G160" s="9"/>
      <c r="H160" s="9"/>
      <c r="I160" s="12"/>
      <c r="J160" s="9"/>
      <c r="K160" s="9"/>
      <c r="L160" s="9"/>
      <c r="M160" s="9"/>
      <c r="N160" s="9"/>
      <c r="O160" s="13" t="str">
        <f aca="false">IF(C160="","",IF(N(M160)+N(N160)&lt;Settings!$C$9,"untested",M160/(M160+N160)))</f>
        <v/>
      </c>
      <c r="P160" s="9"/>
      <c r="Q160" s="9"/>
      <c r="R160" s="9"/>
      <c r="S160" s="12"/>
      <c r="T160" s="9"/>
      <c r="U160" s="9"/>
      <c r="V160" s="9"/>
      <c r="W160" s="10" t="str">
        <f aca="false">IF(C160="","",IF(OR(G160="training",G160="full"),"Yes",IF(G160="none","No","?")))</f>
        <v/>
      </c>
      <c r="X160" s="10" t="str">
        <f aca="false">IF(C160="","",IF(OR(E160="",E160="unknown"),D160,E160))</f>
        <v/>
      </c>
      <c r="Y160" s="10" t="str">
        <f aca="false">IF(C160="","",IF(OR(T160="unsuitable",T160="retired",X160="no"),"—",IF(J160="","unrated",IF(AND(X160="full",J160&gt;=Settings!$C$5,OR(O160="untested",O160&gt;=Settings!$C$6)),"A",IF(AND(OR(X160="full",X160="reduced"),J160&gt;=Settings!$C$7,OR(O160="untested",O160&gt;=Settings!$C$8)),"B","C")))))</f>
        <v/>
      </c>
      <c r="Z160" s="11" t="str">
        <f aca="false">IF(C160="","",IF(P160&lt;&gt;"",P160,Y160))</f>
        <v/>
      </c>
    </row>
    <row r="161" customFormat="false" ht="15" hidden="false" customHeight="false" outlineLevel="0" collapsed="false">
      <c r="A161" s="9"/>
      <c r="B161" s="10" t="str">
        <f aca="false">IF(A161="","",IFERROR(INDEX(Parks!$A$2:$A$255,MATCH(A161,Parks!$B$2:$B$255,0)),"?"))</f>
        <v/>
      </c>
      <c r="C161" s="9"/>
      <c r="D161" s="10" t="str">
        <f aca="false">IF(C161="","",IF(SUMPRODUCT(--ISNUMBER(SEARCH({"Nets","Wicket","Diamond","Softball","T-ball","Baseball","Netball","Tennis","Bocce","Pentaque","Petanque","Skate","Car Park","Pond","Bridle","Amphitheatre","Perimeter","Passive"},C161)))&gt;0,"no",IF(SUMPRODUCT(--ISNUMBER(SEARCH({"Cricket","Junior","Mini","Summer Football","Small"},C161)))&gt;0,"reduced",IF(SUMPRODUCT(--ISNUMBER(SEARCH({"Rugby","Football","League","Touch","Gaelic","Australian","Lacrosse","General Sport","Training Area","Ultimate"},C161)))&gt;0,"full","unknown"))))</f>
        <v/>
      </c>
      <c r="E161" s="9"/>
      <c r="F161" s="9"/>
      <c r="G161" s="9"/>
      <c r="H161" s="9"/>
      <c r="I161" s="12"/>
      <c r="J161" s="9"/>
      <c r="K161" s="9"/>
      <c r="L161" s="9"/>
      <c r="M161" s="9"/>
      <c r="N161" s="9"/>
      <c r="O161" s="13" t="str">
        <f aca="false">IF(C161="","",IF(N(M161)+N(N161)&lt;Settings!$C$9,"untested",M161/(M161+N161)))</f>
        <v/>
      </c>
      <c r="P161" s="9"/>
      <c r="Q161" s="9"/>
      <c r="R161" s="9"/>
      <c r="S161" s="12"/>
      <c r="T161" s="9"/>
      <c r="U161" s="9"/>
      <c r="V161" s="9"/>
      <c r="W161" s="10" t="str">
        <f aca="false">IF(C161="","",IF(OR(G161="training",G161="full"),"Yes",IF(G161="none","No","?")))</f>
        <v/>
      </c>
      <c r="X161" s="10" t="str">
        <f aca="false">IF(C161="","",IF(OR(E161="",E161="unknown"),D161,E161))</f>
        <v/>
      </c>
      <c r="Y161" s="10" t="str">
        <f aca="false">IF(C161="","",IF(OR(T161="unsuitable",T161="retired",X161="no"),"—",IF(J161="","unrated",IF(AND(X161="full",J161&gt;=Settings!$C$5,OR(O161="untested",O161&gt;=Settings!$C$6)),"A",IF(AND(OR(X161="full",X161="reduced"),J161&gt;=Settings!$C$7,OR(O161="untested",O161&gt;=Settings!$C$8)),"B","C")))))</f>
        <v/>
      </c>
      <c r="Z161" s="11" t="str">
        <f aca="false">IF(C161="","",IF(P161&lt;&gt;"",P161,Y161))</f>
        <v/>
      </c>
    </row>
    <row r="162" customFormat="false" ht="15" hidden="false" customHeight="false" outlineLevel="0" collapsed="false">
      <c r="A162" s="9"/>
      <c r="B162" s="10" t="str">
        <f aca="false">IF(A162="","",IFERROR(INDEX(Parks!$A$2:$A$255,MATCH(A162,Parks!$B$2:$B$255,0)),"?"))</f>
        <v/>
      </c>
      <c r="C162" s="9"/>
      <c r="D162" s="10" t="str">
        <f aca="false">IF(C162="","",IF(SUMPRODUCT(--ISNUMBER(SEARCH({"Nets","Wicket","Diamond","Softball","T-ball","Baseball","Netball","Tennis","Bocce","Pentaque","Petanque","Skate","Car Park","Pond","Bridle","Amphitheatre","Perimeter","Passive"},C162)))&gt;0,"no",IF(SUMPRODUCT(--ISNUMBER(SEARCH({"Cricket","Junior","Mini","Summer Football","Small"},C162)))&gt;0,"reduced",IF(SUMPRODUCT(--ISNUMBER(SEARCH({"Rugby","Football","League","Touch","Gaelic","Australian","Lacrosse","General Sport","Training Area","Ultimate"},C162)))&gt;0,"full","unknown"))))</f>
        <v/>
      </c>
      <c r="E162" s="9"/>
      <c r="F162" s="9"/>
      <c r="G162" s="9"/>
      <c r="H162" s="9"/>
      <c r="I162" s="12"/>
      <c r="J162" s="9"/>
      <c r="K162" s="9"/>
      <c r="L162" s="9"/>
      <c r="M162" s="9"/>
      <c r="N162" s="9"/>
      <c r="O162" s="13" t="str">
        <f aca="false">IF(C162="","",IF(N(M162)+N(N162)&lt;Settings!$C$9,"untested",M162/(M162+N162)))</f>
        <v/>
      </c>
      <c r="P162" s="9"/>
      <c r="Q162" s="9"/>
      <c r="R162" s="9"/>
      <c r="S162" s="12"/>
      <c r="T162" s="9"/>
      <c r="U162" s="9"/>
      <c r="V162" s="9"/>
      <c r="W162" s="10" t="str">
        <f aca="false">IF(C162="","",IF(OR(G162="training",G162="full"),"Yes",IF(G162="none","No","?")))</f>
        <v/>
      </c>
      <c r="X162" s="10" t="str">
        <f aca="false">IF(C162="","",IF(OR(E162="",E162="unknown"),D162,E162))</f>
        <v/>
      </c>
      <c r="Y162" s="10" t="str">
        <f aca="false">IF(C162="","",IF(OR(T162="unsuitable",T162="retired",X162="no"),"—",IF(J162="","unrated",IF(AND(X162="full",J162&gt;=Settings!$C$5,OR(O162="untested",O162&gt;=Settings!$C$6)),"A",IF(AND(OR(X162="full",X162="reduced"),J162&gt;=Settings!$C$7,OR(O162="untested",O162&gt;=Settings!$C$8)),"B","C")))))</f>
        <v/>
      </c>
      <c r="Z162" s="11" t="str">
        <f aca="false">IF(C162="","",IF(P162&lt;&gt;"",P162,Y162))</f>
        <v/>
      </c>
    </row>
    <row r="163" customFormat="false" ht="15" hidden="false" customHeight="false" outlineLevel="0" collapsed="false">
      <c r="A163" s="9"/>
      <c r="B163" s="10" t="str">
        <f aca="false">IF(A163="","",IFERROR(INDEX(Parks!$A$2:$A$255,MATCH(A163,Parks!$B$2:$B$255,0)),"?"))</f>
        <v/>
      </c>
      <c r="C163" s="9"/>
      <c r="D163" s="10" t="str">
        <f aca="false">IF(C163="","",IF(SUMPRODUCT(--ISNUMBER(SEARCH({"Nets","Wicket","Diamond","Softball","T-ball","Baseball","Netball","Tennis","Bocce","Pentaque","Petanque","Skate","Car Park","Pond","Bridle","Amphitheatre","Perimeter","Passive"},C163)))&gt;0,"no",IF(SUMPRODUCT(--ISNUMBER(SEARCH({"Cricket","Junior","Mini","Summer Football","Small"},C163)))&gt;0,"reduced",IF(SUMPRODUCT(--ISNUMBER(SEARCH({"Rugby","Football","League","Touch","Gaelic","Australian","Lacrosse","General Sport","Training Area","Ultimate"},C163)))&gt;0,"full","unknown"))))</f>
        <v/>
      </c>
      <c r="E163" s="9"/>
      <c r="F163" s="9"/>
      <c r="G163" s="9"/>
      <c r="H163" s="9"/>
      <c r="I163" s="12"/>
      <c r="J163" s="9"/>
      <c r="K163" s="9"/>
      <c r="L163" s="9"/>
      <c r="M163" s="9"/>
      <c r="N163" s="9"/>
      <c r="O163" s="13" t="str">
        <f aca="false">IF(C163="","",IF(N(M163)+N(N163)&lt;Settings!$C$9,"untested",M163/(M163+N163)))</f>
        <v/>
      </c>
      <c r="P163" s="9"/>
      <c r="Q163" s="9"/>
      <c r="R163" s="9"/>
      <c r="S163" s="12"/>
      <c r="T163" s="9"/>
      <c r="U163" s="9"/>
      <c r="V163" s="9"/>
      <c r="W163" s="10" t="str">
        <f aca="false">IF(C163="","",IF(OR(G163="training",G163="full"),"Yes",IF(G163="none","No","?")))</f>
        <v/>
      </c>
      <c r="X163" s="10" t="str">
        <f aca="false">IF(C163="","",IF(OR(E163="",E163="unknown"),D163,E163))</f>
        <v/>
      </c>
      <c r="Y163" s="10" t="str">
        <f aca="false">IF(C163="","",IF(OR(T163="unsuitable",T163="retired",X163="no"),"—",IF(J163="","unrated",IF(AND(X163="full",J163&gt;=Settings!$C$5,OR(O163="untested",O163&gt;=Settings!$C$6)),"A",IF(AND(OR(X163="full",X163="reduced"),J163&gt;=Settings!$C$7,OR(O163="untested",O163&gt;=Settings!$C$8)),"B","C")))))</f>
        <v/>
      </c>
      <c r="Z163" s="11" t="str">
        <f aca="false">IF(C163="","",IF(P163&lt;&gt;"",P163,Y163))</f>
        <v/>
      </c>
    </row>
    <row r="164" customFormat="false" ht="15" hidden="false" customHeight="false" outlineLevel="0" collapsed="false">
      <c r="A164" s="9"/>
      <c r="B164" s="10" t="str">
        <f aca="false">IF(A164="","",IFERROR(INDEX(Parks!$A$2:$A$255,MATCH(A164,Parks!$B$2:$B$255,0)),"?"))</f>
        <v/>
      </c>
      <c r="C164" s="9"/>
      <c r="D164" s="10" t="str">
        <f aca="false">IF(C164="","",IF(SUMPRODUCT(--ISNUMBER(SEARCH({"Nets","Wicket","Diamond","Softball","T-ball","Baseball","Netball","Tennis","Bocce","Pentaque","Petanque","Skate","Car Park","Pond","Bridle","Amphitheatre","Perimeter","Passive"},C164)))&gt;0,"no",IF(SUMPRODUCT(--ISNUMBER(SEARCH({"Cricket","Junior","Mini","Summer Football","Small"},C164)))&gt;0,"reduced",IF(SUMPRODUCT(--ISNUMBER(SEARCH({"Rugby","Football","League","Touch","Gaelic","Australian","Lacrosse","General Sport","Training Area","Ultimate"},C164)))&gt;0,"full","unknown"))))</f>
        <v/>
      </c>
      <c r="E164" s="9"/>
      <c r="F164" s="9"/>
      <c r="G164" s="9"/>
      <c r="H164" s="9"/>
      <c r="I164" s="12"/>
      <c r="J164" s="9"/>
      <c r="K164" s="9"/>
      <c r="L164" s="9"/>
      <c r="M164" s="9"/>
      <c r="N164" s="9"/>
      <c r="O164" s="13" t="str">
        <f aca="false">IF(C164="","",IF(N(M164)+N(N164)&lt;Settings!$C$9,"untested",M164/(M164+N164)))</f>
        <v/>
      </c>
      <c r="P164" s="9"/>
      <c r="Q164" s="9"/>
      <c r="R164" s="9"/>
      <c r="S164" s="12"/>
      <c r="T164" s="9"/>
      <c r="U164" s="9"/>
      <c r="V164" s="9"/>
      <c r="W164" s="10" t="str">
        <f aca="false">IF(C164="","",IF(OR(G164="training",G164="full"),"Yes",IF(G164="none","No","?")))</f>
        <v/>
      </c>
      <c r="X164" s="10" t="str">
        <f aca="false">IF(C164="","",IF(OR(E164="",E164="unknown"),D164,E164))</f>
        <v/>
      </c>
      <c r="Y164" s="10" t="str">
        <f aca="false">IF(C164="","",IF(OR(T164="unsuitable",T164="retired",X164="no"),"—",IF(J164="","unrated",IF(AND(X164="full",J164&gt;=Settings!$C$5,OR(O164="untested",O164&gt;=Settings!$C$6)),"A",IF(AND(OR(X164="full",X164="reduced"),J164&gt;=Settings!$C$7,OR(O164="untested",O164&gt;=Settings!$C$8)),"B","C")))))</f>
        <v/>
      </c>
      <c r="Z164" s="11" t="str">
        <f aca="false">IF(C164="","",IF(P164&lt;&gt;"",P164,Y164))</f>
        <v/>
      </c>
    </row>
    <row r="165" customFormat="false" ht="15" hidden="false" customHeight="false" outlineLevel="0" collapsed="false">
      <c r="A165" s="9"/>
      <c r="B165" s="10" t="str">
        <f aca="false">IF(A165="","",IFERROR(INDEX(Parks!$A$2:$A$255,MATCH(A165,Parks!$B$2:$B$255,0)),"?"))</f>
        <v/>
      </c>
      <c r="C165" s="9"/>
      <c r="D165" s="10" t="str">
        <f aca="false">IF(C165="","",IF(SUMPRODUCT(--ISNUMBER(SEARCH({"Nets","Wicket","Diamond","Softball","T-ball","Baseball","Netball","Tennis","Bocce","Pentaque","Petanque","Skate","Car Park","Pond","Bridle","Amphitheatre","Perimeter","Passive"},C165)))&gt;0,"no",IF(SUMPRODUCT(--ISNUMBER(SEARCH({"Cricket","Junior","Mini","Summer Football","Small"},C165)))&gt;0,"reduced",IF(SUMPRODUCT(--ISNUMBER(SEARCH({"Rugby","Football","League","Touch","Gaelic","Australian","Lacrosse","General Sport","Training Area","Ultimate"},C165)))&gt;0,"full","unknown"))))</f>
        <v/>
      </c>
      <c r="E165" s="9"/>
      <c r="F165" s="9"/>
      <c r="G165" s="9"/>
      <c r="H165" s="9"/>
      <c r="I165" s="12"/>
      <c r="J165" s="9"/>
      <c r="K165" s="9"/>
      <c r="L165" s="9"/>
      <c r="M165" s="9"/>
      <c r="N165" s="9"/>
      <c r="O165" s="13" t="str">
        <f aca="false">IF(C165="","",IF(N(M165)+N(N165)&lt;Settings!$C$9,"untested",M165/(M165+N165)))</f>
        <v/>
      </c>
      <c r="P165" s="9"/>
      <c r="Q165" s="9"/>
      <c r="R165" s="9"/>
      <c r="S165" s="12"/>
      <c r="T165" s="9"/>
      <c r="U165" s="9"/>
      <c r="V165" s="9"/>
      <c r="W165" s="10" t="str">
        <f aca="false">IF(C165="","",IF(OR(G165="training",G165="full"),"Yes",IF(G165="none","No","?")))</f>
        <v/>
      </c>
      <c r="X165" s="10" t="str">
        <f aca="false">IF(C165="","",IF(OR(E165="",E165="unknown"),D165,E165))</f>
        <v/>
      </c>
      <c r="Y165" s="10" t="str">
        <f aca="false">IF(C165="","",IF(OR(T165="unsuitable",T165="retired",X165="no"),"—",IF(J165="","unrated",IF(AND(X165="full",J165&gt;=Settings!$C$5,OR(O165="untested",O165&gt;=Settings!$C$6)),"A",IF(AND(OR(X165="full",X165="reduced"),J165&gt;=Settings!$C$7,OR(O165="untested",O165&gt;=Settings!$C$8)),"B","C")))))</f>
        <v/>
      </c>
      <c r="Z165" s="11" t="str">
        <f aca="false">IF(C165="","",IF(P165&lt;&gt;"",P165,Y165))</f>
        <v/>
      </c>
    </row>
    <row r="166" customFormat="false" ht="15" hidden="false" customHeight="false" outlineLevel="0" collapsed="false">
      <c r="A166" s="9"/>
      <c r="B166" s="10" t="str">
        <f aca="false">IF(A166="","",IFERROR(INDEX(Parks!$A$2:$A$255,MATCH(A166,Parks!$B$2:$B$255,0)),"?"))</f>
        <v/>
      </c>
      <c r="C166" s="9"/>
      <c r="D166" s="10" t="str">
        <f aca="false">IF(C166="","",IF(SUMPRODUCT(--ISNUMBER(SEARCH({"Nets","Wicket","Diamond","Softball","T-ball","Baseball","Netball","Tennis","Bocce","Pentaque","Petanque","Skate","Car Park","Pond","Bridle","Amphitheatre","Perimeter","Passive"},C166)))&gt;0,"no",IF(SUMPRODUCT(--ISNUMBER(SEARCH({"Cricket","Junior","Mini","Summer Football","Small"},C166)))&gt;0,"reduced",IF(SUMPRODUCT(--ISNUMBER(SEARCH({"Rugby","Football","League","Touch","Gaelic","Australian","Lacrosse","General Sport","Training Area","Ultimate"},C166)))&gt;0,"full","unknown"))))</f>
        <v/>
      </c>
      <c r="E166" s="9"/>
      <c r="F166" s="9"/>
      <c r="G166" s="9"/>
      <c r="H166" s="9"/>
      <c r="I166" s="12"/>
      <c r="J166" s="9"/>
      <c r="K166" s="9"/>
      <c r="L166" s="9"/>
      <c r="M166" s="9"/>
      <c r="N166" s="9"/>
      <c r="O166" s="13" t="str">
        <f aca="false">IF(C166="","",IF(N(M166)+N(N166)&lt;Settings!$C$9,"untested",M166/(M166+N166)))</f>
        <v/>
      </c>
      <c r="P166" s="9"/>
      <c r="Q166" s="9"/>
      <c r="R166" s="9"/>
      <c r="S166" s="12"/>
      <c r="T166" s="9"/>
      <c r="U166" s="9"/>
      <c r="V166" s="9"/>
      <c r="W166" s="10" t="str">
        <f aca="false">IF(C166="","",IF(OR(G166="training",G166="full"),"Yes",IF(G166="none","No","?")))</f>
        <v/>
      </c>
      <c r="X166" s="10" t="str">
        <f aca="false">IF(C166="","",IF(OR(E166="",E166="unknown"),D166,E166))</f>
        <v/>
      </c>
      <c r="Y166" s="10" t="str">
        <f aca="false">IF(C166="","",IF(OR(T166="unsuitable",T166="retired",X166="no"),"—",IF(J166="","unrated",IF(AND(X166="full",J166&gt;=Settings!$C$5,OR(O166="untested",O166&gt;=Settings!$C$6)),"A",IF(AND(OR(X166="full",X166="reduced"),J166&gt;=Settings!$C$7,OR(O166="untested",O166&gt;=Settings!$C$8)),"B","C")))))</f>
        <v/>
      </c>
      <c r="Z166" s="11" t="str">
        <f aca="false">IF(C166="","",IF(P166&lt;&gt;"",P166,Y166))</f>
        <v/>
      </c>
    </row>
    <row r="167" customFormat="false" ht="15" hidden="false" customHeight="false" outlineLevel="0" collapsed="false">
      <c r="A167" s="9"/>
      <c r="B167" s="10" t="str">
        <f aca="false">IF(A167="","",IFERROR(INDEX(Parks!$A$2:$A$255,MATCH(A167,Parks!$B$2:$B$255,0)),"?"))</f>
        <v/>
      </c>
      <c r="C167" s="9"/>
      <c r="D167" s="10" t="str">
        <f aca="false">IF(C167="","",IF(SUMPRODUCT(--ISNUMBER(SEARCH({"Nets","Wicket","Diamond","Softball","T-ball","Baseball","Netball","Tennis","Bocce","Pentaque","Petanque","Skate","Car Park","Pond","Bridle","Amphitheatre","Perimeter","Passive"},C167)))&gt;0,"no",IF(SUMPRODUCT(--ISNUMBER(SEARCH({"Cricket","Junior","Mini","Summer Football","Small"},C167)))&gt;0,"reduced",IF(SUMPRODUCT(--ISNUMBER(SEARCH({"Rugby","Football","League","Touch","Gaelic","Australian","Lacrosse","General Sport","Training Area","Ultimate"},C167)))&gt;0,"full","unknown"))))</f>
        <v/>
      </c>
      <c r="E167" s="9"/>
      <c r="F167" s="9"/>
      <c r="G167" s="9"/>
      <c r="H167" s="9"/>
      <c r="I167" s="12"/>
      <c r="J167" s="9"/>
      <c r="K167" s="9"/>
      <c r="L167" s="9"/>
      <c r="M167" s="9"/>
      <c r="N167" s="9"/>
      <c r="O167" s="13" t="str">
        <f aca="false">IF(C167="","",IF(N(M167)+N(N167)&lt;Settings!$C$9,"untested",M167/(M167+N167)))</f>
        <v/>
      </c>
      <c r="P167" s="9"/>
      <c r="Q167" s="9"/>
      <c r="R167" s="9"/>
      <c r="S167" s="12"/>
      <c r="T167" s="9"/>
      <c r="U167" s="9"/>
      <c r="V167" s="9"/>
      <c r="W167" s="10" t="str">
        <f aca="false">IF(C167="","",IF(OR(G167="training",G167="full"),"Yes",IF(G167="none","No","?")))</f>
        <v/>
      </c>
      <c r="X167" s="10" t="str">
        <f aca="false">IF(C167="","",IF(OR(E167="",E167="unknown"),D167,E167))</f>
        <v/>
      </c>
      <c r="Y167" s="10" t="str">
        <f aca="false">IF(C167="","",IF(OR(T167="unsuitable",T167="retired",X167="no"),"—",IF(J167="","unrated",IF(AND(X167="full",J167&gt;=Settings!$C$5,OR(O167="untested",O167&gt;=Settings!$C$6)),"A",IF(AND(OR(X167="full",X167="reduced"),J167&gt;=Settings!$C$7,OR(O167="untested",O167&gt;=Settings!$C$8)),"B","C")))))</f>
        <v/>
      </c>
      <c r="Z167" s="11" t="str">
        <f aca="false">IF(C167="","",IF(P167&lt;&gt;"",P167,Y167))</f>
        <v/>
      </c>
    </row>
    <row r="168" customFormat="false" ht="15" hidden="false" customHeight="false" outlineLevel="0" collapsed="false">
      <c r="A168" s="9"/>
      <c r="B168" s="10" t="str">
        <f aca="false">IF(A168="","",IFERROR(INDEX(Parks!$A$2:$A$255,MATCH(A168,Parks!$B$2:$B$255,0)),"?"))</f>
        <v/>
      </c>
      <c r="C168" s="9"/>
      <c r="D168" s="10" t="str">
        <f aca="false">IF(C168="","",IF(SUMPRODUCT(--ISNUMBER(SEARCH({"Nets","Wicket","Diamond","Softball","T-ball","Baseball","Netball","Tennis","Bocce","Pentaque","Petanque","Skate","Car Park","Pond","Bridle","Amphitheatre","Perimeter","Passive"},C168)))&gt;0,"no",IF(SUMPRODUCT(--ISNUMBER(SEARCH({"Cricket","Junior","Mini","Summer Football","Small"},C168)))&gt;0,"reduced",IF(SUMPRODUCT(--ISNUMBER(SEARCH({"Rugby","Football","League","Touch","Gaelic","Australian","Lacrosse","General Sport","Training Area","Ultimate"},C168)))&gt;0,"full","unknown"))))</f>
        <v/>
      </c>
      <c r="E168" s="9"/>
      <c r="F168" s="9"/>
      <c r="G168" s="9"/>
      <c r="H168" s="9"/>
      <c r="I168" s="12"/>
      <c r="J168" s="9"/>
      <c r="K168" s="9"/>
      <c r="L168" s="9"/>
      <c r="M168" s="9"/>
      <c r="N168" s="9"/>
      <c r="O168" s="13" t="str">
        <f aca="false">IF(C168="","",IF(N(M168)+N(N168)&lt;Settings!$C$9,"untested",M168/(M168+N168)))</f>
        <v/>
      </c>
      <c r="P168" s="9"/>
      <c r="Q168" s="9"/>
      <c r="R168" s="9"/>
      <c r="S168" s="12"/>
      <c r="T168" s="9"/>
      <c r="U168" s="9"/>
      <c r="V168" s="9"/>
      <c r="W168" s="10" t="str">
        <f aca="false">IF(C168="","",IF(OR(G168="training",G168="full"),"Yes",IF(G168="none","No","?")))</f>
        <v/>
      </c>
      <c r="X168" s="10" t="str">
        <f aca="false">IF(C168="","",IF(OR(E168="",E168="unknown"),D168,E168))</f>
        <v/>
      </c>
      <c r="Y168" s="10" t="str">
        <f aca="false">IF(C168="","",IF(OR(T168="unsuitable",T168="retired",X168="no"),"—",IF(J168="","unrated",IF(AND(X168="full",J168&gt;=Settings!$C$5,OR(O168="untested",O168&gt;=Settings!$C$6)),"A",IF(AND(OR(X168="full",X168="reduced"),J168&gt;=Settings!$C$7,OR(O168="untested",O168&gt;=Settings!$C$8)),"B","C")))))</f>
        <v/>
      </c>
      <c r="Z168" s="11" t="str">
        <f aca="false">IF(C168="","",IF(P168&lt;&gt;"",P168,Y168))</f>
        <v/>
      </c>
    </row>
    <row r="169" customFormat="false" ht="15" hidden="false" customHeight="false" outlineLevel="0" collapsed="false">
      <c r="A169" s="9"/>
      <c r="B169" s="10" t="str">
        <f aca="false">IF(A169="","",IFERROR(INDEX(Parks!$A$2:$A$255,MATCH(A169,Parks!$B$2:$B$255,0)),"?"))</f>
        <v/>
      </c>
      <c r="C169" s="9"/>
      <c r="D169" s="10" t="str">
        <f aca="false">IF(C169="","",IF(SUMPRODUCT(--ISNUMBER(SEARCH({"Nets","Wicket","Diamond","Softball","T-ball","Baseball","Netball","Tennis","Bocce","Pentaque","Petanque","Skate","Car Park","Pond","Bridle","Amphitheatre","Perimeter","Passive"},C169)))&gt;0,"no",IF(SUMPRODUCT(--ISNUMBER(SEARCH({"Cricket","Junior","Mini","Summer Football","Small"},C169)))&gt;0,"reduced",IF(SUMPRODUCT(--ISNUMBER(SEARCH({"Rugby","Football","League","Touch","Gaelic","Australian","Lacrosse","General Sport","Training Area","Ultimate"},C169)))&gt;0,"full","unknown"))))</f>
        <v/>
      </c>
      <c r="E169" s="9"/>
      <c r="F169" s="9"/>
      <c r="G169" s="9"/>
      <c r="H169" s="9"/>
      <c r="I169" s="12"/>
      <c r="J169" s="9"/>
      <c r="K169" s="9"/>
      <c r="L169" s="9"/>
      <c r="M169" s="9"/>
      <c r="N169" s="9"/>
      <c r="O169" s="13" t="str">
        <f aca="false">IF(C169="","",IF(N(M169)+N(N169)&lt;Settings!$C$9,"untested",M169/(M169+N169)))</f>
        <v/>
      </c>
      <c r="P169" s="9"/>
      <c r="Q169" s="9"/>
      <c r="R169" s="9"/>
      <c r="S169" s="12"/>
      <c r="T169" s="9"/>
      <c r="U169" s="9"/>
      <c r="V169" s="9"/>
      <c r="W169" s="10" t="str">
        <f aca="false">IF(C169="","",IF(OR(G169="training",G169="full"),"Yes",IF(G169="none","No","?")))</f>
        <v/>
      </c>
      <c r="X169" s="10" t="str">
        <f aca="false">IF(C169="","",IF(OR(E169="",E169="unknown"),D169,E169))</f>
        <v/>
      </c>
      <c r="Y169" s="10" t="str">
        <f aca="false">IF(C169="","",IF(OR(T169="unsuitable",T169="retired",X169="no"),"—",IF(J169="","unrated",IF(AND(X169="full",J169&gt;=Settings!$C$5,OR(O169="untested",O169&gt;=Settings!$C$6)),"A",IF(AND(OR(X169="full",X169="reduced"),J169&gt;=Settings!$C$7,OR(O169="untested",O169&gt;=Settings!$C$8)),"B","C")))))</f>
        <v/>
      </c>
      <c r="Z169" s="11" t="str">
        <f aca="false">IF(C169="","",IF(P169&lt;&gt;"",P169,Y169))</f>
        <v/>
      </c>
    </row>
    <row r="170" customFormat="false" ht="15" hidden="false" customHeight="false" outlineLevel="0" collapsed="false">
      <c r="A170" s="9"/>
      <c r="B170" s="10" t="str">
        <f aca="false">IF(A170="","",IFERROR(INDEX(Parks!$A$2:$A$255,MATCH(A170,Parks!$B$2:$B$255,0)),"?"))</f>
        <v/>
      </c>
      <c r="C170" s="9"/>
      <c r="D170" s="10" t="str">
        <f aca="false">IF(C170="","",IF(SUMPRODUCT(--ISNUMBER(SEARCH({"Nets","Wicket","Diamond","Softball","T-ball","Baseball","Netball","Tennis","Bocce","Pentaque","Petanque","Skate","Car Park","Pond","Bridle","Amphitheatre","Perimeter","Passive"},C170)))&gt;0,"no",IF(SUMPRODUCT(--ISNUMBER(SEARCH({"Cricket","Junior","Mini","Summer Football","Small"},C170)))&gt;0,"reduced",IF(SUMPRODUCT(--ISNUMBER(SEARCH({"Rugby","Football","League","Touch","Gaelic","Australian","Lacrosse","General Sport","Training Area","Ultimate"},C170)))&gt;0,"full","unknown"))))</f>
        <v/>
      </c>
      <c r="E170" s="9"/>
      <c r="F170" s="9"/>
      <c r="G170" s="9"/>
      <c r="H170" s="9"/>
      <c r="I170" s="12"/>
      <c r="J170" s="9"/>
      <c r="K170" s="9"/>
      <c r="L170" s="9"/>
      <c r="M170" s="9"/>
      <c r="N170" s="9"/>
      <c r="O170" s="13" t="str">
        <f aca="false">IF(C170="","",IF(N(M170)+N(N170)&lt;Settings!$C$9,"untested",M170/(M170+N170)))</f>
        <v/>
      </c>
      <c r="P170" s="9"/>
      <c r="Q170" s="9"/>
      <c r="R170" s="9"/>
      <c r="S170" s="12"/>
      <c r="T170" s="9"/>
      <c r="U170" s="9"/>
      <c r="V170" s="9"/>
      <c r="W170" s="10" t="str">
        <f aca="false">IF(C170="","",IF(OR(G170="training",G170="full"),"Yes",IF(G170="none","No","?")))</f>
        <v/>
      </c>
      <c r="X170" s="10" t="str">
        <f aca="false">IF(C170="","",IF(OR(E170="",E170="unknown"),D170,E170))</f>
        <v/>
      </c>
      <c r="Y170" s="10" t="str">
        <f aca="false">IF(C170="","",IF(OR(T170="unsuitable",T170="retired",X170="no"),"—",IF(J170="","unrated",IF(AND(X170="full",J170&gt;=Settings!$C$5,OR(O170="untested",O170&gt;=Settings!$C$6)),"A",IF(AND(OR(X170="full",X170="reduced"),J170&gt;=Settings!$C$7,OR(O170="untested",O170&gt;=Settings!$C$8)),"B","C")))))</f>
        <v/>
      </c>
      <c r="Z170" s="11" t="str">
        <f aca="false">IF(C170="","",IF(P170&lt;&gt;"",P170,Y170))</f>
        <v/>
      </c>
    </row>
    <row r="171" customFormat="false" ht="15" hidden="false" customHeight="false" outlineLevel="0" collapsed="false">
      <c r="A171" s="9"/>
      <c r="B171" s="10" t="str">
        <f aca="false">IF(A171="","",IFERROR(INDEX(Parks!$A$2:$A$255,MATCH(A171,Parks!$B$2:$B$255,0)),"?"))</f>
        <v/>
      </c>
      <c r="C171" s="9"/>
      <c r="D171" s="10" t="str">
        <f aca="false">IF(C171="","",IF(SUMPRODUCT(--ISNUMBER(SEARCH({"Nets","Wicket","Diamond","Softball","T-ball","Baseball","Netball","Tennis","Bocce","Pentaque","Petanque","Skate","Car Park","Pond","Bridle","Amphitheatre","Perimeter","Passive"},C171)))&gt;0,"no",IF(SUMPRODUCT(--ISNUMBER(SEARCH({"Cricket","Junior","Mini","Summer Football","Small"},C171)))&gt;0,"reduced",IF(SUMPRODUCT(--ISNUMBER(SEARCH({"Rugby","Football","League","Touch","Gaelic","Australian","Lacrosse","General Sport","Training Area","Ultimate"},C171)))&gt;0,"full","unknown"))))</f>
        <v/>
      </c>
      <c r="E171" s="9"/>
      <c r="F171" s="9"/>
      <c r="G171" s="9"/>
      <c r="H171" s="9"/>
      <c r="I171" s="12"/>
      <c r="J171" s="9"/>
      <c r="K171" s="9"/>
      <c r="L171" s="9"/>
      <c r="M171" s="9"/>
      <c r="N171" s="9"/>
      <c r="O171" s="13" t="str">
        <f aca="false">IF(C171="","",IF(N(M171)+N(N171)&lt;Settings!$C$9,"untested",M171/(M171+N171)))</f>
        <v/>
      </c>
      <c r="P171" s="9"/>
      <c r="Q171" s="9"/>
      <c r="R171" s="9"/>
      <c r="S171" s="12"/>
      <c r="T171" s="9"/>
      <c r="U171" s="9"/>
      <c r="V171" s="9"/>
      <c r="W171" s="10" t="str">
        <f aca="false">IF(C171="","",IF(OR(G171="training",G171="full"),"Yes",IF(G171="none","No","?")))</f>
        <v/>
      </c>
      <c r="X171" s="10" t="str">
        <f aca="false">IF(C171="","",IF(OR(E171="",E171="unknown"),D171,E171))</f>
        <v/>
      </c>
      <c r="Y171" s="10" t="str">
        <f aca="false">IF(C171="","",IF(OR(T171="unsuitable",T171="retired",X171="no"),"—",IF(J171="","unrated",IF(AND(X171="full",J171&gt;=Settings!$C$5,OR(O171="untested",O171&gt;=Settings!$C$6)),"A",IF(AND(OR(X171="full",X171="reduced"),J171&gt;=Settings!$C$7,OR(O171="untested",O171&gt;=Settings!$C$8)),"B","C")))))</f>
        <v/>
      </c>
      <c r="Z171" s="11" t="str">
        <f aca="false">IF(C171="","",IF(P171&lt;&gt;"",P171,Y171))</f>
        <v/>
      </c>
    </row>
    <row r="172" customFormat="false" ht="15" hidden="false" customHeight="false" outlineLevel="0" collapsed="false">
      <c r="A172" s="9"/>
      <c r="B172" s="10" t="str">
        <f aca="false">IF(A172="","",IFERROR(INDEX(Parks!$A$2:$A$255,MATCH(A172,Parks!$B$2:$B$255,0)),"?"))</f>
        <v/>
      </c>
      <c r="C172" s="9"/>
      <c r="D172" s="10" t="str">
        <f aca="false">IF(C172="","",IF(SUMPRODUCT(--ISNUMBER(SEARCH({"Nets","Wicket","Diamond","Softball","T-ball","Baseball","Netball","Tennis","Bocce","Pentaque","Petanque","Skate","Car Park","Pond","Bridle","Amphitheatre","Perimeter","Passive"},C172)))&gt;0,"no",IF(SUMPRODUCT(--ISNUMBER(SEARCH({"Cricket","Junior","Mini","Summer Football","Small"},C172)))&gt;0,"reduced",IF(SUMPRODUCT(--ISNUMBER(SEARCH({"Rugby","Football","League","Touch","Gaelic","Australian","Lacrosse","General Sport","Training Area","Ultimate"},C172)))&gt;0,"full","unknown"))))</f>
        <v/>
      </c>
      <c r="E172" s="9"/>
      <c r="F172" s="9"/>
      <c r="G172" s="9"/>
      <c r="H172" s="9"/>
      <c r="I172" s="12"/>
      <c r="J172" s="9"/>
      <c r="K172" s="9"/>
      <c r="L172" s="9"/>
      <c r="M172" s="9"/>
      <c r="N172" s="9"/>
      <c r="O172" s="13" t="str">
        <f aca="false">IF(C172="","",IF(N(M172)+N(N172)&lt;Settings!$C$9,"untested",M172/(M172+N172)))</f>
        <v/>
      </c>
      <c r="P172" s="9"/>
      <c r="Q172" s="9"/>
      <c r="R172" s="9"/>
      <c r="S172" s="12"/>
      <c r="T172" s="9"/>
      <c r="U172" s="9"/>
      <c r="V172" s="9"/>
      <c r="W172" s="10" t="str">
        <f aca="false">IF(C172="","",IF(OR(G172="training",G172="full"),"Yes",IF(G172="none","No","?")))</f>
        <v/>
      </c>
      <c r="X172" s="10" t="str">
        <f aca="false">IF(C172="","",IF(OR(E172="",E172="unknown"),D172,E172))</f>
        <v/>
      </c>
      <c r="Y172" s="10" t="str">
        <f aca="false">IF(C172="","",IF(OR(T172="unsuitable",T172="retired",X172="no"),"—",IF(J172="","unrated",IF(AND(X172="full",J172&gt;=Settings!$C$5,OR(O172="untested",O172&gt;=Settings!$C$6)),"A",IF(AND(OR(X172="full",X172="reduced"),J172&gt;=Settings!$C$7,OR(O172="untested",O172&gt;=Settings!$C$8)),"B","C")))))</f>
        <v/>
      </c>
      <c r="Z172" s="11" t="str">
        <f aca="false">IF(C172="","",IF(P172&lt;&gt;"",P172,Y172))</f>
        <v/>
      </c>
    </row>
    <row r="173" customFormat="false" ht="15" hidden="false" customHeight="false" outlineLevel="0" collapsed="false">
      <c r="A173" s="9"/>
      <c r="B173" s="10" t="str">
        <f aca="false">IF(A173="","",IFERROR(INDEX(Parks!$A$2:$A$255,MATCH(A173,Parks!$B$2:$B$255,0)),"?"))</f>
        <v/>
      </c>
      <c r="C173" s="9"/>
      <c r="D173" s="10" t="str">
        <f aca="false">IF(C173="","",IF(SUMPRODUCT(--ISNUMBER(SEARCH({"Nets","Wicket","Diamond","Softball","T-ball","Baseball","Netball","Tennis","Bocce","Pentaque","Petanque","Skate","Car Park","Pond","Bridle","Amphitheatre","Perimeter","Passive"},C173)))&gt;0,"no",IF(SUMPRODUCT(--ISNUMBER(SEARCH({"Cricket","Junior","Mini","Summer Football","Small"},C173)))&gt;0,"reduced",IF(SUMPRODUCT(--ISNUMBER(SEARCH({"Rugby","Football","League","Touch","Gaelic","Australian","Lacrosse","General Sport","Training Area","Ultimate"},C173)))&gt;0,"full","unknown"))))</f>
        <v/>
      </c>
      <c r="E173" s="9"/>
      <c r="F173" s="9"/>
      <c r="G173" s="9"/>
      <c r="H173" s="9"/>
      <c r="I173" s="12"/>
      <c r="J173" s="9"/>
      <c r="K173" s="9"/>
      <c r="L173" s="9"/>
      <c r="M173" s="9"/>
      <c r="N173" s="9"/>
      <c r="O173" s="13" t="str">
        <f aca="false">IF(C173="","",IF(N(M173)+N(N173)&lt;Settings!$C$9,"untested",M173/(M173+N173)))</f>
        <v/>
      </c>
      <c r="P173" s="9"/>
      <c r="Q173" s="9"/>
      <c r="R173" s="9"/>
      <c r="S173" s="12"/>
      <c r="T173" s="9"/>
      <c r="U173" s="9"/>
      <c r="V173" s="9"/>
      <c r="W173" s="10" t="str">
        <f aca="false">IF(C173="","",IF(OR(G173="training",G173="full"),"Yes",IF(G173="none","No","?")))</f>
        <v/>
      </c>
      <c r="X173" s="10" t="str">
        <f aca="false">IF(C173="","",IF(OR(E173="",E173="unknown"),D173,E173))</f>
        <v/>
      </c>
      <c r="Y173" s="10" t="str">
        <f aca="false">IF(C173="","",IF(OR(T173="unsuitable",T173="retired",X173="no"),"—",IF(J173="","unrated",IF(AND(X173="full",J173&gt;=Settings!$C$5,OR(O173="untested",O173&gt;=Settings!$C$6)),"A",IF(AND(OR(X173="full",X173="reduced"),J173&gt;=Settings!$C$7,OR(O173="untested",O173&gt;=Settings!$C$8)),"B","C")))))</f>
        <v/>
      </c>
      <c r="Z173" s="11" t="str">
        <f aca="false">IF(C173="","",IF(P173&lt;&gt;"",P173,Y173))</f>
        <v/>
      </c>
    </row>
    <row r="174" customFormat="false" ht="15" hidden="false" customHeight="false" outlineLevel="0" collapsed="false">
      <c r="A174" s="9"/>
      <c r="B174" s="10" t="str">
        <f aca="false">IF(A174="","",IFERROR(INDEX(Parks!$A$2:$A$255,MATCH(A174,Parks!$B$2:$B$255,0)),"?"))</f>
        <v/>
      </c>
      <c r="C174" s="9"/>
      <c r="D174" s="10" t="str">
        <f aca="false">IF(C174="","",IF(SUMPRODUCT(--ISNUMBER(SEARCH({"Nets","Wicket","Diamond","Softball","T-ball","Baseball","Netball","Tennis","Bocce","Pentaque","Petanque","Skate","Car Park","Pond","Bridle","Amphitheatre","Perimeter","Passive"},C174)))&gt;0,"no",IF(SUMPRODUCT(--ISNUMBER(SEARCH({"Cricket","Junior","Mini","Summer Football","Small"},C174)))&gt;0,"reduced",IF(SUMPRODUCT(--ISNUMBER(SEARCH({"Rugby","Football","League","Touch","Gaelic","Australian","Lacrosse","General Sport","Training Area","Ultimate"},C174)))&gt;0,"full","unknown"))))</f>
        <v/>
      </c>
      <c r="E174" s="9"/>
      <c r="F174" s="9"/>
      <c r="G174" s="9"/>
      <c r="H174" s="9"/>
      <c r="I174" s="12"/>
      <c r="J174" s="9"/>
      <c r="K174" s="9"/>
      <c r="L174" s="9"/>
      <c r="M174" s="9"/>
      <c r="N174" s="9"/>
      <c r="O174" s="13" t="str">
        <f aca="false">IF(C174="","",IF(N(M174)+N(N174)&lt;Settings!$C$9,"untested",M174/(M174+N174)))</f>
        <v/>
      </c>
      <c r="P174" s="9"/>
      <c r="Q174" s="9"/>
      <c r="R174" s="9"/>
      <c r="S174" s="12"/>
      <c r="T174" s="9"/>
      <c r="U174" s="9"/>
      <c r="V174" s="9"/>
      <c r="W174" s="10" t="str">
        <f aca="false">IF(C174="","",IF(OR(G174="training",G174="full"),"Yes",IF(G174="none","No","?")))</f>
        <v/>
      </c>
      <c r="X174" s="10" t="str">
        <f aca="false">IF(C174="","",IF(OR(E174="",E174="unknown"),D174,E174))</f>
        <v/>
      </c>
      <c r="Y174" s="10" t="str">
        <f aca="false">IF(C174="","",IF(OR(T174="unsuitable",T174="retired",X174="no"),"—",IF(J174="","unrated",IF(AND(X174="full",J174&gt;=Settings!$C$5,OR(O174="untested",O174&gt;=Settings!$C$6)),"A",IF(AND(OR(X174="full",X174="reduced"),J174&gt;=Settings!$C$7,OR(O174="untested",O174&gt;=Settings!$C$8)),"B","C")))))</f>
        <v/>
      </c>
      <c r="Z174" s="11" t="str">
        <f aca="false">IF(C174="","",IF(P174&lt;&gt;"",P174,Y174))</f>
        <v/>
      </c>
    </row>
    <row r="175" customFormat="false" ht="15" hidden="false" customHeight="false" outlineLevel="0" collapsed="false">
      <c r="A175" s="9"/>
      <c r="B175" s="10" t="str">
        <f aca="false">IF(A175="","",IFERROR(INDEX(Parks!$A$2:$A$255,MATCH(A175,Parks!$B$2:$B$255,0)),"?"))</f>
        <v/>
      </c>
      <c r="C175" s="9"/>
      <c r="D175" s="10" t="str">
        <f aca="false">IF(C175="","",IF(SUMPRODUCT(--ISNUMBER(SEARCH({"Nets","Wicket","Diamond","Softball","T-ball","Baseball","Netball","Tennis","Bocce","Pentaque","Petanque","Skate","Car Park","Pond","Bridle","Amphitheatre","Perimeter","Passive"},C175)))&gt;0,"no",IF(SUMPRODUCT(--ISNUMBER(SEARCH({"Cricket","Junior","Mini","Summer Football","Small"},C175)))&gt;0,"reduced",IF(SUMPRODUCT(--ISNUMBER(SEARCH({"Rugby","Football","League","Touch","Gaelic","Australian","Lacrosse","General Sport","Training Area","Ultimate"},C175)))&gt;0,"full","unknown"))))</f>
        <v/>
      </c>
      <c r="E175" s="9"/>
      <c r="F175" s="9"/>
      <c r="G175" s="9"/>
      <c r="H175" s="9"/>
      <c r="I175" s="12"/>
      <c r="J175" s="9"/>
      <c r="K175" s="9"/>
      <c r="L175" s="9"/>
      <c r="M175" s="9"/>
      <c r="N175" s="9"/>
      <c r="O175" s="13" t="str">
        <f aca="false">IF(C175="","",IF(N(M175)+N(N175)&lt;Settings!$C$9,"untested",M175/(M175+N175)))</f>
        <v/>
      </c>
      <c r="P175" s="9"/>
      <c r="Q175" s="9"/>
      <c r="R175" s="9"/>
      <c r="S175" s="12"/>
      <c r="T175" s="9"/>
      <c r="U175" s="9"/>
      <c r="V175" s="9"/>
      <c r="W175" s="10" t="str">
        <f aca="false">IF(C175="","",IF(OR(G175="training",G175="full"),"Yes",IF(G175="none","No","?")))</f>
        <v/>
      </c>
      <c r="X175" s="10" t="str">
        <f aca="false">IF(C175="","",IF(OR(E175="",E175="unknown"),D175,E175))</f>
        <v/>
      </c>
      <c r="Y175" s="10" t="str">
        <f aca="false">IF(C175="","",IF(OR(T175="unsuitable",T175="retired",X175="no"),"—",IF(J175="","unrated",IF(AND(X175="full",J175&gt;=Settings!$C$5,OR(O175="untested",O175&gt;=Settings!$C$6)),"A",IF(AND(OR(X175="full",X175="reduced"),J175&gt;=Settings!$C$7,OR(O175="untested",O175&gt;=Settings!$C$8)),"B","C")))))</f>
        <v/>
      </c>
      <c r="Z175" s="11" t="str">
        <f aca="false">IF(C175="","",IF(P175&lt;&gt;"",P175,Y175))</f>
        <v/>
      </c>
    </row>
    <row r="176" customFormat="false" ht="15" hidden="false" customHeight="false" outlineLevel="0" collapsed="false">
      <c r="A176" s="9"/>
      <c r="B176" s="10" t="str">
        <f aca="false">IF(A176="","",IFERROR(INDEX(Parks!$A$2:$A$255,MATCH(A176,Parks!$B$2:$B$255,0)),"?"))</f>
        <v/>
      </c>
      <c r="C176" s="9"/>
      <c r="D176" s="10" t="str">
        <f aca="false">IF(C176="","",IF(SUMPRODUCT(--ISNUMBER(SEARCH({"Nets","Wicket","Diamond","Softball","T-ball","Baseball","Netball","Tennis","Bocce","Pentaque","Petanque","Skate","Car Park","Pond","Bridle","Amphitheatre","Perimeter","Passive"},C176)))&gt;0,"no",IF(SUMPRODUCT(--ISNUMBER(SEARCH({"Cricket","Junior","Mini","Summer Football","Small"},C176)))&gt;0,"reduced",IF(SUMPRODUCT(--ISNUMBER(SEARCH({"Rugby","Football","League","Touch","Gaelic","Australian","Lacrosse","General Sport","Training Area","Ultimate"},C176)))&gt;0,"full","unknown"))))</f>
        <v/>
      </c>
      <c r="E176" s="9"/>
      <c r="F176" s="9"/>
      <c r="G176" s="9"/>
      <c r="H176" s="9"/>
      <c r="I176" s="12"/>
      <c r="J176" s="9"/>
      <c r="K176" s="9"/>
      <c r="L176" s="9"/>
      <c r="M176" s="9"/>
      <c r="N176" s="9"/>
      <c r="O176" s="13" t="str">
        <f aca="false">IF(C176="","",IF(N(M176)+N(N176)&lt;Settings!$C$9,"untested",M176/(M176+N176)))</f>
        <v/>
      </c>
      <c r="P176" s="9"/>
      <c r="Q176" s="9"/>
      <c r="R176" s="9"/>
      <c r="S176" s="12"/>
      <c r="T176" s="9"/>
      <c r="U176" s="9"/>
      <c r="V176" s="9"/>
      <c r="W176" s="10" t="str">
        <f aca="false">IF(C176="","",IF(OR(G176="training",G176="full"),"Yes",IF(G176="none","No","?")))</f>
        <v/>
      </c>
      <c r="X176" s="10" t="str">
        <f aca="false">IF(C176="","",IF(OR(E176="",E176="unknown"),D176,E176))</f>
        <v/>
      </c>
      <c r="Y176" s="10" t="str">
        <f aca="false">IF(C176="","",IF(OR(T176="unsuitable",T176="retired",X176="no"),"—",IF(J176="","unrated",IF(AND(X176="full",J176&gt;=Settings!$C$5,OR(O176="untested",O176&gt;=Settings!$C$6)),"A",IF(AND(OR(X176="full",X176="reduced"),J176&gt;=Settings!$C$7,OR(O176="untested",O176&gt;=Settings!$C$8)),"B","C")))))</f>
        <v/>
      </c>
      <c r="Z176" s="11" t="str">
        <f aca="false">IF(C176="","",IF(P176&lt;&gt;"",P176,Y176))</f>
        <v/>
      </c>
    </row>
    <row r="177" customFormat="false" ht="15" hidden="false" customHeight="false" outlineLevel="0" collapsed="false">
      <c r="A177" s="9"/>
      <c r="B177" s="10" t="str">
        <f aca="false">IF(A177="","",IFERROR(INDEX(Parks!$A$2:$A$255,MATCH(A177,Parks!$B$2:$B$255,0)),"?"))</f>
        <v/>
      </c>
      <c r="C177" s="9"/>
      <c r="D177" s="10" t="str">
        <f aca="false">IF(C177="","",IF(SUMPRODUCT(--ISNUMBER(SEARCH({"Nets","Wicket","Diamond","Softball","T-ball","Baseball","Netball","Tennis","Bocce","Pentaque","Petanque","Skate","Car Park","Pond","Bridle","Amphitheatre","Perimeter","Passive"},C177)))&gt;0,"no",IF(SUMPRODUCT(--ISNUMBER(SEARCH({"Cricket","Junior","Mini","Summer Football","Small"},C177)))&gt;0,"reduced",IF(SUMPRODUCT(--ISNUMBER(SEARCH({"Rugby","Football","League","Touch","Gaelic","Australian","Lacrosse","General Sport","Training Area","Ultimate"},C177)))&gt;0,"full","unknown"))))</f>
        <v/>
      </c>
      <c r="E177" s="9"/>
      <c r="F177" s="9"/>
      <c r="G177" s="9"/>
      <c r="H177" s="9"/>
      <c r="I177" s="12"/>
      <c r="J177" s="9"/>
      <c r="K177" s="9"/>
      <c r="L177" s="9"/>
      <c r="M177" s="9"/>
      <c r="N177" s="9"/>
      <c r="O177" s="13" t="str">
        <f aca="false">IF(C177="","",IF(N(M177)+N(N177)&lt;Settings!$C$9,"untested",M177/(M177+N177)))</f>
        <v/>
      </c>
      <c r="P177" s="9"/>
      <c r="Q177" s="9"/>
      <c r="R177" s="9"/>
      <c r="S177" s="12"/>
      <c r="T177" s="9"/>
      <c r="U177" s="9"/>
      <c r="V177" s="9"/>
      <c r="W177" s="10" t="str">
        <f aca="false">IF(C177="","",IF(OR(G177="training",G177="full"),"Yes",IF(G177="none","No","?")))</f>
        <v/>
      </c>
      <c r="X177" s="10" t="str">
        <f aca="false">IF(C177="","",IF(OR(E177="",E177="unknown"),D177,E177))</f>
        <v/>
      </c>
      <c r="Y177" s="10" t="str">
        <f aca="false">IF(C177="","",IF(OR(T177="unsuitable",T177="retired",X177="no"),"—",IF(J177="","unrated",IF(AND(X177="full",J177&gt;=Settings!$C$5,OR(O177="untested",O177&gt;=Settings!$C$6)),"A",IF(AND(OR(X177="full",X177="reduced"),J177&gt;=Settings!$C$7,OR(O177="untested",O177&gt;=Settings!$C$8)),"B","C")))))</f>
        <v/>
      </c>
      <c r="Z177" s="11" t="str">
        <f aca="false">IF(C177="","",IF(P177&lt;&gt;"",P177,Y177))</f>
        <v/>
      </c>
    </row>
    <row r="178" customFormat="false" ht="15" hidden="false" customHeight="false" outlineLevel="0" collapsed="false">
      <c r="A178" s="9"/>
      <c r="B178" s="10" t="str">
        <f aca="false">IF(A178="","",IFERROR(INDEX(Parks!$A$2:$A$255,MATCH(A178,Parks!$B$2:$B$255,0)),"?"))</f>
        <v/>
      </c>
      <c r="C178" s="9"/>
      <c r="D178" s="10" t="str">
        <f aca="false">IF(C178="","",IF(SUMPRODUCT(--ISNUMBER(SEARCH({"Nets","Wicket","Diamond","Softball","T-ball","Baseball","Netball","Tennis","Bocce","Pentaque","Petanque","Skate","Car Park","Pond","Bridle","Amphitheatre","Perimeter","Passive"},C178)))&gt;0,"no",IF(SUMPRODUCT(--ISNUMBER(SEARCH({"Cricket","Junior","Mini","Summer Football","Small"},C178)))&gt;0,"reduced",IF(SUMPRODUCT(--ISNUMBER(SEARCH({"Rugby","Football","League","Touch","Gaelic","Australian","Lacrosse","General Sport","Training Area","Ultimate"},C178)))&gt;0,"full","unknown"))))</f>
        <v/>
      </c>
      <c r="E178" s="9"/>
      <c r="F178" s="9"/>
      <c r="G178" s="9"/>
      <c r="H178" s="9"/>
      <c r="I178" s="12"/>
      <c r="J178" s="9"/>
      <c r="K178" s="9"/>
      <c r="L178" s="9"/>
      <c r="M178" s="9"/>
      <c r="N178" s="9"/>
      <c r="O178" s="13" t="str">
        <f aca="false">IF(C178="","",IF(N(M178)+N(N178)&lt;Settings!$C$9,"untested",M178/(M178+N178)))</f>
        <v/>
      </c>
      <c r="P178" s="9"/>
      <c r="Q178" s="9"/>
      <c r="R178" s="9"/>
      <c r="S178" s="12"/>
      <c r="T178" s="9"/>
      <c r="U178" s="9"/>
      <c r="V178" s="9"/>
      <c r="W178" s="10" t="str">
        <f aca="false">IF(C178="","",IF(OR(G178="training",G178="full"),"Yes",IF(G178="none","No","?")))</f>
        <v/>
      </c>
      <c r="X178" s="10" t="str">
        <f aca="false">IF(C178="","",IF(OR(E178="",E178="unknown"),D178,E178))</f>
        <v/>
      </c>
      <c r="Y178" s="10" t="str">
        <f aca="false">IF(C178="","",IF(OR(T178="unsuitable",T178="retired",X178="no"),"—",IF(J178="","unrated",IF(AND(X178="full",J178&gt;=Settings!$C$5,OR(O178="untested",O178&gt;=Settings!$C$6)),"A",IF(AND(OR(X178="full",X178="reduced"),J178&gt;=Settings!$C$7,OR(O178="untested",O178&gt;=Settings!$C$8)),"B","C")))))</f>
        <v/>
      </c>
      <c r="Z178" s="11" t="str">
        <f aca="false">IF(C178="","",IF(P178&lt;&gt;"",P178,Y178))</f>
        <v/>
      </c>
    </row>
    <row r="179" customFormat="false" ht="15" hidden="false" customHeight="false" outlineLevel="0" collapsed="false">
      <c r="A179" s="9"/>
      <c r="B179" s="10" t="str">
        <f aca="false">IF(A179="","",IFERROR(INDEX(Parks!$A$2:$A$255,MATCH(A179,Parks!$B$2:$B$255,0)),"?"))</f>
        <v/>
      </c>
      <c r="C179" s="9"/>
      <c r="D179" s="10" t="str">
        <f aca="false">IF(C179="","",IF(SUMPRODUCT(--ISNUMBER(SEARCH({"Nets","Wicket","Diamond","Softball","T-ball","Baseball","Netball","Tennis","Bocce","Pentaque","Petanque","Skate","Car Park","Pond","Bridle","Amphitheatre","Perimeter","Passive"},C179)))&gt;0,"no",IF(SUMPRODUCT(--ISNUMBER(SEARCH({"Cricket","Junior","Mini","Summer Football","Small"},C179)))&gt;0,"reduced",IF(SUMPRODUCT(--ISNUMBER(SEARCH({"Rugby","Football","League","Touch","Gaelic","Australian","Lacrosse","General Sport","Training Area","Ultimate"},C179)))&gt;0,"full","unknown"))))</f>
        <v/>
      </c>
      <c r="E179" s="9"/>
      <c r="F179" s="9"/>
      <c r="G179" s="9"/>
      <c r="H179" s="9"/>
      <c r="I179" s="12"/>
      <c r="J179" s="9"/>
      <c r="K179" s="9"/>
      <c r="L179" s="9"/>
      <c r="M179" s="9"/>
      <c r="N179" s="9"/>
      <c r="O179" s="13" t="str">
        <f aca="false">IF(C179="","",IF(N(M179)+N(N179)&lt;Settings!$C$9,"untested",M179/(M179+N179)))</f>
        <v/>
      </c>
      <c r="P179" s="9"/>
      <c r="Q179" s="9"/>
      <c r="R179" s="9"/>
      <c r="S179" s="12"/>
      <c r="T179" s="9"/>
      <c r="U179" s="9"/>
      <c r="V179" s="9"/>
      <c r="W179" s="10" t="str">
        <f aca="false">IF(C179="","",IF(OR(G179="training",G179="full"),"Yes",IF(G179="none","No","?")))</f>
        <v/>
      </c>
      <c r="X179" s="10" t="str">
        <f aca="false">IF(C179="","",IF(OR(E179="",E179="unknown"),D179,E179))</f>
        <v/>
      </c>
      <c r="Y179" s="10" t="str">
        <f aca="false">IF(C179="","",IF(OR(T179="unsuitable",T179="retired",X179="no"),"—",IF(J179="","unrated",IF(AND(X179="full",J179&gt;=Settings!$C$5,OR(O179="untested",O179&gt;=Settings!$C$6)),"A",IF(AND(OR(X179="full",X179="reduced"),J179&gt;=Settings!$C$7,OR(O179="untested",O179&gt;=Settings!$C$8)),"B","C")))))</f>
        <v/>
      </c>
      <c r="Z179" s="11" t="str">
        <f aca="false">IF(C179="","",IF(P179&lt;&gt;"",P179,Y179))</f>
        <v/>
      </c>
    </row>
    <row r="180" customFormat="false" ht="15" hidden="false" customHeight="false" outlineLevel="0" collapsed="false">
      <c r="A180" s="9"/>
      <c r="B180" s="10" t="str">
        <f aca="false">IF(A180="","",IFERROR(INDEX(Parks!$A$2:$A$255,MATCH(A180,Parks!$B$2:$B$255,0)),"?"))</f>
        <v/>
      </c>
      <c r="C180" s="9"/>
      <c r="D180" s="10" t="str">
        <f aca="false">IF(C180="","",IF(SUMPRODUCT(--ISNUMBER(SEARCH({"Nets","Wicket","Diamond","Softball","T-ball","Baseball","Netball","Tennis","Bocce","Pentaque","Petanque","Skate","Car Park","Pond","Bridle","Amphitheatre","Perimeter","Passive"},C180)))&gt;0,"no",IF(SUMPRODUCT(--ISNUMBER(SEARCH({"Cricket","Junior","Mini","Summer Football","Small"},C180)))&gt;0,"reduced",IF(SUMPRODUCT(--ISNUMBER(SEARCH({"Rugby","Football","League","Touch","Gaelic","Australian","Lacrosse","General Sport","Training Area","Ultimate"},C180)))&gt;0,"full","unknown"))))</f>
        <v/>
      </c>
      <c r="E180" s="9"/>
      <c r="F180" s="9"/>
      <c r="G180" s="9"/>
      <c r="H180" s="9"/>
      <c r="I180" s="12"/>
      <c r="J180" s="9"/>
      <c r="K180" s="9"/>
      <c r="L180" s="9"/>
      <c r="M180" s="9"/>
      <c r="N180" s="9"/>
      <c r="O180" s="13" t="str">
        <f aca="false">IF(C180="","",IF(N(M180)+N(N180)&lt;Settings!$C$9,"untested",M180/(M180+N180)))</f>
        <v/>
      </c>
      <c r="P180" s="9"/>
      <c r="Q180" s="9"/>
      <c r="R180" s="9"/>
      <c r="S180" s="12"/>
      <c r="T180" s="9"/>
      <c r="U180" s="9"/>
      <c r="V180" s="9"/>
      <c r="W180" s="10" t="str">
        <f aca="false">IF(C180="","",IF(OR(G180="training",G180="full"),"Yes",IF(G180="none","No","?")))</f>
        <v/>
      </c>
      <c r="X180" s="10" t="str">
        <f aca="false">IF(C180="","",IF(OR(E180="",E180="unknown"),D180,E180))</f>
        <v/>
      </c>
      <c r="Y180" s="10" t="str">
        <f aca="false">IF(C180="","",IF(OR(T180="unsuitable",T180="retired",X180="no"),"—",IF(J180="","unrated",IF(AND(X180="full",J180&gt;=Settings!$C$5,OR(O180="untested",O180&gt;=Settings!$C$6)),"A",IF(AND(OR(X180="full",X180="reduced"),J180&gt;=Settings!$C$7,OR(O180="untested",O180&gt;=Settings!$C$8)),"B","C")))))</f>
        <v/>
      </c>
      <c r="Z180" s="11" t="str">
        <f aca="false">IF(C180="","",IF(P180&lt;&gt;"",P180,Y180))</f>
        <v/>
      </c>
    </row>
    <row r="181" customFormat="false" ht="15" hidden="false" customHeight="false" outlineLevel="0" collapsed="false">
      <c r="A181" s="9"/>
      <c r="B181" s="10" t="str">
        <f aca="false">IF(A181="","",IFERROR(INDEX(Parks!$A$2:$A$255,MATCH(A181,Parks!$B$2:$B$255,0)),"?"))</f>
        <v/>
      </c>
      <c r="C181" s="9"/>
      <c r="D181" s="10" t="str">
        <f aca="false">IF(C181="","",IF(SUMPRODUCT(--ISNUMBER(SEARCH({"Nets","Wicket","Diamond","Softball","T-ball","Baseball","Netball","Tennis","Bocce","Pentaque","Petanque","Skate","Car Park","Pond","Bridle","Amphitheatre","Perimeter","Passive"},C181)))&gt;0,"no",IF(SUMPRODUCT(--ISNUMBER(SEARCH({"Cricket","Junior","Mini","Summer Football","Small"},C181)))&gt;0,"reduced",IF(SUMPRODUCT(--ISNUMBER(SEARCH({"Rugby","Football","League","Touch","Gaelic","Australian","Lacrosse","General Sport","Training Area","Ultimate"},C181)))&gt;0,"full","unknown"))))</f>
        <v/>
      </c>
      <c r="E181" s="9"/>
      <c r="F181" s="9"/>
      <c r="G181" s="9"/>
      <c r="H181" s="9"/>
      <c r="I181" s="12"/>
      <c r="J181" s="9"/>
      <c r="K181" s="9"/>
      <c r="L181" s="9"/>
      <c r="M181" s="9"/>
      <c r="N181" s="9"/>
      <c r="O181" s="13" t="str">
        <f aca="false">IF(C181="","",IF(N(M181)+N(N181)&lt;Settings!$C$9,"untested",M181/(M181+N181)))</f>
        <v/>
      </c>
      <c r="P181" s="9"/>
      <c r="Q181" s="9"/>
      <c r="R181" s="9"/>
      <c r="S181" s="12"/>
      <c r="T181" s="9"/>
      <c r="U181" s="9"/>
      <c r="V181" s="9"/>
      <c r="W181" s="10" t="str">
        <f aca="false">IF(C181="","",IF(OR(G181="training",G181="full"),"Yes",IF(G181="none","No","?")))</f>
        <v/>
      </c>
      <c r="X181" s="10" t="str">
        <f aca="false">IF(C181="","",IF(OR(E181="",E181="unknown"),D181,E181))</f>
        <v/>
      </c>
      <c r="Y181" s="10" t="str">
        <f aca="false">IF(C181="","",IF(OR(T181="unsuitable",T181="retired",X181="no"),"—",IF(J181="","unrated",IF(AND(X181="full",J181&gt;=Settings!$C$5,OR(O181="untested",O181&gt;=Settings!$C$6)),"A",IF(AND(OR(X181="full",X181="reduced"),J181&gt;=Settings!$C$7,OR(O181="untested",O181&gt;=Settings!$C$8)),"B","C")))))</f>
        <v/>
      </c>
      <c r="Z181" s="11" t="str">
        <f aca="false">IF(C181="","",IF(P181&lt;&gt;"",P181,Y181))</f>
        <v/>
      </c>
    </row>
    <row r="182" customFormat="false" ht="15" hidden="false" customHeight="false" outlineLevel="0" collapsed="false">
      <c r="A182" s="9"/>
      <c r="B182" s="10" t="str">
        <f aca="false">IF(A182="","",IFERROR(INDEX(Parks!$A$2:$A$255,MATCH(A182,Parks!$B$2:$B$255,0)),"?"))</f>
        <v/>
      </c>
      <c r="C182" s="9"/>
      <c r="D182" s="10" t="str">
        <f aca="false">IF(C182="","",IF(SUMPRODUCT(--ISNUMBER(SEARCH({"Nets","Wicket","Diamond","Softball","T-ball","Baseball","Netball","Tennis","Bocce","Pentaque","Petanque","Skate","Car Park","Pond","Bridle","Amphitheatre","Perimeter","Passive"},C182)))&gt;0,"no",IF(SUMPRODUCT(--ISNUMBER(SEARCH({"Cricket","Junior","Mini","Summer Football","Small"},C182)))&gt;0,"reduced",IF(SUMPRODUCT(--ISNUMBER(SEARCH({"Rugby","Football","League","Touch","Gaelic","Australian","Lacrosse","General Sport","Training Area","Ultimate"},C182)))&gt;0,"full","unknown"))))</f>
        <v/>
      </c>
      <c r="E182" s="9"/>
      <c r="F182" s="9"/>
      <c r="G182" s="9"/>
      <c r="H182" s="9"/>
      <c r="I182" s="12"/>
      <c r="J182" s="9"/>
      <c r="K182" s="9"/>
      <c r="L182" s="9"/>
      <c r="M182" s="9"/>
      <c r="N182" s="9"/>
      <c r="O182" s="13" t="str">
        <f aca="false">IF(C182="","",IF(N(M182)+N(N182)&lt;Settings!$C$9,"untested",M182/(M182+N182)))</f>
        <v/>
      </c>
      <c r="P182" s="9"/>
      <c r="Q182" s="9"/>
      <c r="R182" s="9"/>
      <c r="S182" s="12"/>
      <c r="T182" s="9"/>
      <c r="U182" s="9"/>
      <c r="V182" s="9"/>
      <c r="W182" s="10" t="str">
        <f aca="false">IF(C182="","",IF(OR(G182="training",G182="full"),"Yes",IF(G182="none","No","?")))</f>
        <v/>
      </c>
      <c r="X182" s="10" t="str">
        <f aca="false">IF(C182="","",IF(OR(E182="",E182="unknown"),D182,E182))</f>
        <v/>
      </c>
      <c r="Y182" s="10" t="str">
        <f aca="false">IF(C182="","",IF(OR(T182="unsuitable",T182="retired",X182="no"),"—",IF(J182="","unrated",IF(AND(X182="full",J182&gt;=Settings!$C$5,OR(O182="untested",O182&gt;=Settings!$C$6)),"A",IF(AND(OR(X182="full",X182="reduced"),J182&gt;=Settings!$C$7,OR(O182="untested",O182&gt;=Settings!$C$8)),"B","C")))))</f>
        <v/>
      </c>
      <c r="Z182" s="11" t="str">
        <f aca="false">IF(C182="","",IF(P182&lt;&gt;"",P182,Y182))</f>
        <v/>
      </c>
    </row>
    <row r="183" customFormat="false" ht="15" hidden="false" customHeight="false" outlineLevel="0" collapsed="false">
      <c r="A183" s="9"/>
      <c r="B183" s="10" t="str">
        <f aca="false">IF(A183="","",IFERROR(INDEX(Parks!$A$2:$A$255,MATCH(A183,Parks!$B$2:$B$255,0)),"?"))</f>
        <v/>
      </c>
      <c r="C183" s="9"/>
      <c r="D183" s="10" t="str">
        <f aca="false">IF(C183="","",IF(SUMPRODUCT(--ISNUMBER(SEARCH({"Nets","Wicket","Diamond","Softball","T-ball","Baseball","Netball","Tennis","Bocce","Pentaque","Petanque","Skate","Car Park","Pond","Bridle","Amphitheatre","Perimeter","Passive"},C183)))&gt;0,"no",IF(SUMPRODUCT(--ISNUMBER(SEARCH({"Cricket","Junior","Mini","Summer Football","Small"},C183)))&gt;0,"reduced",IF(SUMPRODUCT(--ISNUMBER(SEARCH({"Rugby","Football","League","Touch","Gaelic","Australian","Lacrosse","General Sport","Training Area","Ultimate"},C183)))&gt;0,"full","unknown"))))</f>
        <v/>
      </c>
      <c r="E183" s="9"/>
      <c r="F183" s="9"/>
      <c r="G183" s="9"/>
      <c r="H183" s="9"/>
      <c r="I183" s="12"/>
      <c r="J183" s="9"/>
      <c r="K183" s="9"/>
      <c r="L183" s="9"/>
      <c r="M183" s="9"/>
      <c r="N183" s="9"/>
      <c r="O183" s="13" t="str">
        <f aca="false">IF(C183="","",IF(N(M183)+N(N183)&lt;Settings!$C$9,"untested",M183/(M183+N183)))</f>
        <v/>
      </c>
      <c r="P183" s="9"/>
      <c r="Q183" s="9"/>
      <c r="R183" s="9"/>
      <c r="S183" s="12"/>
      <c r="T183" s="9"/>
      <c r="U183" s="9"/>
      <c r="V183" s="9"/>
      <c r="W183" s="10" t="str">
        <f aca="false">IF(C183="","",IF(OR(G183="training",G183="full"),"Yes",IF(G183="none","No","?")))</f>
        <v/>
      </c>
      <c r="X183" s="10" t="str">
        <f aca="false">IF(C183="","",IF(OR(E183="",E183="unknown"),D183,E183))</f>
        <v/>
      </c>
      <c r="Y183" s="10" t="str">
        <f aca="false">IF(C183="","",IF(OR(T183="unsuitable",T183="retired",X183="no"),"—",IF(J183="","unrated",IF(AND(X183="full",J183&gt;=Settings!$C$5,OR(O183="untested",O183&gt;=Settings!$C$6)),"A",IF(AND(OR(X183="full",X183="reduced"),J183&gt;=Settings!$C$7,OR(O183="untested",O183&gt;=Settings!$C$8)),"B","C")))))</f>
        <v/>
      </c>
      <c r="Z183" s="11" t="str">
        <f aca="false">IF(C183="","",IF(P183&lt;&gt;"",P183,Y183))</f>
        <v/>
      </c>
    </row>
    <row r="184" customFormat="false" ht="15" hidden="false" customHeight="false" outlineLevel="0" collapsed="false">
      <c r="A184" s="9"/>
      <c r="B184" s="10" t="str">
        <f aca="false">IF(A184="","",IFERROR(INDEX(Parks!$A$2:$A$255,MATCH(A184,Parks!$B$2:$B$255,0)),"?"))</f>
        <v/>
      </c>
      <c r="C184" s="9"/>
      <c r="D184" s="10" t="str">
        <f aca="false">IF(C184="","",IF(SUMPRODUCT(--ISNUMBER(SEARCH({"Nets","Wicket","Diamond","Softball","T-ball","Baseball","Netball","Tennis","Bocce","Pentaque","Petanque","Skate","Car Park","Pond","Bridle","Amphitheatre","Perimeter","Passive"},C184)))&gt;0,"no",IF(SUMPRODUCT(--ISNUMBER(SEARCH({"Cricket","Junior","Mini","Summer Football","Small"},C184)))&gt;0,"reduced",IF(SUMPRODUCT(--ISNUMBER(SEARCH({"Rugby","Football","League","Touch","Gaelic","Australian","Lacrosse","General Sport","Training Area","Ultimate"},C184)))&gt;0,"full","unknown"))))</f>
        <v/>
      </c>
      <c r="E184" s="9"/>
      <c r="F184" s="9"/>
      <c r="G184" s="9"/>
      <c r="H184" s="9"/>
      <c r="I184" s="12"/>
      <c r="J184" s="9"/>
      <c r="K184" s="9"/>
      <c r="L184" s="9"/>
      <c r="M184" s="9"/>
      <c r="N184" s="9"/>
      <c r="O184" s="13" t="str">
        <f aca="false">IF(C184="","",IF(N(M184)+N(N184)&lt;Settings!$C$9,"untested",M184/(M184+N184)))</f>
        <v/>
      </c>
      <c r="P184" s="9"/>
      <c r="Q184" s="9"/>
      <c r="R184" s="9"/>
      <c r="S184" s="12"/>
      <c r="T184" s="9"/>
      <c r="U184" s="9"/>
      <c r="V184" s="9"/>
      <c r="W184" s="10" t="str">
        <f aca="false">IF(C184="","",IF(OR(G184="training",G184="full"),"Yes",IF(G184="none","No","?")))</f>
        <v/>
      </c>
      <c r="X184" s="10" t="str">
        <f aca="false">IF(C184="","",IF(OR(E184="",E184="unknown"),D184,E184))</f>
        <v/>
      </c>
      <c r="Y184" s="10" t="str">
        <f aca="false">IF(C184="","",IF(OR(T184="unsuitable",T184="retired",X184="no"),"—",IF(J184="","unrated",IF(AND(X184="full",J184&gt;=Settings!$C$5,OR(O184="untested",O184&gt;=Settings!$C$6)),"A",IF(AND(OR(X184="full",X184="reduced"),J184&gt;=Settings!$C$7,OR(O184="untested",O184&gt;=Settings!$C$8)),"B","C")))))</f>
        <v/>
      </c>
      <c r="Z184" s="11" t="str">
        <f aca="false">IF(C184="","",IF(P184&lt;&gt;"",P184,Y184))</f>
        <v/>
      </c>
    </row>
    <row r="185" customFormat="false" ht="15" hidden="false" customHeight="false" outlineLevel="0" collapsed="false">
      <c r="A185" s="9"/>
      <c r="B185" s="10" t="str">
        <f aca="false">IF(A185="","",IFERROR(INDEX(Parks!$A$2:$A$255,MATCH(A185,Parks!$B$2:$B$255,0)),"?"))</f>
        <v/>
      </c>
      <c r="C185" s="9"/>
      <c r="D185" s="10" t="str">
        <f aca="false">IF(C185="","",IF(SUMPRODUCT(--ISNUMBER(SEARCH({"Nets","Wicket","Diamond","Softball","T-ball","Baseball","Netball","Tennis","Bocce","Pentaque","Petanque","Skate","Car Park","Pond","Bridle","Amphitheatre","Perimeter","Passive"},C185)))&gt;0,"no",IF(SUMPRODUCT(--ISNUMBER(SEARCH({"Cricket","Junior","Mini","Summer Football","Small"},C185)))&gt;0,"reduced",IF(SUMPRODUCT(--ISNUMBER(SEARCH({"Rugby","Football","League","Touch","Gaelic","Australian","Lacrosse","General Sport","Training Area","Ultimate"},C185)))&gt;0,"full","unknown"))))</f>
        <v/>
      </c>
      <c r="E185" s="9"/>
      <c r="F185" s="9"/>
      <c r="G185" s="9"/>
      <c r="H185" s="9"/>
      <c r="I185" s="12"/>
      <c r="J185" s="9"/>
      <c r="K185" s="9"/>
      <c r="L185" s="9"/>
      <c r="M185" s="9"/>
      <c r="N185" s="9"/>
      <c r="O185" s="13" t="str">
        <f aca="false">IF(C185="","",IF(N(M185)+N(N185)&lt;Settings!$C$9,"untested",M185/(M185+N185)))</f>
        <v/>
      </c>
      <c r="P185" s="9"/>
      <c r="Q185" s="9"/>
      <c r="R185" s="9"/>
      <c r="S185" s="12"/>
      <c r="T185" s="9"/>
      <c r="U185" s="9"/>
      <c r="V185" s="9"/>
      <c r="W185" s="10" t="str">
        <f aca="false">IF(C185="","",IF(OR(G185="training",G185="full"),"Yes",IF(G185="none","No","?")))</f>
        <v/>
      </c>
      <c r="X185" s="10" t="str">
        <f aca="false">IF(C185="","",IF(OR(E185="",E185="unknown"),D185,E185))</f>
        <v/>
      </c>
      <c r="Y185" s="10" t="str">
        <f aca="false">IF(C185="","",IF(OR(T185="unsuitable",T185="retired",X185="no"),"—",IF(J185="","unrated",IF(AND(X185="full",J185&gt;=Settings!$C$5,OR(O185="untested",O185&gt;=Settings!$C$6)),"A",IF(AND(OR(X185="full",X185="reduced"),J185&gt;=Settings!$C$7,OR(O185="untested",O185&gt;=Settings!$C$8)),"B","C")))))</f>
        <v/>
      </c>
      <c r="Z185" s="11" t="str">
        <f aca="false">IF(C185="","",IF(P185&lt;&gt;"",P185,Y185))</f>
        <v/>
      </c>
    </row>
    <row r="186" customFormat="false" ht="15" hidden="false" customHeight="false" outlineLevel="0" collapsed="false">
      <c r="A186" s="9"/>
      <c r="B186" s="10" t="str">
        <f aca="false">IF(A186="","",IFERROR(INDEX(Parks!$A$2:$A$255,MATCH(A186,Parks!$B$2:$B$255,0)),"?"))</f>
        <v/>
      </c>
      <c r="C186" s="9"/>
      <c r="D186" s="10" t="str">
        <f aca="false">IF(C186="","",IF(SUMPRODUCT(--ISNUMBER(SEARCH({"Nets","Wicket","Diamond","Softball","T-ball","Baseball","Netball","Tennis","Bocce","Pentaque","Petanque","Skate","Car Park","Pond","Bridle","Amphitheatre","Perimeter","Passive"},C186)))&gt;0,"no",IF(SUMPRODUCT(--ISNUMBER(SEARCH({"Cricket","Junior","Mini","Summer Football","Small"},C186)))&gt;0,"reduced",IF(SUMPRODUCT(--ISNUMBER(SEARCH({"Rugby","Football","League","Touch","Gaelic","Australian","Lacrosse","General Sport","Training Area","Ultimate"},C186)))&gt;0,"full","unknown"))))</f>
        <v/>
      </c>
      <c r="E186" s="9"/>
      <c r="F186" s="9"/>
      <c r="G186" s="9"/>
      <c r="H186" s="9"/>
      <c r="I186" s="12"/>
      <c r="J186" s="9"/>
      <c r="K186" s="9"/>
      <c r="L186" s="9"/>
      <c r="M186" s="9"/>
      <c r="N186" s="9"/>
      <c r="O186" s="13" t="str">
        <f aca="false">IF(C186="","",IF(N(M186)+N(N186)&lt;Settings!$C$9,"untested",M186/(M186+N186)))</f>
        <v/>
      </c>
      <c r="P186" s="9"/>
      <c r="Q186" s="9"/>
      <c r="R186" s="9"/>
      <c r="S186" s="12"/>
      <c r="T186" s="9"/>
      <c r="U186" s="9"/>
      <c r="V186" s="9"/>
      <c r="W186" s="10" t="str">
        <f aca="false">IF(C186="","",IF(OR(G186="training",G186="full"),"Yes",IF(G186="none","No","?")))</f>
        <v/>
      </c>
      <c r="X186" s="10" t="str">
        <f aca="false">IF(C186="","",IF(OR(E186="",E186="unknown"),D186,E186))</f>
        <v/>
      </c>
      <c r="Y186" s="10" t="str">
        <f aca="false">IF(C186="","",IF(OR(T186="unsuitable",T186="retired",X186="no"),"—",IF(J186="","unrated",IF(AND(X186="full",J186&gt;=Settings!$C$5,OR(O186="untested",O186&gt;=Settings!$C$6)),"A",IF(AND(OR(X186="full",X186="reduced"),J186&gt;=Settings!$C$7,OR(O186="untested",O186&gt;=Settings!$C$8)),"B","C")))))</f>
        <v/>
      </c>
      <c r="Z186" s="11" t="str">
        <f aca="false">IF(C186="","",IF(P186&lt;&gt;"",P186,Y186))</f>
        <v/>
      </c>
    </row>
    <row r="187" customFormat="false" ht="15" hidden="false" customHeight="false" outlineLevel="0" collapsed="false">
      <c r="A187" s="9"/>
      <c r="B187" s="10" t="str">
        <f aca="false">IF(A187="","",IFERROR(INDEX(Parks!$A$2:$A$255,MATCH(A187,Parks!$B$2:$B$255,0)),"?"))</f>
        <v/>
      </c>
      <c r="C187" s="9"/>
      <c r="D187" s="10" t="str">
        <f aca="false">IF(C187="","",IF(SUMPRODUCT(--ISNUMBER(SEARCH({"Nets","Wicket","Diamond","Softball","T-ball","Baseball","Netball","Tennis","Bocce","Pentaque","Petanque","Skate","Car Park","Pond","Bridle","Amphitheatre","Perimeter","Passive"},C187)))&gt;0,"no",IF(SUMPRODUCT(--ISNUMBER(SEARCH({"Cricket","Junior","Mini","Summer Football","Small"},C187)))&gt;0,"reduced",IF(SUMPRODUCT(--ISNUMBER(SEARCH({"Rugby","Football","League","Touch","Gaelic","Australian","Lacrosse","General Sport","Training Area","Ultimate"},C187)))&gt;0,"full","unknown"))))</f>
        <v/>
      </c>
      <c r="E187" s="9"/>
      <c r="F187" s="9"/>
      <c r="G187" s="9"/>
      <c r="H187" s="9"/>
      <c r="I187" s="12"/>
      <c r="J187" s="9"/>
      <c r="K187" s="9"/>
      <c r="L187" s="9"/>
      <c r="M187" s="9"/>
      <c r="N187" s="9"/>
      <c r="O187" s="13" t="str">
        <f aca="false">IF(C187="","",IF(N(M187)+N(N187)&lt;Settings!$C$9,"untested",M187/(M187+N187)))</f>
        <v/>
      </c>
      <c r="P187" s="9"/>
      <c r="Q187" s="9"/>
      <c r="R187" s="9"/>
      <c r="S187" s="12"/>
      <c r="T187" s="9"/>
      <c r="U187" s="9"/>
      <c r="V187" s="9"/>
      <c r="W187" s="10" t="str">
        <f aca="false">IF(C187="","",IF(OR(G187="training",G187="full"),"Yes",IF(G187="none","No","?")))</f>
        <v/>
      </c>
      <c r="X187" s="10" t="str">
        <f aca="false">IF(C187="","",IF(OR(E187="",E187="unknown"),D187,E187))</f>
        <v/>
      </c>
      <c r="Y187" s="10" t="str">
        <f aca="false">IF(C187="","",IF(OR(T187="unsuitable",T187="retired",X187="no"),"—",IF(J187="","unrated",IF(AND(X187="full",J187&gt;=Settings!$C$5,OR(O187="untested",O187&gt;=Settings!$C$6)),"A",IF(AND(OR(X187="full",X187="reduced"),J187&gt;=Settings!$C$7,OR(O187="untested",O187&gt;=Settings!$C$8)),"B","C")))))</f>
        <v/>
      </c>
      <c r="Z187" s="11" t="str">
        <f aca="false">IF(C187="","",IF(P187&lt;&gt;"",P187,Y187))</f>
        <v/>
      </c>
    </row>
    <row r="188" customFormat="false" ht="15" hidden="false" customHeight="false" outlineLevel="0" collapsed="false">
      <c r="A188" s="9"/>
      <c r="B188" s="10" t="str">
        <f aca="false">IF(A188="","",IFERROR(INDEX(Parks!$A$2:$A$255,MATCH(A188,Parks!$B$2:$B$255,0)),"?"))</f>
        <v/>
      </c>
      <c r="C188" s="9"/>
      <c r="D188" s="10" t="str">
        <f aca="false">IF(C188="","",IF(SUMPRODUCT(--ISNUMBER(SEARCH({"Nets","Wicket","Diamond","Softball","T-ball","Baseball","Netball","Tennis","Bocce","Pentaque","Petanque","Skate","Car Park","Pond","Bridle","Amphitheatre","Perimeter","Passive"},C188)))&gt;0,"no",IF(SUMPRODUCT(--ISNUMBER(SEARCH({"Cricket","Junior","Mini","Summer Football","Small"},C188)))&gt;0,"reduced",IF(SUMPRODUCT(--ISNUMBER(SEARCH({"Rugby","Football","League","Touch","Gaelic","Australian","Lacrosse","General Sport","Training Area","Ultimate"},C188)))&gt;0,"full","unknown"))))</f>
        <v/>
      </c>
      <c r="E188" s="9"/>
      <c r="F188" s="9"/>
      <c r="G188" s="9"/>
      <c r="H188" s="9"/>
      <c r="I188" s="12"/>
      <c r="J188" s="9"/>
      <c r="K188" s="9"/>
      <c r="L188" s="9"/>
      <c r="M188" s="9"/>
      <c r="N188" s="9"/>
      <c r="O188" s="13" t="str">
        <f aca="false">IF(C188="","",IF(N(M188)+N(N188)&lt;Settings!$C$9,"untested",M188/(M188+N188)))</f>
        <v/>
      </c>
      <c r="P188" s="9"/>
      <c r="Q188" s="9"/>
      <c r="R188" s="9"/>
      <c r="S188" s="12"/>
      <c r="T188" s="9"/>
      <c r="U188" s="9"/>
      <c r="V188" s="9"/>
      <c r="W188" s="10" t="str">
        <f aca="false">IF(C188="","",IF(OR(G188="training",G188="full"),"Yes",IF(G188="none","No","?")))</f>
        <v/>
      </c>
      <c r="X188" s="10" t="str">
        <f aca="false">IF(C188="","",IF(OR(E188="",E188="unknown"),D188,E188))</f>
        <v/>
      </c>
      <c r="Y188" s="10" t="str">
        <f aca="false">IF(C188="","",IF(OR(T188="unsuitable",T188="retired",X188="no"),"—",IF(J188="","unrated",IF(AND(X188="full",J188&gt;=Settings!$C$5,OR(O188="untested",O188&gt;=Settings!$C$6)),"A",IF(AND(OR(X188="full",X188="reduced"),J188&gt;=Settings!$C$7,OR(O188="untested",O188&gt;=Settings!$C$8)),"B","C")))))</f>
        <v/>
      </c>
      <c r="Z188" s="11" t="str">
        <f aca="false">IF(C188="","",IF(P188&lt;&gt;"",P188,Y188))</f>
        <v/>
      </c>
    </row>
    <row r="189" customFormat="false" ht="15" hidden="false" customHeight="false" outlineLevel="0" collapsed="false">
      <c r="A189" s="9"/>
      <c r="B189" s="10" t="str">
        <f aca="false">IF(A189="","",IFERROR(INDEX(Parks!$A$2:$A$255,MATCH(A189,Parks!$B$2:$B$255,0)),"?"))</f>
        <v/>
      </c>
      <c r="C189" s="9"/>
      <c r="D189" s="10" t="str">
        <f aca="false">IF(C189="","",IF(SUMPRODUCT(--ISNUMBER(SEARCH({"Nets","Wicket","Diamond","Softball","T-ball","Baseball","Netball","Tennis","Bocce","Pentaque","Petanque","Skate","Car Park","Pond","Bridle","Amphitheatre","Perimeter","Passive"},C189)))&gt;0,"no",IF(SUMPRODUCT(--ISNUMBER(SEARCH({"Cricket","Junior","Mini","Summer Football","Small"},C189)))&gt;0,"reduced",IF(SUMPRODUCT(--ISNUMBER(SEARCH({"Rugby","Football","League","Touch","Gaelic","Australian","Lacrosse","General Sport","Training Area","Ultimate"},C189)))&gt;0,"full","unknown"))))</f>
        <v/>
      </c>
      <c r="E189" s="9"/>
      <c r="F189" s="9"/>
      <c r="G189" s="9"/>
      <c r="H189" s="9"/>
      <c r="I189" s="12"/>
      <c r="J189" s="9"/>
      <c r="K189" s="9"/>
      <c r="L189" s="9"/>
      <c r="M189" s="9"/>
      <c r="N189" s="9"/>
      <c r="O189" s="13" t="str">
        <f aca="false">IF(C189="","",IF(N(M189)+N(N189)&lt;Settings!$C$9,"untested",M189/(M189+N189)))</f>
        <v/>
      </c>
      <c r="P189" s="9"/>
      <c r="Q189" s="9"/>
      <c r="R189" s="9"/>
      <c r="S189" s="12"/>
      <c r="T189" s="9"/>
      <c r="U189" s="9"/>
      <c r="V189" s="9"/>
      <c r="W189" s="10" t="str">
        <f aca="false">IF(C189="","",IF(OR(G189="training",G189="full"),"Yes",IF(G189="none","No","?")))</f>
        <v/>
      </c>
      <c r="X189" s="10" t="str">
        <f aca="false">IF(C189="","",IF(OR(E189="",E189="unknown"),D189,E189))</f>
        <v/>
      </c>
      <c r="Y189" s="10" t="str">
        <f aca="false">IF(C189="","",IF(OR(T189="unsuitable",T189="retired",X189="no"),"—",IF(J189="","unrated",IF(AND(X189="full",J189&gt;=Settings!$C$5,OR(O189="untested",O189&gt;=Settings!$C$6)),"A",IF(AND(OR(X189="full",X189="reduced"),J189&gt;=Settings!$C$7,OR(O189="untested",O189&gt;=Settings!$C$8)),"B","C")))))</f>
        <v/>
      </c>
      <c r="Z189" s="11" t="str">
        <f aca="false">IF(C189="","",IF(P189&lt;&gt;"",P189,Y189))</f>
        <v/>
      </c>
    </row>
    <row r="190" customFormat="false" ht="15" hidden="false" customHeight="false" outlineLevel="0" collapsed="false">
      <c r="A190" s="9"/>
      <c r="B190" s="10" t="str">
        <f aca="false">IF(A190="","",IFERROR(INDEX(Parks!$A$2:$A$255,MATCH(A190,Parks!$B$2:$B$255,0)),"?"))</f>
        <v/>
      </c>
      <c r="C190" s="9"/>
      <c r="D190" s="10" t="str">
        <f aca="false">IF(C190="","",IF(SUMPRODUCT(--ISNUMBER(SEARCH({"Nets","Wicket","Diamond","Softball","T-ball","Baseball","Netball","Tennis","Bocce","Pentaque","Petanque","Skate","Car Park","Pond","Bridle","Amphitheatre","Perimeter","Passive"},C190)))&gt;0,"no",IF(SUMPRODUCT(--ISNUMBER(SEARCH({"Cricket","Junior","Mini","Summer Football","Small"},C190)))&gt;0,"reduced",IF(SUMPRODUCT(--ISNUMBER(SEARCH({"Rugby","Football","League","Touch","Gaelic","Australian","Lacrosse","General Sport","Training Area","Ultimate"},C190)))&gt;0,"full","unknown"))))</f>
        <v/>
      </c>
      <c r="E190" s="9"/>
      <c r="F190" s="9"/>
      <c r="G190" s="9"/>
      <c r="H190" s="9"/>
      <c r="I190" s="12"/>
      <c r="J190" s="9"/>
      <c r="K190" s="9"/>
      <c r="L190" s="9"/>
      <c r="M190" s="9"/>
      <c r="N190" s="9"/>
      <c r="O190" s="13" t="str">
        <f aca="false">IF(C190="","",IF(N(M190)+N(N190)&lt;Settings!$C$9,"untested",M190/(M190+N190)))</f>
        <v/>
      </c>
      <c r="P190" s="9"/>
      <c r="Q190" s="9"/>
      <c r="R190" s="9"/>
      <c r="S190" s="12"/>
      <c r="T190" s="9"/>
      <c r="U190" s="9"/>
      <c r="V190" s="9"/>
      <c r="W190" s="10" t="str">
        <f aca="false">IF(C190="","",IF(OR(G190="training",G190="full"),"Yes",IF(G190="none","No","?")))</f>
        <v/>
      </c>
      <c r="X190" s="10" t="str">
        <f aca="false">IF(C190="","",IF(OR(E190="",E190="unknown"),D190,E190))</f>
        <v/>
      </c>
      <c r="Y190" s="10" t="str">
        <f aca="false">IF(C190="","",IF(OR(T190="unsuitable",T190="retired",X190="no"),"—",IF(J190="","unrated",IF(AND(X190="full",J190&gt;=Settings!$C$5,OR(O190="untested",O190&gt;=Settings!$C$6)),"A",IF(AND(OR(X190="full",X190="reduced"),J190&gt;=Settings!$C$7,OR(O190="untested",O190&gt;=Settings!$C$8)),"B","C")))))</f>
        <v/>
      </c>
      <c r="Z190" s="11" t="str">
        <f aca="false">IF(C190="","",IF(P190&lt;&gt;"",P190,Y190))</f>
        <v/>
      </c>
    </row>
    <row r="191" customFormat="false" ht="15" hidden="false" customHeight="false" outlineLevel="0" collapsed="false">
      <c r="A191" s="9"/>
      <c r="B191" s="10" t="str">
        <f aca="false">IF(A191="","",IFERROR(INDEX(Parks!$A$2:$A$255,MATCH(A191,Parks!$B$2:$B$255,0)),"?"))</f>
        <v/>
      </c>
      <c r="C191" s="9"/>
      <c r="D191" s="10" t="str">
        <f aca="false">IF(C191="","",IF(SUMPRODUCT(--ISNUMBER(SEARCH({"Nets","Wicket","Diamond","Softball","T-ball","Baseball","Netball","Tennis","Bocce","Pentaque","Petanque","Skate","Car Park","Pond","Bridle","Amphitheatre","Perimeter","Passive"},C191)))&gt;0,"no",IF(SUMPRODUCT(--ISNUMBER(SEARCH({"Cricket","Junior","Mini","Summer Football","Small"},C191)))&gt;0,"reduced",IF(SUMPRODUCT(--ISNUMBER(SEARCH({"Rugby","Football","League","Touch","Gaelic","Australian","Lacrosse","General Sport","Training Area","Ultimate"},C191)))&gt;0,"full","unknown"))))</f>
        <v/>
      </c>
      <c r="E191" s="9"/>
      <c r="F191" s="9"/>
      <c r="G191" s="9"/>
      <c r="H191" s="9"/>
      <c r="I191" s="12"/>
      <c r="J191" s="9"/>
      <c r="K191" s="9"/>
      <c r="L191" s="9"/>
      <c r="M191" s="9"/>
      <c r="N191" s="9"/>
      <c r="O191" s="13" t="str">
        <f aca="false">IF(C191="","",IF(N(M191)+N(N191)&lt;Settings!$C$9,"untested",M191/(M191+N191)))</f>
        <v/>
      </c>
      <c r="P191" s="9"/>
      <c r="Q191" s="9"/>
      <c r="R191" s="9"/>
      <c r="S191" s="12"/>
      <c r="T191" s="9"/>
      <c r="U191" s="9"/>
      <c r="V191" s="9"/>
      <c r="W191" s="10" t="str">
        <f aca="false">IF(C191="","",IF(OR(G191="training",G191="full"),"Yes",IF(G191="none","No","?")))</f>
        <v/>
      </c>
      <c r="X191" s="10" t="str">
        <f aca="false">IF(C191="","",IF(OR(E191="",E191="unknown"),D191,E191))</f>
        <v/>
      </c>
      <c r="Y191" s="10" t="str">
        <f aca="false">IF(C191="","",IF(OR(T191="unsuitable",T191="retired",X191="no"),"—",IF(J191="","unrated",IF(AND(X191="full",J191&gt;=Settings!$C$5,OR(O191="untested",O191&gt;=Settings!$C$6)),"A",IF(AND(OR(X191="full",X191="reduced"),J191&gt;=Settings!$C$7,OR(O191="untested",O191&gt;=Settings!$C$8)),"B","C")))))</f>
        <v/>
      </c>
      <c r="Z191" s="11" t="str">
        <f aca="false">IF(C191="","",IF(P191&lt;&gt;"",P191,Y191))</f>
        <v/>
      </c>
    </row>
    <row r="192" customFormat="false" ht="15" hidden="false" customHeight="false" outlineLevel="0" collapsed="false">
      <c r="A192" s="9"/>
      <c r="B192" s="10" t="str">
        <f aca="false">IF(A192="","",IFERROR(INDEX(Parks!$A$2:$A$255,MATCH(A192,Parks!$B$2:$B$255,0)),"?"))</f>
        <v/>
      </c>
      <c r="C192" s="9"/>
      <c r="D192" s="10" t="str">
        <f aca="false">IF(C192="","",IF(SUMPRODUCT(--ISNUMBER(SEARCH({"Nets","Wicket","Diamond","Softball","T-ball","Baseball","Netball","Tennis","Bocce","Pentaque","Petanque","Skate","Car Park","Pond","Bridle","Amphitheatre","Perimeter","Passive"},C192)))&gt;0,"no",IF(SUMPRODUCT(--ISNUMBER(SEARCH({"Cricket","Junior","Mini","Summer Football","Small"},C192)))&gt;0,"reduced",IF(SUMPRODUCT(--ISNUMBER(SEARCH({"Rugby","Football","League","Touch","Gaelic","Australian","Lacrosse","General Sport","Training Area","Ultimate"},C192)))&gt;0,"full","unknown"))))</f>
        <v/>
      </c>
      <c r="E192" s="9"/>
      <c r="F192" s="9"/>
      <c r="G192" s="9"/>
      <c r="H192" s="9"/>
      <c r="I192" s="12"/>
      <c r="J192" s="9"/>
      <c r="K192" s="9"/>
      <c r="L192" s="9"/>
      <c r="M192" s="9"/>
      <c r="N192" s="9"/>
      <c r="O192" s="13" t="str">
        <f aca="false">IF(C192="","",IF(N(M192)+N(N192)&lt;Settings!$C$9,"untested",M192/(M192+N192)))</f>
        <v/>
      </c>
      <c r="P192" s="9"/>
      <c r="Q192" s="9"/>
      <c r="R192" s="9"/>
      <c r="S192" s="12"/>
      <c r="T192" s="9"/>
      <c r="U192" s="9"/>
      <c r="V192" s="9"/>
      <c r="W192" s="10" t="str">
        <f aca="false">IF(C192="","",IF(OR(G192="training",G192="full"),"Yes",IF(G192="none","No","?")))</f>
        <v/>
      </c>
      <c r="X192" s="10" t="str">
        <f aca="false">IF(C192="","",IF(OR(E192="",E192="unknown"),D192,E192))</f>
        <v/>
      </c>
      <c r="Y192" s="10" t="str">
        <f aca="false">IF(C192="","",IF(OR(T192="unsuitable",T192="retired",X192="no"),"—",IF(J192="","unrated",IF(AND(X192="full",J192&gt;=Settings!$C$5,OR(O192="untested",O192&gt;=Settings!$C$6)),"A",IF(AND(OR(X192="full",X192="reduced"),J192&gt;=Settings!$C$7,OR(O192="untested",O192&gt;=Settings!$C$8)),"B","C")))))</f>
        <v/>
      </c>
      <c r="Z192" s="11" t="str">
        <f aca="false">IF(C192="","",IF(P192&lt;&gt;"",P192,Y192))</f>
        <v/>
      </c>
    </row>
    <row r="193" customFormat="false" ht="15" hidden="false" customHeight="false" outlineLevel="0" collapsed="false">
      <c r="A193" s="9"/>
      <c r="B193" s="10" t="str">
        <f aca="false">IF(A193="","",IFERROR(INDEX(Parks!$A$2:$A$255,MATCH(A193,Parks!$B$2:$B$255,0)),"?"))</f>
        <v/>
      </c>
      <c r="C193" s="9"/>
      <c r="D193" s="10" t="str">
        <f aca="false">IF(C193="","",IF(SUMPRODUCT(--ISNUMBER(SEARCH({"Nets","Wicket","Diamond","Softball","T-ball","Baseball","Netball","Tennis","Bocce","Pentaque","Petanque","Skate","Car Park","Pond","Bridle","Amphitheatre","Perimeter","Passive"},C193)))&gt;0,"no",IF(SUMPRODUCT(--ISNUMBER(SEARCH({"Cricket","Junior","Mini","Summer Football","Small"},C193)))&gt;0,"reduced",IF(SUMPRODUCT(--ISNUMBER(SEARCH({"Rugby","Football","League","Touch","Gaelic","Australian","Lacrosse","General Sport","Training Area","Ultimate"},C193)))&gt;0,"full","unknown"))))</f>
        <v/>
      </c>
      <c r="E193" s="9"/>
      <c r="F193" s="9"/>
      <c r="G193" s="9"/>
      <c r="H193" s="9"/>
      <c r="I193" s="12"/>
      <c r="J193" s="9"/>
      <c r="K193" s="9"/>
      <c r="L193" s="9"/>
      <c r="M193" s="9"/>
      <c r="N193" s="9"/>
      <c r="O193" s="13" t="str">
        <f aca="false">IF(C193="","",IF(N(M193)+N(N193)&lt;Settings!$C$9,"untested",M193/(M193+N193)))</f>
        <v/>
      </c>
      <c r="P193" s="9"/>
      <c r="Q193" s="9"/>
      <c r="R193" s="9"/>
      <c r="S193" s="12"/>
      <c r="T193" s="9"/>
      <c r="U193" s="9"/>
      <c r="V193" s="9"/>
      <c r="W193" s="10" t="str">
        <f aca="false">IF(C193="","",IF(OR(G193="training",G193="full"),"Yes",IF(G193="none","No","?")))</f>
        <v/>
      </c>
      <c r="X193" s="10" t="str">
        <f aca="false">IF(C193="","",IF(OR(E193="",E193="unknown"),D193,E193))</f>
        <v/>
      </c>
      <c r="Y193" s="10" t="str">
        <f aca="false">IF(C193="","",IF(OR(T193="unsuitable",T193="retired",X193="no"),"—",IF(J193="","unrated",IF(AND(X193="full",J193&gt;=Settings!$C$5,OR(O193="untested",O193&gt;=Settings!$C$6)),"A",IF(AND(OR(X193="full",X193="reduced"),J193&gt;=Settings!$C$7,OR(O193="untested",O193&gt;=Settings!$C$8)),"B","C")))))</f>
        <v/>
      </c>
      <c r="Z193" s="11" t="str">
        <f aca="false">IF(C193="","",IF(P193&lt;&gt;"",P193,Y193))</f>
        <v/>
      </c>
    </row>
    <row r="194" customFormat="false" ht="15" hidden="false" customHeight="false" outlineLevel="0" collapsed="false">
      <c r="A194" s="9"/>
      <c r="B194" s="10" t="str">
        <f aca="false">IF(A194="","",IFERROR(INDEX(Parks!$A$2:$A$255,MATCH(A194,Parks!$B$2:$B$255,0)),"?"))</f>
        <v/>
      </c>
      <c r="C194" s="9"/>
      <c r="D194" s="10" t="str">
        <f aca="false">IF(C194="","",IF(SUMPRODUCT(--ISNUMBER(SEARCH({"Nets","Wicket","Diamond","Softball","T-ball","Baseball","Netball","Tennis","Bocce","Pentaque","Petanque","Skate","Car Park","Pond","Bridle","Amphitheatre","Perimeter","Passive"},C194)))&gt;0,"no",IF(SUMPRODUCT(--ISNUMBER(SEARCH({"Cricket","Junior","Mini","Summer Football","Small"},C194)))&gt;0,"reduced",IF(SUMPRODUCT(--ISNUMBER(SEARCH({"Rugby","Football","League","Touch","Gaelic","Australian","Lacrosse","General Sport","Training Area","Ultimate"},C194)))&gt;0,"full","unknown"))))</f>
        <v/>
      </c>
      <c r="E194" s="9"/>
      <c r="F194" s="9"/>
      <c r="G194" s="9"/>
      <c r="H194" s="9"/>
      <c r="I194" s="12"/>
      <c r="J194" s="9"/>
      <c r="K194" s="9"/>
      <c r="L194" s="9"/>
      <c r="M194" s="9"/>
      <c r="N194" s="9"/>
      <c r="O194" s="13" t="str">
        <f aca="false">IF(C194="","",IF(N(M194)+N(N194)&lt;Settings!$C$9,"untested",M194/(M194+N194)))</f>
        <v/>
      </c>
      <c r="P194" s="9"/>
      <c r="Q194" s="9"/>
      <c r="R194" s="9"/>
      <c r="S194" s="12"/>
      <c r="T194" s="9"/>
      <c r="U194" s="9"/>
      <c r="V194" s="9"/>
      <c r="W194" s="10" t="str">
        <f aca="false">IF(C194="","",IF(OR(G194="training",G194="full"),"Yes",IF(G194="none","No","?")))</f>
        <v/>
      </c>
      <c r="X194" s="10" t="str">
        <f aca="false">IF(C194="","",IF(OR(E194="",E194="unknown"),D194,E194))</f>
        <v/>
      </c>
      <c r="Y194" s="10" t="str">
        <f aca="false">IF(C194="","",IF(OR(T194="unsuitable",T194="retired",X194="no"),"—",IF(J194="","unrated",IF(AND(X194="full",J194&gt;=Settings!$C$5,OR(O194="untested",O194&gt;=Settings!$C$6)),"A",IF(AND(OR(X194="full",X194="reduced"),J194&gt;=Settings!$C$7,OR(O194="untested",O194&gt;=Settings!$C$8)),"B","C")))))</f>
        <v/>
      </c>
      <c r="Z194" s="11" t="str">
        <f aca="false">IF(C194="","",IF(P194&lt;&gt;"",P194,Y194))</f>
        <v/>
      </c>
    </row>
    <row r="195" customFormat="false" ht="15" hidden="false" customHeight="false" outlineLevel="0" collapsed="false">
      <c r="A195" s="9"/>
      <c r="B195" s="10" t="str">
        <f aca="false">IF(A195="","",IFERROR(INDEX(Parks!$A$2:$A$255,MATCH(A195,Parks!$B$2:$B$255,0)),"?"))</f>
        <v/>
      </c>
      <c r="C195" s="9"/>
      <c r="D195" s="10" t="str">
        <f aca="false">IF(C195="","",IF(SUMPRODUCT(--ISNUMBER(SEARCH({"Nets","Wicket","Diamond","Softball","T-ball","Baseball","Netball","Tennis","Bocce","Pentaque","Petanque","Skate","Car Park","Pond","Bridle","Amphitheatre","Perimeter","Passive"},C195)))&gt;0,"no",IF(SUMPRODUCT(--ISNUMBER(SEARCH({"Cricket","Junior","Mini","Summer Football","Small"},C195)))&gt;0,"reduced",IF(SUMPRODUCT(--ISNUMBER(SEARCH({"Rugby","Football","League","Touch","Gaelic","Australian","Lacrosse","General Sport","Training Area","Ultimate"},C195)))&gt;0,"full","unknown"))))</f>
        <v/>
      </c>
      <c r="E195" s="9"/>
      <c r="F195" s="9"/>
      <c r="G195" s="9"/>
      <c r="H195" s="9"/>
      <c r="I195" s="12"/>
      <c r="J195" s="9"/>
      <c r="K195" s="9"/>
      <c r="L195" s="9"/>
      <c r="M195" s="9"/>
      <c r="N195" s="9"/>
      <c r="O195" s="13" t="str">
        <f aca="false">IF(C195="","",IF(N(M195)+N(N195)&lt;Settings!$C$9,"untested",M195/(M195+N195)))</f>
        <v/>
      </c>
      <c r="P195" s="9"/>
      <c r="Q195" s="9"/>
      <c r="R195" s="9"/>
      <c r="S195" s="12"/>
      <c r="T195" s="9"/>
      <c r="U195" s="9"/>
      <c r="V195" s="9"/>
      <c r="W195" s="10" t="str">
        <f aca="false">IF(C195="","",IF(OR(G195="training",G195="full"),"Yes",IF(G195="none","No","?")))</f>
        <v/>
      </c>
      <c r="X195" s="10" t="str">
        <f aca="false">IF(C195="","",IF(OR(E195="",E195="unknown"),D195,E195))</f>
        <v/>
      </c>
      <c r="Y195" s="10" t="str">
        <f aca="false">IF(C195="","",IF(OR(T195="unsuitable",T195="retired",X195="no"),"—",IF(J195="","unrated",IF(AND(X195="full",J195&gt;=Settings!$C$5,OR(O195="untested",O195&gt;=Settings!$C$6)),"A",IF(AND(OR(X195="full",X195="reduced"),J195&gt;=Settings!$C$7,OR(O195="untested",O195&gt;=Settings!$C$8)),"B","C")))))</f>
        <v/>
      </c>
      <c r="Z195" s="11" t="str">
        <f aca="false">IF(C195="","",IF(P195&lt;&gt;"",P195,Y195))</f>
        <v/>
      </c>
    </row>
    <row r="196" customFormat="false" ht="15" hidden="false" customHeight="false" outlineLevel="0" collapsed="false">
      <c r="A196" s="9"/>
      <c r="B196" s="10" t="str">
        <f aca="false">IF(A196="","",IFERROR(INDEX(Parks!$A$2:$A$255,MATCH(A196,Parks!$B$2:$B$255,0)),"?"))</f>
        <v/>
      </c>
      <c r="C196" s="9"/>
      <c r="D196" s="10" t="str">
        <f aca="false">IF(C196="","",IF(SUMPRODUCT(--ISNUMBER(SEARCH({"Nets","Wicket","Diamond","Softball","T-ball","Baseball","Netball","Tennis","Bocce","Pentaque","Petanque","Skate","Car Park","Pond","Bridle","Amphitheatre","Perimeter","Passive"},C196)))&gt;0,"no",IF(SUMPRODUCT(--ISNUMBER(SEARCH({"Cricket","Junior","Mini","Summer Football","Small"},C196)))&gt;0,"reduced",IF(SUMPRODUCT(--ISNUMBER(SEARCH({"Rugby","Football","League","Touch","Gaelic","Australian","Lacrosse","General Sport","Training Area","Ultimate"},C196)))&gt;0,"full","unknown"))))</f>
        <v/>
      </c>
      <c r="E196" s="9"/>
      <c r="F196" s="9"/>
      <c r="G196" s="9"/>
      <c r="H196" s="9"/>
      <c r="I196" s="12"/>
      <c r="J196" s="9"/>
      <c r="K196" s="9"/>
      <c r="L196" s="9"/>
      <c r="M196" s="9"/>
      <c r="N196" s="9"/>
      <c r="O196" s="13" t="str">
        <f aca="false">IF(C196="","",IF(N(M196)+N(N196)&lt;Settings!$C$9,"untested",M196/(M196+N196)))</f>
        <v/>
      </c>
      <c r="P196" s="9"/>
      <c r="Q196" s="9"/>
      <c r="R196" s="9"/>
      <c r="S196" s="12"/>
      <c r="T196" s="9"/>
      <c r="U196" s="9"/>
      <c r="V196" s="9"/>
      <c r="W196" s="10" t="str">
        <f aca="false">IF(C196="","",IF(OR(G196="training",G196="full"),"Yes",IF(G196="none","No","?")))</f>
        <v/>
      </c>
      <c r="X196" s="10" t="str">
        <f aca="false">IF(C196="","",IF(OR(E196="",E196="unknown"),D196,E196))</f>
        <v/>
      </c>
      <c r="Y196" s="10" t="str">
        <f aca="false">IF(C196="","",IF(OR(T196="unsuitable",T196="retired",X196="no"),"—",IF(J196="","unrated",IF(AND(X196="full",J196&gt;=Settings!$C$5,OR(O196="untested",O196&gt;=Settings!$C$6)),"A",IF(AND(OR(X196="full",X196="reduced"),J196&gt;=Settings!$C$7,OR(O196="untested",O196&gt;=Settings!$C$8)),"B","C")))))</f>
        <v/>
      </c>
      <c r="Z196" s="11" t="str">
        <f aca="false">IF(C196="","",IF(P196&lt;&gt;"",P196,Y196))</f>
        <v/>
      </c>
    </row>
    <row r="197" customFormat="false" ht="15" hidden="false" customHeight="false" outlineLevel="0" collapsed="false">
      <c r="A197" s="9"/>
      <c r="B197" s="10" t="str">
        <f aca="false">IF(A197="","",IFERROR(INDEX(Parks!$A$2:$A$255,MATCH(A197,Parks!$B$2:$B$255,0)),"?"))</f>
        <v/>
      </c>
      <c r="C197" s="9"/>
      <c r="D197" s="10" t="str">
        <f aca="false">IF(C197="","",IF(SUMPRODUCT(--ISNUMBER(SEARCH({"Nets","Wicket","Diamond","Softball","T-ball","Baseball","Netball","Tennis","Bocce","Pentaque","Petanque","Skate","Car Park","Pond","Bridle","Amphitheatre","Perimeter","Passive"},C197)))&gt;0,"no",IF(SUMPRODUCT(--ISNUMBER(SEARCH({"Cricket","Junior","Mini","Summer Football","Small"},C197)))&gt;0,"reduced",IF(SUMPRODUCT(--ISNUMBER(SEARCH({"Rugby","Football","League","Touch","Gaelic","Australian","Lacrosse","General Sport","Training Area","Ultimate"},C197)))&gt;0,"full","unknown"))))</f>
        <v/>
      </c>
      <c r="E197" s="9"/>
      <c r="F197" s="9"/>
      <c r="G197" s="9"/>
      <c r="H197" s="9"/>
      <c r="I197" s="12"/>
      <c r="J197" s="9"/>
      <c r="K197" s="9"/>
      <c r="L197" s="9"/>
      <c r="M197" s="9"/>
      <c r="N197" s="9"/>
      <c r="O197" s="13" t="str">
        <f aca="false">IF(C197="","",IF(N(M197)+N(N197)&lt;Settings!$C$9,"untested",M197/(M197+N197)))</f>
        <v/>
      </c>
      <c r="P197" s="9"/>
      <c r="Q197" s="9"/>
      <c r="R197" s="9"/>
      <c r="S197" s="12"/>
      <c r="T197" s="9"/>
      <c r="U197" s="9"/>
      <c r="V197" s="9"/>
      <c r="W197" s="10" t="str">
        <f aca="false">IF(C197="","",IF(OR(G197="training",G197="full"),"Yes",IF(G197="none","No","?")))</f>
        <v/>
      </c>
      <c r="X197" s="10" t="str">
        <f aca="false">IF(C197="","",IF(OR(E197="",E197="unknown"),D197,E197))</f>
        <v/>
      </c>
      <c r="Y197" s="10" t="str">
        <f aca="false">IF(C197="","",IF(OR(T197="unsuitable",T197="retired",X197="no"),"—",IF(J197="","unrated",IF(AND(X197="full",J197&gt;=Settings!$C$5,OR(O197="untested",O197&gt;=Settings!$C$6)),"A",IF(AND(OR(X197="full",X197="reduced"),J197&gt;=Settings!$C$7,OR(O197="untested",O197&gt;=Settings!$C$8)),"B","C")))))</f>
        <v/>
      </c>
      <c r="Z197" s="11" t="str">
        <f aca="false">IF(C197="","",IF(P197&lt;&gt;"",P197,Y197))</f>
        <v/>
      </c>
    </row>
    <row r="198" customFormat="false" ht="15" hidden="false" customHeight="false" outlineLevel="0" collapsed="false">
      <c r="A198" s="9"/>
      <c r="B198" s="10" t="str">
        <f aca="false">IF(A198="","",IFERROR(INDEX(Parks!$A$2:$A$255,MATCH(A198,Parks!$B$2:$B$255,0)),"?"))</f>
        <v/>
      </c>
      <c r="C198" s="9"/>
      <c r="D198" s="10" t="str">
        <f aca="false">IF(C198="","",IF(SUMPRODUCT(--ISNUMBER(SEARCH({"Nets","Wicket","Diamond","Softball","T-ball","Baseball","Netball","Tennis","Bocce","Pentaque","Petanque","Skate","Car Park","Pond","Bridle","Amphitheatre","Perimeter","Passive"},C198)))&gt;0,"no",IF(SUMPRODUCT(--ISNUMBER(SEARCH({"Cricket","Junior","Mini","Summer Football","Small"},C198)))&gt;0,"reduced",IF(SUMPRODUCT(--ISNUMBER(SEARCH({"Rugby","Football","League","Touch","Gaelic","Australian","Lacrosse","General Sport","Training Area","Ultimate"},C198)))&gt;0,"full","unknown"))))</f>
        <v/>
      </c>
      <c r="E198" s="9"/>
      <c r="F198" s="9"/>
      <c r="G198" s="9"/>
      <c r="H198" s="9"/>
      <c r="I198" s="12"/>
      <c r="J198" s="9"/>
      <c r="K198" s="9"/>
      <c r="L198" s="9"/>
      <c r="M198" s="9"/>
      <c r="N198" s="9"/>
      <c r="O198" s="13" t="str">
        <f aca="false">IF(C198="","",IF(N(M198)+N(N198)&lt;Settings!$C$9,"untested",M198/(M198+N198)))</f>
        <v/>
      </c>
      <c r="P198" s="9"/>
      <c r="Q198" s="9"/>
      <c r="R198" s="9"/>
      <c r="S198" s="12"/>
      <c r="T198" s="9"/>
      <c r="U198" s="9"/>
      <c r="V198" s="9"/>
      <c r="W198" s="10" t="str">
        <f aca="false">IF(C198="","",IF(OR(G198="training",G198="full"),"Yes",IF(G198="none","No","?")))</f>
        <v/>
      </c>
      <c r="X198" s="10" t="str">
        <f aca="false">IF(C198="","",IF(OR(E198="",E198="unknown"),D198,E198))</f>
        <v/>
      </c>
      <c r="Y198" s="10" t="str">
        <f aca="false">IF(C198="","",IF(OR(T198="unsuitable",T198="retired",X198="no"),"—",IF(J198="","unrated",IF(AND(X198="full",J198&gt;=Settings!$C$5,OR(O198="untested",O198&gt;=Settings!$C$6)),"A",IF(AND(OR(X198="full",X198="reduced"),J198&gt;=Settings!$C$7,OR(O198="untested",O198&gt;=Settings!$C$8)),"B","C")))))</f>
        <v/>
      </c>
      <c r="Z198" s="11" t="str">
        <f aca="false">IF(C198="","",IF(P198&lt;&gt;"",P198,Y198))</f>
        <v/>
      </c>
    </row>
    <row r="199" customFormat="false" ht="15" hidden="false" customHeight="false" outlineLevel="0" collapsed="false">
      <c r="A199" s="9"/>
      <c r="B199" s="10" t="str">
        <f aca="false">IF(A199="","",IFERROR(INDEX(Parks!$A$2:$A$255,MATCH(A199,Parks!$B$2:$B$255,0)),"?"))</f>
        <v/>
      </c>
      <c r="C199" s="9"/>
      <c r="D199" s="10" t="str">
        <f aca="false">IF(C199="","",IF(SUMPRODUCT(--ISNUMBER(SEARCH({"Nets","Wicket","Diamond","Softball","T-ball","Baseball","Netball","Tennis","Bocce","Pentaque","Petanque","Skate","Car Park","Pond","Bridle","Amphitheatre","Perimeter","Passive"},C199)))&gt;0,"no",IF(SUMPRODUCT(--ISNUMBER(SEARCH({"Cricket","Junior","Mini","Summer Football","Small"},C199)))&gt;0,"reduced",IF(SUMPRODUCT(--ISNUMBER(SEARCH({"Rugby","Football","League","Touch","Gaelic","Australian","Lacrosse","General Sport","Training Area","Ultimate"},C199)))&gt;0,"full","unknown"))))</f>
        <v/>
      </c>
      <c r="E199" s="9"/>
      <c r="F199" s="9"/>
      <c r="G199" s="9"/>
      <c r="H199" s="9"/>
      <c r="I199" s="12"/>
      <c r="J199" s="9"/>
      <c r="K199" s="9"/>
      <c r="L199" s="9"/>
      <c r="M199" s="9"/>
      <c r="N199" s="9"/>
      <c r="O199" s="13" t="str">
        <f aca="false">IF(C199="","",IF(N(M199)+N(N199)&lt;Settings!$C$9,"untested",M199/(M199+N199)))</f>
        <v/>
      </c>
      <c r="P199" s="9"/>
      <c r="Q199" s="9"/>
      <c r="R199" s="9"/>
      <c r="S199" s="12"/>
      <c r="T199" s="9"/>
      <c r="U199" s="9"/>
      <c r="V199" s="9"/>
      <c r="W199" s="10" t="str">
        <f aca="false">IF(C199="","",IF(OR(G199="training",G199="full"),"Yes",IF(G199="none","No","?")))</f>
        <v/>
      </c>
      <c r="X199" s="10" t="str">
        <f aca="false">IF(C199="","",IF(OR(E199="",E199="unknown"),D199,E199))</f>
        <v/>
      </c>
      <c r="Y199" s="10" t="str">
        <f aca="false">IF(C199="","",IF(OR(T199="unsuitable",T199="retired",X199="no"),"—",IF(J199="","unrated",IF(AND(X199="full",J199&gt;=Settings!$C$5,OR(O199="untested",O199&gt;=Settings!$C$6)),"A",IF(AND(OR(X199="full",X199="reduced"),J199&gt;=Settings!$C$7,OR(O199="untested",O199&gt;=Settings!$C$8)),"B","C")))))</f>
        <v/>
      </c>
      <c r="Z199" s="11" t="str">
        <f aca="false">IF(C199="","",IF(P199&lt;&gt;"",P199,Y199))</f>
        <v/>
      </c>
    </row>
    <row r="200" customFormat="false" ht="15" hidden="false" customHeight="false" outlineLevel="0" collapsed="false">
      <c r="A200" s="9"/>
      <c r="B200" s="10" t="str">
        <f aca="false">IF(A200="","",IFERROR(INDEX(Parks!$A$2:$A$255,MATCH(A200,Parks!$B$2:$B$255,0)),"?"))</f>
        <v/>
      </c>
      <c r="C200" s="9"/>
      <c r="D200" s="10" t="str">
        <f aca="false">IF(C200="","",IF(SUMPRODUCT(--ISNUMBER(SEARCH({"Nets","Wicket","Diamond","Softball","T-ball","Baseball","Netball","Tennis","Bocce","Pentaque","Petanque","Skate","Car Park","Pond","Bridle","Amphitheatre","Perimeter","Passive"},C200)))&gt;0,"no",IF(SUMPRODUCT(--ISNUMBER(SEARCH({"Cricket","Junior","Mini","Summer Football","Small"},C200)))&gt;0,"reduced",IF(SUMPRODUCT(--ISNUMBER(SEARCH({"Rugby","Football","League","Touch","Gaelic","Australian","Lacrosse","General Sport","Training Area","Ultimate"},C200)))&gt;0,"full","unknown"))))</f>
        <v/>
      </c>
      <c r="E200" s="9"/>
      <c r="F200" s="9"/>
      <c r="G200" s="9"/>
      <c r="H200" s="9"/>
      <c r="I200" s="12"/>
      <c r="J200" s="9"/>
      <c r="K200" s="9"/>
      <c r="L200" s="9"/>
      <c r="M200" s="9"/>
      <c r="N200" s="9"/>
      <c r="O200" s="13" t="str">
        <f aca="false">IF(C200="","",IF(N(M200)+N(N200)&lt;Settings!$C$9,"untested",M200/(M200+N200)))</f>
        <v/>
      </c>
      <c r="P200" s="9"/>
      <c r="Q200" s="9"/>
      <c r="R200" s="9"/>
      <c r="S200" s="12"/>
      <c r="T200" s="9"/>
      <c r="U200" s="9"/>
      <c r="V200" s="9"/>
      <c r="W200" s="10" t="str">
        <f aca="false">IF(C200="","",IF(OR(G200="training",G200="full"),"Yes",IF(G200="none","No","?")))</f>
        <v/>
      </c>
      <c r="X200" s="10" t="str">
        <f aca="false">IF(C200="","",IF(OR(E200="",E200="unknown"),D200,E200))</f>
        <v/>
      </c>
      <c r="Y200" s="10" t="str">
        <f aca="false">IF(C200="","",IF(OR(T200="unsuitable",T200="retired",X200="no"),"—",IF(J200="","unrated",IF(AND(X200="full",J200&gt;=Settings!$C$5,OR(O200="untested",O200&gt;=Settings!$C$6)),"A",IF(AND(OR(X200="full",X200="reduced"),J200&gt;=Settings!$C$7,OR(O200="untested",O200&gt;=Settings!$C$8)),"B","C")))))</f>
        <v/>
      </c>
      <c r="Z200" s="11" t="str">
        <f aca="false">IF(C200="","",IF(P200&lt;&gt;"",P200,Y200))</f>
        <v/>
      </c>
    </row>
    <row r="201" customFormat="false" ht="15" hidden="false" customHeight="false" outlineLevel="0" collapsed="false">
      <c r="A201" s="9"/>
      <c r="B201" s="10" t="str">
        <f aca="false">IF(A201="","",IFERROR(INDEX(Parks!$A$2:$A$255,MATCH(A201,Parks!$B$2:$B$255,0)),"?"))</f>
        <v/>
      </c>
      <c r="C201" s="9"/>
      <c r="D201" s="10" t="str">
        <f aca="false">IF(C201="","",IF(SUMPRODUCT(--ISNUMBER(SEARCH({"Nets","Wicket","Diamond","Softball","T-ball","Baseball","Netball","Tennis","Bocce","Pentaque","Petanque","Skate","Car Park","Pond","Bridle","Amphitheatre","Perimeter","Passive"},C201)))&gt;0,"no",IF(SUMPRODUCT(--ISNUMBER(SEARCH({"Cricket","Junior","Mini","Summer Football","Small"},C201)))&gt;0,"reduced",IF(SUMPRODUCT(--ISNUMBER(SEARCH({"Rugby","Football","League","Touch","Gaelic","Australian","Lacrosse","General Sport","Training Area","Ultimate"},C201)))&gt;0,"full","unknown"))))</f>
        <v/>
      </c>
      <c r="E201" s="9"/>
      <c r="F201" s="9"/>
      <c r="G201" s="9"/>
      <c r="H201" s="9"/>
      <c r="I201" s="12"/>
      <c r="J201" s="9"/>
      <c r="K201" s="9"/>
      <c r="L201" s="9"/>
      <c r="M201" s="9"/>
      <c r="N201" s="9"/>
      <c r="O201" s="13" t="str">
        <f aca="false">IF(C201="","",IF(N(M201)+N(N201)&lt;Settings!$C$9,"untested",M201/(M201+N201)))</f>
        <v/>
      </c>
      <c r="P201" s="9"/>
      <c r="Q201" s="9"/>
      <c r="R201" s="9"/>
      <c r="S201" s="12"/>
      <c r="T201" s="9"/>
      <c r="U201" s="9"/>
      <c r="V201" s="9"/>
      <c r="W201" s="10" t="str">
        <f aca="false">IF(C201="","",IF(OR(G201="training",G201="full"),"Yes",IF(G201="none","No","?")))</f>
        <v/>
      </c>
      <c r="X201" s="10" t="str">
        <f aca="false">IF(C201="","",IF(OR(E201="",E201="unknown"),D201,E201))</f>
        <v/>
      </c>
      <c r="Y201" s="10" t="str">
        <f aca="false">IF(C201="","",IF(OR(T201="unsuitable",T201="retired",X201="no"),"—",IF(J201="","unrated",IF(AND(X201="full",J201&gt;=Settings!$C$5,OR(O201="untested",O201&gt;=Settings!$C$6)),"A",IF(AND(OR(X201="full",X201="reduced"),J201&gt;=Settings!$C$7,OR(O201="untested",O201&gt;=Settings!$C$8)),"B","C")))))</f>
        <v/>
      </c>
      <c r="Z201" s="11" t="str">
        <f aca="false">IF(C201="","",IF(P201&lt;&gt;"",P201,Y201))</f>
        <v/>
      </c>
    </row>
    <row r="202" customFormat="false" ht="15" hidden="false" customHeight="false" outlineLevel="0" collapsed="false">
      <c r="A202" s="9"/>
      <c r="B202" s="10" t="str">
        <f aca="false">IF(A202="","",IFERROR(INDEX(Parks!$A$2:$A$255,MATCH(A202,Parks!$B$2:$B$255,0)),"?"))</f>
        <v/>
      </c>
      <c r="C202" s="9"/>
      <c r="D202" s="10" t="str">
        <f aca="false">IF(C202="","",IF(SUMPRODUCT(--ISNUMBER(SEARCH({"Nets","Wicket","Diamond","Softball","T-ball","Baseball","Netball","Tennis","Bocce","Pentaque","Petanque","Skate","Car Park","Pond","Bridle","Amphitheatre","Perimeter","Passive"},C202)))&gt;0,"no",IF(SUMPRODUCT(--ISNUMBER(SEARCH({"Cricket","Junior","Mini","Summer Football","Small"},C202)))&gt;0,"reduced",IF(SUMPRODUCT(--ISNUMBER(SEARCH({"Rugby","Football","League","Touch","Gaelic","Australian","Lacrosse","General Sport","Training Area","Ultimate"},C202)))&gt;0,"full","unknown"))))</f>
        <v/>
      </c>
      <c r="E202" s="9"/>
      <c r="F202" s="9"/>
      <c r="G202" s="9"/>
      <c r="H202" s="9"/>
      <c r="I202" s="12"/>
      <c r="J202" s="9"/>
      <c r="K202" s="9"/>
      <c r="L202" s="9"/>
      <c r="M202" s="9"/>
      <c r="N202" s="9"/>
      <c r="O202" s="13" t="str">
        <f aca="false">IF(C202="","",IF(N(M202)+N(N202)&lt;Settings!$C$9,"untested",M202/(M202+N202)))</f>
        <v/>
      </c>
      <c r="P202" s="9"/>
      <c r="Q202" s="9"/>
      <c r="R202" s="9"/>
      <c r="S202" s="12"/>
      <c r="T202" s="9"/>
      <c r="U202" s="9"/>
      <c r="V202" s="9"/>
      <c r="W202" s="10" t="str">
        <f aca="false">IF(C202="","",IF(OR(G202="training",G202="full"),"Yes",IF(G202="none","No","?")))</f>
        <v/>
      </c>
      <c r="X202" s="10" t="str">
        <f aca="false">IF(C202="","",IF(OR(E202="",E202="unknown"),D202,E202))</f>
        <v/>
      </c>
      <c r="Y202" s="10" t="str">
        <f aca="false">IF(C202="","",IF(OR(T202="unsuitable",T202="retired",X202="no"),"—",IF(J202="","unrated",IF(AND(X202="full",J202&gt;=Settings!$C$5,OR(O202="untested",O202&gt;=Settings!$C$6)),"A",IF(AND(OR(X202="full",X202="reduced"),J202&gt;=Settings!$C$7,OR(O202="untested",O202&gt;=Settings!$C$8)),"B","C")))))</f>
        <v/>
      </c>
      <c r="Z202" s="11" t="str">
        <f aca="false">IF(C202="","",IF(P202&lt;&gt;"",P202,Y202))</f>
        <v/>
      </c>
    </row>
    <row r="203" customFormat="false" ht="15" hidden="false" customHeight="false" outlineLevel="0" collapsed="false">
      <c r="A203" s="9"/>
      <c r="B203" s="10" t="str">
        <f aca="false">IF(A203="","",IFERROR(INDEX(Parks!$A$2:$A$255,MATCH(A203,Parks!$B$2:$B$255,0)),"?"))</f>
        <v/>
      </c>
      <c r="C203" s="9"/>
      <c r="D203" s="10" t="str">
        <f aca="false">IF(C203="","",IF(SUMPRODUCT(--ISNUMBER(SEARCH({"Nets","Wicket","Diamond","Softball","T-ball","Baseball","Netball","Tennis","Bocce","Pentaque","Petanque","Skate","Car Park","Pond","Bridle","Amphitheatre","Perimeter","Passive"},C203)))&gt;0,"no",IF(SUMPRODUCT(--ISNUMBER(SEARCH({"Cricket","Junior","Mini","Summer Football","Small"},C203)))&gt;0,"reduced",IF(SUMPRODUCT(--ISNUMBER(SEARCH({"Rugby","Football","League","Touch","Gaelic","Australian","Lacrosse","General Sport","Training Area","Ultimate"},C203)))&gt;0,"full","unknown"))))</f>
        <v/>
      </c>
      <c r="E203" s="9"/>
      <c r="F203" s="9"/>
      <c r="G203" s="9"/>
      <c r="H203" s="9"/>
      <c r="I203" s="12"/>
      <c r="J203" s="9"/>
      <c r="K203" s="9"/>
      <c r="L203" s="9"/>
      <c r="M203" s="9"/>
      <c r="N203" s="9"/>
      <c r="O203" s="13" t="str">
        <f aca="false">IF(C203="","",IF(N(M203)+N(N203)&lt;Settings!$C$9,"untested",M203/(M203+N203)))</f>
        <v/>
      </c>
      <c r="P203" s="9"/>
      <c r="Q203" s="9"/>
      <c r="R203" s="9"/>
      <c r="S203" s="12"/>
      <c r="T203" s="9"/>
      <c r="U203" s="9"/>
      <c r="V203" s="9"/>
      <c r="W203" s="10" t="str">
        <f aca="false">IF(C203="","",IF(OR(G203="training",G203="full"),"Yes",IF(G203="none","No","?")))</f>
        <v/>
      </c>
      <c r="X203" s="10" t="str">
        <f aca="false">IF(C203="","",IF(OR(E203="",E203="unknown"),D203,E203))</f>
        <v/>
      </c>
      <c r="Y203" s="10" t="str">
        <f aca="false">IF(C203="","",IF(OR(T203="unsuitable",T203="retired",X203="no"),"—",IF(J203="","unrated",IF(AND(X203="full",J203&gt;=Settings!$C$5,OR(O203="untested",O203&gt;=Settings!$C$6)),"A",IF(AND(OR(X203="full",X203="reduced"),J203&gt;=Settings!$C$7,OR(O203="untested",O203&gt;=Settings!$C$8)),"B","C")))))</f>
        <v/>
      </c>
      <c r="Z203" s="11" t="str">
        <f aca="false">IF(C203="","",IF(P203&lt;&gt;"",P203,Y203))</f>
        <v/>
      </c>
    </row>
    <row r="204" customFormat="false" ht="15" hidden="false" customHeight="false" outlineLevel="0" collapsed="false">
      <c r="A204" s="9"/>
      <c r="B204" s="10" t="str">
        <f aca="false">IF(A204="","",IFERROR(INDEX(Parks!$A$2:$A$255,MATCH(A204,Parks!$B$2:$B$255,0)),"?"))</f>
        <v/>
      </c>
      <c r="C204" s="9"/>
      <c r="D204" s="10" t="str">
        <f aca="false">IF(C204="","",IF(SUMPRODUCT(--ISNUMBER(SEARCH({"Nets","Wicket","Diamond","Softball","T-ball","Baseball","Netball","Tennis","Bocce","Pentaque","Petanque","Skate","Car Park","Pond","Bridle","Amphitheatre","Perimeter","Passive"},C204)))&gt;0,"no",IF(SUMPRODUCT(--ISNUMBER(SEARCH({"Cricket","Junior","Mini","Summer Football","Small"},C204)))&gt;0,"reduced",IF(SUMPRODUCT(--ISNUMBER(SEARCH({"Rugby","Football","League","Touch","Gaelic","Australian","Lacrosse","General Sport","Training Area","Ultimate"},C204)))&gt;0,"full","unknown"))))</f>
        <v/>
      </c>
      <c r="E204" s="9"/>
      <c r="F204" s="9"/>
      <c r="G204" s="9"/>
      <c r="H204" s="9"/>
      <c r="I204" s="12"/>
      <c r="J204" s="9"/>
      <c r="K204" s="9"/>
      <c r="L204" s="9"/>
      <c r="M204" s="9"/>
      <c r="N204" s="9"/>
      <c r="O204" s="13" t="str">
        <f aca="false">IF(C204="","",IF(N(M204)+N(N204)&lt;Settings!$C$9,"untested",M204/(M204+N204)))</f>
        <v/>
      </c>
      <c r="P204" s="9"/>
      <c r="Q204" s="9"/>
      <c r="R204" s="9"/>
      <c r="S204" s="12"/>
      <c r="T204" s="9"/>
      <c r="U204" s="9"/>
      <c r="V204" s="9"/>
      <c r="W204" s="10" t="str">
        <f aca="false">IF(C204="","",IF(OR(G204="training",G204="full"),"Yes",IF(G204="none","No","?")))</f>
        <v/>
      </c>
      <c r="X204" s="10" t="str">
        <f aca="false">IF(C204="","",IF(OR(E204="",E204="unknown"),D204,E204))</f>
        <v/>
      </c>
      <c r="Y204" s="10" t="str">
        <f aca="false">IF(C204="","",IF(OR(T204="unsuitable",T204="retired",X204="no"),"—",IF(J204="","unrated",IF(AND(X204="full",J204&gt;=Settings!$C$5,OR(O204="untested",O204&gt;=Settings!$C$6)),"A",IF(AND(OR(X204="full",X204="reduced"),J204&gt;=Settings!$C$7,OR(O204="untested",O204&gt;=Settings!$C$8)),"B","C")))))</f>
        <v/>
      </c>
      <c r="Z204" s="11" t="str">
        <f aca="false">IF(C204="","",IF(P204&lt;&gt;"",P204,Y204))</f>
        <v/>
      </c>
    </row>
    <row r="205" customFormat="false" ht="15" hidden="false" customHeight="false" outlineLevel="0" collapsed="false">
      <c r="A205" s="9"/>
      <c r="B205" s="10" t="str">
        <f aca="false">IF(A205="","",IFERROR(INDEX(Parks!$A$2:$A$255,MATCH(A205,Parks!$B$2:$B$255,0)),"?"))</f>
        <v/>
      </c>
      <c r="C205" s="9"/>
      <c r="D205" s="10" t="str">
        <f aca="false">IF(C205="","",IF(SUMPRODUCT(--ISNUMBER(SEARCH({"Nets","Wicket","Diamond","Softball","T-ball","Baseball","Netball","Tennis","Bocce","Pentaque","Petanque","Skate","Car Park","Pond","Bridle","Amphitheatre","Perimeter","Passive"},C205)))&gt;0,"no",IF(SUMPRODUCT(--ISNUMBER(SEARCH({"Cricket","Junior","Mini","Summer Football","Small"},C205)))&gt;0,"reduced",IF(SUMPRODUCT(--ISNUMBER(SEARCH({"Rugby","Football","League","Touch","Gaelic","Australian","Lacrosse","General Sport","Training Area","Ultimate"},C205)))&gt;0,"full","unknown"))))</f>
        <v/>
      </c>
      <c r="E205" s="9"/>
      <c r="F205" s="9"/>
      <c r="G205" s="9"/>
      <c r="H205" s="9"/>
      <c r="I205" s="12"/>
      <c r="J205" s="9"/>
      <c r="K205" s="9"/>
      <c r="L205" s="9"/>
      <c r="M205" s="9"/>
      <c r="N205" s="9"/>
      <c r="O205" s="13" t="str">
        <f aca="false">IF(C205="","",IF(N(M205)+N(N205)&lt;Settings!$C$9,"untested",M205/(M205+N205)))</f>
        <v/>
      </c>
      <c r="P205" s="9"/>
      <c r="Q205" s="9"/>
      <c r="R205" s="9"/>
      <c r="S205" s="12"/>
      <c r="T205" s="9"/>
      <c r="U205" s="9"/>
      <c r="V205" s="9"/>
      <c r="W205" s="10" t="str">
        <f aca="false">IF(C205="","",IF(OR(G205="training",G205="full"),"Yes",IF(G205="none","No","?")))</f>
        <v/>
      </c>
      <c r="X205" s="10" t="str">
        <f aca="false">IF(C205="","",IF(OR(E205="",E205="unknown"),D205,E205))</f>
        <v/>
      </c>
      <c r="Y205" s="10" t="str">
        <f aca="false">IF(C205="","",IF(OR(T205="unsuitable",T205="retired",X205="no"),"—",IF(J205="","unrated",IF(AND(X205="full",J205&gt;=Settings!$C$5,OR(O205="untested",O205&gt;=Settings!$C$6)),"A",IF(AND(OR(X205="full",X205="reduced"),J205&gt;=Settings!$C$7,OR(O205="untested",O205&gt;=Settings!$C$8)),"B","C")))))</f>
        <v/>
      </c>
      <c r="Z205" s="11" t="str">
        <f aca="false">IF(C205="","",IF(P205&lt;&gt;"",P205,Y205))</f>
        <v/>
      </c>
    </row>
    <row r="206" customFormat="false" ht="15" hidden="false" customHeight="false" outlineLevel="0" collapsed="false">
      <c r="A206" s="9"/>
      <c r="B206" s="10" t="str">
        <f aca="false">IF(A206="","",IFERROR(INDEX(Parks!$A$2:$A$255,MATCH(A206,Parks!$B$2:$B$255,0)),"?"))</f>
        <v/>
      </c>
      <c r="C206" s="9"/>
      <c r="D206" s="10" t="str">
        <f aca="false">IF(C206="","",IF(SUMPRODUCT(--ISNUMBER(SEARCH({"Nets","Wicket","Diamond","Softball","T-ball","Baseball","Netball","Tennis","Bocce","Pentaque","Petanque","Skate","Car Park","Pond","Bridle","Amphitheatre","Perimeter","Passive"},C206)))&gt;0,"no",IF(SUMPRODUCT(--ISNUMBER(SEARCH({"Cricket","Junior","Mini","Summer Football","Small"},C206)))&gt;0,"reduced",IF(SUMPRODUCT(--ISNUMBER(SEARCH({"Rugby","Football","League","Touch","Gaelic","Australian","Lacrosse","General Sport","Training Area","Ultimate"},C206)))&gt;0,"full","unknown"))))</f>
        <v/>
      </c>
      <c r="E206" s="9"/>
      <c r="F206" s="9"/>
      <c r="G206" s="9"/>
      <c r="H206" s="9"/>
      <c r="I206" s="12"/>
      <c r="J206" s="9"/>
      <c r="K206" s="9"/>
      <c r="L206" s="9"/>
      <c r="M206" s="9"/>
      <c r="N206" s="9"/>
      <c r="O206" s="13" t="str">
        <f aca="false">IF(C206="","",IF(N(M206)+N(N206)&lt;Settings!$C$9,"untested",M206/(M206+N206)))</f>
        <v/>
      </c>
      <c r="P206" s="9"/>
      <c r="Q206" s="9"/>
      <c r="R206" s="9"/>
      <c r="S206" s="12"/>
      <c r="T206" s="9"/>
      <c r="U206" s="9"/>
      <c r="V206" s="9"/>
      <c r="W206" s="10" t="str">
        <f aca="false">IF(C206="","",IF(OR(G206="training",G206="full"),"Yes",IF(G206="none","No","?")))</f>
        <v/>
      </c>
      <c r="X206" s="10" t="str">
        <f aca="false">IF(C206="","",IF(OR(E206="",E206="unknown"),D206,E206))</f>
        <v/>
      </c>
      <c r="Y206" s="10" t="str">
        <f aca="false">IF(C206="","",IF(OR(T206="unsuitable",T206="retired",X206="no"),"—",IF(J206="","unrated",IF(AND(X206="full",J206&gt;=Settings!$C$5,OR(O206="untested",O206&gt;=Settings!$C$6)),"A",IF(AND(OR(X206="full",X206="reduced"),J206&gt;=Settings!$C$7,OR(O206="untested",O206&gt;=Settings!$C$8)),"B","C")))))</f>
        <v/>
      </c>
      <c r="Z206" s="11" t="str">
        <f aca="false">IF(C206="","",IF(P206&lt;&gt;"",P206,Y206))</f>
        <v/>
      </c>
    </row>
    <row r="207" customFormat="false" ht="15" hidden="false" customHeight="false" outlineLevel="0" collapsed="false">
      <c r="A207" s="9"/>
      <c r="B207" s="10" t="str">
        <f aca="false">IF(A207="","",IFERROR(INDEX(Parks!$A$2:$A$255,MATCH(A207,Parks!$B$2:$B$255,0)),"?"))</f>
        <v/>
      </c>
      <c r="C207" s="9"/>
      <c r="D207" s="10" t="str">
        <f aca="false">IF(C207="","",IF(SUMPRODUCT(--ISNUMBER(SEARCH({"Nets","Wicket","Diamond","Softball","T-ball","Baseball","Netball","Tennis","Bocce","Pentaque","Petanque","Skate","Car Park","Pond","Bridle","Amphitheatre","Perimeter","Passive"},C207)))&gt;0,"no",IF(SUMPRODUCT(--ISNUMBER(SEARCH({"Cricket","Junior","Mini","Summer Football","Small"},C207)))&gt;0,"reduced",IF(SUMPRODUCT(--ISNUMBER(SEARCH({"Rugby","Football","League","Touch","Gaelic","Australian","Lacrosse","General Sport","Training Area","Ultimate"},C207)))&gt;0,"full","unknown"))))</f>
        <v/>
      </c>
      <c r="E207" s="9"/>
      <c r="F207" s="9"/>
      <c r="G207" s="9"/>
      <c r="H207" s="9"/>
      <c r="I207" s="12"/>
      <c r="J207" s="9"/>
      <c r="K207" s="9"/>
      <c r="L207" s="9"/>
      <c r="M207" s="9"/>
      <c r="N207" s="9"/>
      <c r="O207" s="13" t="str">
        <f aca="false">IF(C207="","",IF(N(M207)+N(N207)&lt;Settings!$C$9,"untested",M207/(M207+N207)))</f>
        <v/>
      </c>
      <c r="P207" s="9"/>
      <c r="Q207" s="9"/>
      <c r="R207" s="9"/>
      <c r="S207" s="12"/>
      <c r="T207" s="9"/>
      <c r="U207" s="9"/>
      <c r="V207" s="9"/>
      <c r="W207" s="10" t="str">
        <f aca="false">IF(C207="","",IF(OR(G207="training",G207="full"),"Yes",IF(G207="none","No","?")))</f>
        <v/>
      </c>
      <c r="X207" s="10" t="str">
        <f aca="false">IF(C207="","",IF(OR(E207="",E207="unknown"),D207,E207))</f>
        <v/>
      </c>
      <c r="Y207" s="10" t="str">
        <f aca="false">IF(C207="","",IF(OR(T207="unsuitable",T207="retired",X207="no"),"—",IF(J207="","unrated",IF(AND(X207="full",J207&gt;=Settings!$C$5,OR(O207="untested",O207&gt;=Settings!$C$6)),"A",IF(AND(OR(X207="full",X207="reduced"),J207&gt;=Settings!$C$7,OR(O207="untested",O207&gt;=Settings!$C$8)),"B","C")))))</f>
        <v/>
      </c>
      <c r="Z207" s="11" t="str">
        <f aca="false">IF(C207="","",IF(P207&lt;&gt;"",P207,Y207))</f>
        <v/>
      </c>
    </row>
    <row r="208" customFormat="false" ht="15" hidden="false" customHeight="false" outlineLevel="0" collapsed="false">
      <c r="A208" s="9"/>
      <c r="B208" s="10" t="str">
        <f aca="false">IF(A208="","",IFERROR(INDEX(Parks!$A$2:$A$255,MATCH(A208,Parks!$B$2:$B$255,0)),"?"))</f>
        <v/>
      </c>
      <c r="C208" s="9"/>
      <c r="D208" s="10" t="str">
        <f aca="false">IF(C208="","",IF(SUMPRODUCT(--ISNUMBER(SEARCH({"Nets","Wicket","Diamond","Softball","T-ball","Baseball","Netball","Tennis","Bocce","Pentaque","Petanque","Skate","Car Park","Pond","Bridle","Amphitheatre","Perimeter","Passive"},C208)))&gt;0,"no",IF(SUMPRODUCT(--ISNUMBER(SEARCH({"Cricket","Junior","Mini","Summer Football","Small"},C208)))&gt;0,"reduced",IF(SUMPRODUCT(--ISNUMBER(SEARCH({"Rugby","Football","League","Touch","Gaelic","Australian","Lacrosse","General Sport","Training Area","Ultimate"},C208)))&gt;0,"full","unknown"))))</f>
        <v/>
      </c>
      <c r="E208" s="9"/>
      <c r="F208" s="9"/>
      <c r="G208" s="9"/>
      <c r="H208" s="9"/>
      <c r="I208" s="12"/>
      <c r="J208" s="9"/>
      <c r="K208" s="9"/>
      <c r="L208" s="9"/>
      <c r="M208" s="9"/>
      <c r="N208" s="9"/>
      <c r="O208" s="13" t="str">
        <f aca="false">IF(C208="","",IF(N(M208)+N(N208)&lt;Settings!$C$9,"untested",M208/(M208+N208)))</f>
        <v/>
      </c>
      <c r="P208" s="9"/>
      <c r="Q208" s="9"/>
      <c r="R208" s="9"/>
      <c r="S208" s="12"/>
      <c r="T208" s="9"/>
      <c r="U208" s="9"/>
      <c r="V208" s="9"/>
      <c r="W208" s="10" t="str">
        <f aca="false">IF(C208="","",IF(OR(G208="training",G208="full"),"Yes",IF(G208="none","No","?")))</f>
        <v/>
      </c>
      <c r="X208" s="10" t="str">
        <f aca="false">IF(C208="","",IF(OR(E208="",E208="unknown"),D208,E208))</f>
        <v/>
      </c>
      <c r="Y208" s="10" t="str">
        <f aca="false">IF(C208="","",IF(OR(T208="unsuitable",T208="retired",X208="no"),"—",IF(J208="","unrated",IF(AND(X208="full",J208&gt;=Settings!$C$5,OR(O208="untested",O208&gt;=Settings!$C$6)),"A",IF(AND(OR(X208="full",X208="reduced"),J208&gt;=Settings!$C$7,OR(O208="untested",O208&gt;=Settings!$C$8)),"B","C")))))</f>
        <v/>
      </c>
      <c r="Z208" s="11" t="str">
        <f aca="false">IF(C208="","",IF(P208&lt;&gt;"",P208,Y208))</f>
        <v/>
      </c>
    </row>
    <row r="209" customFormat="false" ht="15" hidden="false" customHeight="false" outlineLevel="0" collapsed="false">
      <c r="A209" s="9"/>
      <c r="B209" s="10" t="str">
        <f aca="false">IF(A209="","",IFERROR(INDEX(Parks!$A$2:$A$255,MATCH(A209,Parks!$B$2:$B$255,0)),"?"))</f>
        <v/>
      </c>
      <c r="C209" s="9"/>
      <c r="D209" s="10" t="str">
        <f aca="false">IF(C209="","",IF(SUMPRODUCT(--ISNUMBER(SEARCH({"Nets","Wicket","Diamond","Softball","T-ball","Baseball","Netball","Tennis","Bocce","Pentaque","Petanque","Skate","Car Park","Pond","Bridle","Amphitheatre","Perimeter","Passive"},C209)))&gt;0,"no",IF(SUMPRODUCT(--ISNUMBER(SEARCH({"Cricket","Junior","Mini","Summer Football","Small"},C209)))&gt;0,"reduced",IF(SUMPRODUCT(--ISNUMBER(SEARCH({"Rugby","Football","League","Touch","Gaelic","Australian","Lacrosse","General Sport","Training Area","Ultimate"},C209)))&gt;0,"full","unknown"))))</f>
        <v/>
      </c>
      <c r="E209" s="9"/>
      <c r="F209" s="9"/>
      <c r="G209" s="9"/>
      <c r="H209" s="9"/>
      <c r="I209" s="12"/>
      <c r="J209" s="9"/>
      <c r="K209" s="9"/>
      <c r="L209" s="9"/>
      <c r="M209" s="9"/>
      <c r="N209" s="9"/>
      <c r="O209" s="13" t="str">
        <f aca="false">IF(C209="","",IF(N(M209)+N(N209)&lt;Settings!$C$9,"untested",M209/(M209+N209)))</f>
        <v/>
      </c>
      <c r="P209" s="9"/>
      <c r="Q209" s="9"/>
      <c r="R209" s="9"/>
      <c r="S209" s="12"/>
      <c r="T209" s="9"/>
      <c r="U209" s="9"/>
      <c r="V209" s="9"/>
      <c r="W209" s="10" t="str">
        <f aca="false">IF(C209="","",IF(OR(G209="training",G209="full"),"Yes",IF(G209="none","No","?")))</f>
        <v/>
      </c>
      <c r="X209" s="10" t="str">
        <f aca="false">IF(C209="","",IF(OR(E209="",E209="unknown"),D209,E209))</f>
        <v/>
      </c>
      <c r="Y209" s="10" t="str">
        <f aca="false">IF(C209="","",IF(OR(T209="unsuitable",T209="retired",X209="no"),"—",IF(J209="","unrated",IF(AND(X209="full",J209&gt;=Settings!$C$5,OR(O209="untested",O209&gt;=Settings!$C$6)),"A",IF(AND(OR(X209="full",X209="reduced"),J209&gt;=Settings!$C$7,OR(O209="untested",O209&gt;=Settings!$C$8)),"B","C")))))</f>
        <v/>
      </c>
      <c r="Z209" s="11" t="str">
        <f aca="false">IF(C209="","",IF(P209&lt;&gt;"",P209,Y209))</f>
        <v/>
      </c>
    </row>
    <row r="210" customFormat="false" ht="15" hidden="false" customHeight="false" outlineLevel="0" collapsed="false">
      <c r="A210" s="9"/>
      <c r="B210" s="10" t="str">
        <f aca="false">IF(A210="","",IFERROR(INDEX(Parks!$A$2:$A$255,MATCH(A210,Parks!$B$2:$B$255,0)),"?"))</f>
        <v/>
      </c>
      <c r="C210" s="9"/>
      <c r="D210" s="10" t="str">
        <f aca="false">IF(C210="","",IF(SUMPRODUCT(--ISNUMBER(SEARCH({"Nets","Wicket","Diamond","Softball","T-ball","Baseball","Netball","Tennis","Bocce","Pentaque","Petanque","Skate","Car Park","Pond","Bridle","Amphitheatre","Perimeter","Passive"},C210)))&gt;0,"no",IF(SUMPRODUCT(--ISNUMBER(SEARCH({"Cricket","Junior","Mini","Summer Football","Small"},C210)))&gt;0,"reduced",IF(SUMPRODUCT(--ISNUMBER(SEARCH({"Rugby","Football","League","Touch","Gaelic","Australian","Lacrosse","General Sport","Training Area","Ultimate"},C210)))&gt;0,"full","unknown"))))</f>
        <v/>
      </c>
      <c r="E210" s="9"/>
      <c r="F210" s="9"/>
      <c r="G210" s="9"/>
      <c r="H210" s="9"/>
      <c r="I210" s="12"/>
      <c r="J210" s="9"/>
      <c r="K210" s="9"/>
      <c r="L210" s="9"/>
      <c r="M210" s="9"/>
      <c r="N210" s="9"/>
      <c r="O210" s="13" t="str">
        <f aca="false">IF(C210="","",IF(N(M210)+N(N210)&lt;Settings!$C$9,"untested",M210/(M210+N210)))</f>
        <v/>
      </c>
      <c r="P210" s="9"/>
      <c r="Q210" s="9"/>
      <c r="R210" s="9"/>
      <c r="S210" s="12"/>
      <c r="T210" s="9"/>
      <c r="U210" s="9"/>
      <c r="V210" s="9"/>
      <c r="W210" s="10" t="str">
        <f aca="false">IF(C210="","",IF(OR(G210="training",G210="full"),"Yes",IF(G210="none","No","?")))</f>
        <v/>
      </c>
      <c r="X210" s="10" t="str">
        <f aca="false">IF(C210="","",IF(OR(E210="",E210="unknown"),D210,E210))</f>
        <v/>
      </c>
      <c r="Y210" s="10" t="str">
        <f aca="false">IF(C210="","",IF(OR(T210="unsuitable",T210="retired",X210="no"),"—",IF(J210="","unrated",IF(AND(X210="full",J210&gt;=Settings!$C$5,OR(O210="untested",O210&gt;=Settings!$C$6)),"A",IF(AND(OR(X210="full",X210="reduced"),J210&gt;=Settings!$C$7,OR(O210="untested",O210&gt;=Settings!$C$8)),"B","C")))))</f>
        <v/>
      </c>
      <c r="Z210" s="11" t="str">
        <f aca="false">IF(C210="","",IF(P210&lt;&gt;"",P210,Y210))</f>
        <v/>
      </c>
    </row>
    <row r="211" customFormat="false" ht="15" hidden="false" customHeight="false" outlineLevel="0" collapsed="false">
      <c r="A211" s="9"/>
      <c r="B211" s="10" t="str">
        <f aca="false">IF(A211="","",IFERROR(INDEX(Parks!$A$2:$A$255,MATCH(A211,Parks!$B$2:$B$255,0)),"?"))</f>
        <v/>
      </c>
      <c r="C211" s="9"/>
      <c r="D211" s="10" t="str">
        <f aca="false">IF(C211="","",IF(SUMPRODUCT(--ISNUMBER(SEARCH({"Nets","Wicket","Diamond","Softball","T-ball","Baseball","Netball","Tennis","Bocce","Pentaque","Petanque","Skate","Car Park","Pond","Bridle","Amphitheatre","Perimeter","Passive"},C211)))&gt;0,"no",IF(SUMPRODUCT(--ISNUMBER(SEARCH({"Cricket","Junior","Mini","Summer Football","Small"},C211)))&gt;0,"reduced",IF(SUMPRODUCT(--ISNUMBER(SEARCH({"Rugby","Football","League","Touch","Gaelic","Australian","Lacrosse","General Sport","Training Area","Ultimate"},C211)))&gt;0,"full","unknown"))))</f>
        <v/>
      </c>
      <c r="E211" s="9"/>
      <c r="F211" s="9"/>
      <c r="G211" s="9"/>
      <c r="H211" s="9"/>
      <c r="I211" s="12"/>
      <c r="J211" s="9"/>
      <c r="K211" s="9"/>
      <c r="L211" s="9"/>
      <c r="M211" s="9"/>
      <c r="N211" s="9"/>
      <c r="O211" s="13" t="str">
        <f aca="false">IF(C211="","",IF(N(M211)+N(N211)&lt;Settings!$C$9,"untested",M211/(M211+N211)))</f>
        <v/>
      </c>
      <c r="P211" s="9"/>
      <c r="Q211" s="9"/>
      <c r="R211" s="9"/>
      <c r="S211" s="12"/>
      <c r="T211" s="9"/>
      <c r="U211" s="9"/>
      <c r="V211" s="9"/>
      <c r="W211" s="10" t="str">
        <f aca="false">IF(C211="","",IF(OR(G211="training",G211="full"),"Yes",IF(G211="none","No","?")))</f>
        <v/>
      </c>
      <c r="X211" s="10" t="str">
        <f aca="false">IF(C211="","",IF(OR(E211="",E211="unknown"),D211,E211))</f>
        <v/>
      </c>
      <c r="Y211" s="10" t="str">
        <f aca="false">IF(C211="","",IF(OR(T211="unsuitable",T211="retired",X211="no"),"—",IF(J211="","unrated",IF(AND(X211="full",J211&gt;=Settings!$C$5,OR(O211="untested",O211&gt;=Settings!$C$6)),"A",IF(AND(OR(X211="full",X211="reduced"),J211&gt;=Settings!$C$7,OR(O211="untested",O211&gt;=Settings!$C$8)),"B","C")))))</f>
        <v/>
      </c>
      <c r="Z211" s="11" t="str">
        <f aca="false">IF(C211="","",IF(P211&lt;&gt;"",P211,Y211))</f>
        <v/>
      </c>
    </row>
    <row r="212" customFormat="false" ht="15" hidden="false" customHeight="false" outlineLevel="0" collapsed="false">
      <c r="A212" s="9"/>
      <c r="B212" s="10" t="str">
        <f aca="false">IF(A212="","",IFERROR(INDEX(Parks!$A$2:$A$255,MATCH(A212,Parks!$B$2:$B$255,0)),"?"))</f>
        <v/>
      </c>
      <c r="C212" s="9"/>
      <c r="D212" s="10" t="str">
        <f aca="false">IF(C212="","",IF(SUMPRODUCT(--ISNUMBER(SEARCH({"Nets","Wicket","Diamond","Softball","T-ball","Baseball","Netball","Tennis","Bocce","Pentaque","Petanque","Skate","Car Park","Pond","Bridle","Amphitheatre","Perimeter","Passive"},C212)))&gt;0,"no",IF(SUMPRODUCT(--ISNUMBER(SEARCH({"Cricket","Junior","Mini","Summer Football","Small"},C212)))&gt;0,"reduced",IF(SUMPRODUCT(--ISNUMBER(SEARCH({"Rugby","Football","League","Touch","Gaelic","Australian","Lacrosse","General Sport","Training Area","Ultimate"},C212)))&gt;0,"full","unknown"))))</f>
        <v/>
      </c>
      <c r="E212" s="9"/>
      <c r="F212" s="9"/>
      <c r="G212" s="9"/>
      <c r="H212" s="9"/>
      <c r="I212" s="12"/>
      <c r="J212" s="9"/>
      <c r="K212" s="9"/>
      <c r="L212" s="9"/>
      <c r="M212" s="9"/>
      <c r="N212" s="9"/>
      <c r="O212" s="13" t="str">
        <f aca="false">IF(C212="","",IF(N(M212)+N(N212)&lt;Settings!$C$9,"untested",M212/(M212+N212)))</f>
        <v/>
      </c>
      <c r="P212" s="9"/>
      <c r="Q212" s="9"/>
      <c r="R212" s="9"/>
      <c r="S212" s="12"/>
      <c r="T212" s="9"/>
      <c r="U212" s="9"/>
      <c r="V212" s="9"/>
      <c r="W212" s="10" t="str">
        <f aca="false">IF(C212="","",IF(OR(G212="training",G212="full"),"Yes",IF(G212="none","No","?")))</f>
        <v/>
      </c>
      <c r="X212" s="10" t="str">
        <f aca="false">IF(C212="","",IF(OR(E212="",E212="unknown"),D212,E212))</f>
        <v/>
      </c>
      <c r="Y212" s="10" t="str">
        <f aca="false">IF(C212="","",IF(OR(T212="unsuitable",T212="retired",X212="no"),"—",IF(J212="","unrated",IF(AND(X212="full",J212&gt;=Settings!$C$5,OR(O212="untested",O212&gt;=Settings!$C$6)),"A",IF(AND(OR(X212="full",X212="reduced"),J212&gt;=Settings!$C$7,OR(O212="untested",O212&gt;=Settings!$C$8)),"B","C")))))</f>
        <v/>
      </c>
      <c r="Z212" s="11" t="str">
        <f aca="false">IF(C212="","",IF(P212&lt;&gt;"",P212,Y212))</f>
        <v/>
      </c>
    </row>
    <row r="213" customFormat="false" ht="15" hidden="false" customHeight="false" outlineLevel="0" collapsed="false">
      <c r="A213" s="9"/>
      <c r="B213" s="10" t="str">
        <f aca="false">IF(A213="","",IFERROR(INDEX(Parks!$A$2:$A$255,MATCH(A213,Parks!$B$2:$B$255,0)),"?"))</f>
        <v/>
      </c>
      <c r="C213" s="9"/>
      <c r="D213" s="10" t="str">
        <f aca="false">IF(C213="","",IF(SUMPRODUCT(--ISNUMBER(SEARCH({"Nets","Wicket","Diamond","Softball","T-ball","Baseball","Netball","Tennis","Bocce","Pentaque","Petanque","Skate","Car Park","Pond","Bridle","Amphitheatre","Perimeter","Passive"},C213)))&gt;0,"no",IF(SUMPRODUCT(--ISNUMBER(SEARCH({"Cricket","Junior","Mini","Summer Football","Small"},C213)))&gt;0,"reduced",IF(SUMPRODUCT(--ISNUMBER(SEARCH({"Rugby","Football","League","Touch","Gaelic","Australian","Lacrosse","General Sport","Training Area","Ultimate"},C213)))&gt;0,"full","unknown"))))</f>
        <v/>
      </c>
      <c r="E213" s="9"/>
      <c r="F213" s="9"/>
      <c r="G213" s="9"/>
      <c r="H213" s="9"/>
      <c r="I213" s="12"/>
      <c r="J213" s="9"/>
      <c r="K213" s="9"/>
      <c r="L213" s="9"/>
      <c r="M213" s="9"/>
      <c r="N213" s="9"/>
      <c r="O213" s="13" t="str">
        <f aca="false">IF(C213="","",IF(N(M213)+N(N213)&lt;Settings!$C$9,"untested",M213/(M213+N213)))</f>
        <v/>
      </c>
      <c r="P213" s="9"/>
      <c r="Q213" s="9"/>
      <c r="R213" s="9"/>
      <c r="S213" s="12"/>
      <c r="T213" s="9"/>
      <c r="U213" s="9"/>
      <c r="V213" s="9"/>
      <c r="W213" s="10" t="str">
        <f aca="false">IF(C213="","",IF(OR(G213="training",G213="full"),"Yes",IF(G213="none","No","?")))</f>
        <v/>
      </c>
      <c r="X213" s="10" t="str">
        <f aca="false">IF(C213="","",IF(OR(E213="",E213="unknown"),D213,E213))</f>
        <v/>
      </c>
      <c r="Y213" s="10" t="str">
        <f aca="false">IF(C213="","",IF(OR(T213="unsuitable",T213="retired",X213="no"),"—",IF(J213="","unrated",IF(AND(X213="full",J213&gt;=Settings!$C$5,OR(O213="untested",O213&gt;=Settings!$C$6)),"A",IF(AND(OR(X213="full",X213="reduced"),J213&gt;=Settings!$C$7,OR(O213="untested",O213&gt;=Settings!$C$8)),"B","C")))))</f>
        <v/>
      </c>
      <c r="Z213" s="11" t="str">
        <f aca="false">IF(C213="","",IF(P213&lt;&gt;"",P213,Y213))</f>
        <v/>
      </c>
    </row>
    <row r="214" customFormat="false" ht="15" hidden="false" customHeight="false" outlineLevel="0" collapsed="false">
      <c r="A214" s="9"/>
      <c r="B214" s="10" t="str">
        <f aca="false">IF(A214="","",IFERROR(INDEX(Parks!$A$2:$A$255,MATCH(A214,Parks!$B$2:$B$255,0)),"?"))</f>
        <v/>
      </c>
      <c r="C214" s="9"/>
      <c r="D214" s="10" t="str">
        <f aca="false">IF(C214="","",IF(SUMPRODUCT(--ISNUMBER(SEARCH({"Nets","Wicket","Diamond","Softball","T-ball","Baseball","Netball","Tennis","Bocce","Pentaque","Petanque","Skate","Car Park","Pond","Bridle","Amphitheatre","Perimeter","Passive"},C214)))&gt;0,"no",IF(SUMPRODUCT(--ISNUMBER(SEARCH({"Cricket","Junior","Mini","Summer Football","Small"},C214)))&gt;0,"reduced",IF(SUMPRODUCT(--ISNUMBER(SEARCH({"Rugby","Football","League","Touch","Gaelic","Australian","Lacrosse","General Sport","Training Area","Ultimate"},C214)))&gt;0,"full","unknown"))))</f>
        <v/>
      </c>
      <c r="E214" s="9"/>
      <c r="F214" s="9"/>
      <c r="G214" s="9"/>
      <c r="H214" s="9"/>
      <c r="I214" s="12"/>
      <c r="J214" s="9"/>
      <c r="K214" s="9"/>
      <c r="L214" s="9"/>
      <c r="M214" s="9"/>
      <c r="N214" s="9"/>
      <c r="O214" s="13" t="str">
        <f aca="false">IF(C214="","",IF(N(M214)+N(N214)&lt;Settings!$C$9,"untested",M214/(M214+N214)))</f>
        <v/>
      </c>
      <c r="P214" s="9"/>
      <c r="Q214" s="9"/>
      <c r="R214" s="9"/>
      <c r="S214" s="12"/>
      <c r="T214" s="9"/>
      <c r="U214" s="9"/>
      <c r="V214" s="9"/>
      <c r="W214" s="10" t="str">
        <f aca="false">IF(C214="","",IF(OR(G214="training",G214="full"),"Yes",IF(G214="none","No","?")))</f>
        <v/>
      </c>
      <c r="X214" s="10" t="str">
        <f aca="false">IF(C214="","",IF(OR(E214="",E214="unknown"),D214,E214))</f>
        <v/>
      </c>
      <c r="Y214" s="10" t="str">
        <f aca="false">IF(C214="","",IF(OR(T214="unsuitable",T214="retired",X214="no"),"—",IF(J214="","unrated",IF(AND(X214="full",J214&gt;=Settings!$C$5,OR(O214="untested",O214&gt;=Settings!$C$6)),"A",IF(AND(OR(X214="full",X214="reduced"),J214&gt;=Settings!$C$7,OR(O214="untested",O214&gt;=Settings!$C$8)),"B","C")))))</f>
        <v/>
      </c>
      <c r="Z214" s="11" t="str">
        <f aca="false">IF(C214="","",IF(P214&lt;&gt;"",P214,Y214))</f>
        <v/>
      </c>
    </row>
    <row r="215" customFormat="false" ht="15" hidden="false" customHeight="false" outlineLevel="0" collapsed="false">
      <c r="A215" s="9"/>
      <c r="B215" s="10" t="str">
        <f aca="false">IF(A215="","",IFERROR(INDEX(Parks!$A$2:$A$255,MATCH(A215,Parks!$B$2:$B$255,0)),"?"))</f>
        <v/>
      </c>
      <c r="C215" s="9"/>
      <c r="D215" s="10" t="str">
        <f aca="false">IF(C215="","",IF(SUMPRODUCT(--ISNUMBER(SEARCH({"Nets","Wicket","Diamond","Softball","T-ball","Baseball","Netball","Tennis","Bocce","Pentaque","Petanque","Skate","Car Park","Pond","Bridle","Amphitheatre","Perimeter","Passive"},C215)))&gt;0,"no",IF(SUMPRODUCT(--ISNUMBER(SEARCH({"Cricket","Junior","Mini","Summer Football","Small"},C215)))&gt;0,"reduced",IF(SUMPRODUCT(--ISNUMBER(SEARCH({"Rugby","Football","League","Touch","Gaelic","Australian","Lacrosse","General Sport","Training Area","Ultimate"},C215)))&gt;0,"full","unknown"))))</f>
        <v/>
      </c>
      <c r="E215" s="9"/>
      <c r="F215" s="9"/>
      <c r="G215" s="9"/>
      <c r="H215" s="9"/>
      <c r="I215" s="12"/>
      <c r="J215" s="9"/>
      <c r="K215" s="9"/>
      <c r="L215" s="9"/>
      <c r="M215" s="9"/>
      <c r="N215" s="9"/>
      <c r="O215" s="13" t="str">
        <f aca="false">IF(C215="","",IF(N(M215)+N(N215)&lt;Settings!$C$9,"untested",M215/(M215+N215)))</f>
        <v/>
      </c>
      <c r="P215" s="9"/>
      <c r="Q215" s="9"/>
      <c r="R215" s="9"/>
      <c r="S215" s="12"/>
      <c r="T215" s="9"/>
      <c r="U215" s="9"/>
      <c r="V215" s="9"/>
      <c r="W215" s="10" t="str">
        <f aca="false">IF(C215="","",IF(OR(G215="training",G215="full"),"Yes",IF(G215="none","No","?")))</f>
        <v/>
      </c>
      <c r="X215" s="10" t="str">
        <f aca="false">IF(C215="","",IF(OR(E215="",E215="unknown"),D215,E215))</f>
        <v/>
      </c>
      <c r="Y215" s="10" t="str">
        <f aca="false">IF(C215="","",IF(OR(T215="unsuitable",T215="retired",X215="no"),"—",IF(J215="","unrated",IF(AND(X215="full",J215&gt;=Settings!$C$5,OR(O215="untested",O215&gt;=Settings!$C$6)),"A",IF(AND(OR(X215="full",X215="reduced"),J215&gt;=Settings!$C$7,OR(O215="untested",O215&gt;=Settings!$C$8)),"B","C")))))</f>
        <v/>
      </c>
      <c r="Z215" s="11" t="str">
        <f aca="false">IF(C215="","",IF(P215&lt;&gt;"",P215,Y215))</f>
        <v/>
      </c>
    </row>
    <row r="216" customFormat="false" ht="15" hidden="false" customHeight="false" outlineLevel="0" collapsed="false">
      <c r="A216" s="9"/>
      <c r="B216" s="10" t="str">
        <f aca="false">IF(A216="","",IFERROR(INDEX(Parks!$A$2:$A$255,MATCH(A216,Parks!$B$2:$B$255,0)),"?"))</f>
        <v/>
      </c>
      <c r="C216" s="9"/>
      <c r="D216" s="10" t="str">
        <f aca="false">IF(C216="","",IF(SUMPRODUCT(--ISNUMBER(SEARCH({"Nets","Wicket","Diamond","Softball","T-ball","Baseball","Netball","Tennis","Bocce","Pentaque","Petanque","Skate","Car Park","Pond","Bridle","Amphitheatre","Perimeter","Passive"},C216)))&gt;0,"no",IF(SUMPRODUCT(--ISNUMBER(SEARCH({"Cricket","Junior","Mini","Summer Football","Small"},C216)))&gt;0,"reduced",IF(SUMPRODUCT(--ISNUMBER(SEARCH({"Rugby","Football","League","Touch","Gaelic","Australian","Lacrosse","General Sport","Training Area","Ultimate"},C216)))&gt;0,"full","unknown"))))</f>
        <v/>
      </c>
      <c r="E216" s="9"/>
      <c r="F216" s="9"/>
      <c r="G216" s="9"/>
      <c r="H216" s="9"/>
      <c r="I216" s="12"/>
      <c r="J216" s="9"/>
      <c r="K216" s="9"/>
      <c r="L216" s="9"/>
      <c r="M216" s="9"/>
      <c r="N216" s="9"/>
      <c r="O216" s="13" t="str">
        <f aca="false">IF(C216="","",IF(N(M216)+N(N216)&lt;Settings!$C$9,"untested",M216/(M216+N216)))</f>
        <v/>
      </c>
      <c r="P216" s="9"/>
      <c r="Q216" s="9"/>
      <c r="R216" s="9"/>
      <c r="S216" s="12"/>
      <c r="T216" s="9"/>
      <c r="U216" s="9"/>
      <c r="V216" s="9"/>
      <c r="W216" s="10" t="str">
        <f aca="false">IF(C216="","",IF(OR(G216="training",G216="full"),"Yes",IF(G216="none","No","?")))</f>
        <v/>
      </c>
      <c r="X216" s="10" t="str">
        <f aca="false">IF(C216="","",IF(OR(E216="",E216="unknown"),D216,E216))</f>
        <v/>
      </c>
      <c r="Y216" s="10" t="str">
        <f aca="false">IF(C216="","",IF(OR(T216="unsuitable",T216="retired",X216="no"),"—",IF(J216="","unrated",IF(AND(X216="full",J216&gt;=Settings!$C$5,OR(O216="untested",O216&gt;=Settings!$C$6)),"A",IF(AND(OR(X216="full",X216="reduced"),J216&gt;=Settings!$C$7,OR(O216="untested",O216&gt;=Settings!$C$8)),"B","C")))))</f>
        <v/>
      </c>
      <c r="Z216" s="11" t="str">
        <f aca="false">IF(C216="","",IF(P216&lt;&gt;"",P216,Y216))</f>
        <v/>
      </c>
    </row>
    <row r="217" customFormat="false" ht="15" hidden="false" customHeight="false" outlineLevel="0" collapsed="false">
      <c r="A217" s="9"/>
      <c r="B217" s="10" t="str">
        <f aca="false">IF(A217="","",IFERROR(INDEX(Parks!$A$2:$A$255,MATCH(A217,Parks!$B$2:$B$255,0)),"?"))</f>
        <v/>
      </c>
      <c r="C217" s="9"/>
      <c r="D217" s="10" t="str">
        <f aca="false">IF(C217="","",IF(SUMPRODUCT(--ISNUMBER(SEARCH({"Nets","Wicket","Diamond","Softball","T-ball","Baseball","Netball","Tennis","Bocce","Pentaque","Petanque","Skate","Car Park","Pond","Bridle","Amphitheatre","Perimeter","Passive"},C217)))&gt;0,"no",IF(SUMPRODUCT(--ISNUMBER(SEARCH({"Cricket","Junior","Mini","Summer Football","Small"},C217)))&gt;0,"reduced",IF(SUMPRODUCT(--ISNUMBER(SEARCH({"Rugby","Football","League","Touch","Gaelic","Australian","Lacrosse","General Sport","Training Area","Ultimate"},C217)))&gt;0,"full","unknown"))))</f>
        <v/>
      </c>
      <c r="E217" s="9"/>
      <c r="F217" s="9"/>
      <c r="G217" s="9"/>
      <c r="H217" s="9"/>
      <c r="I217" s="12"/>
      <c r="J217" s="9"/>
      <c r="K217" s="9"/>
      <c r="L217" s="9"/>
      <c r="M217" s="9"/>
      <c r="N217" s="9"/>
      <c r="O217" s="13" t="str">
        <f aca="false">IF(C217="","",IF(N(M217)+N(N217)&lt;Settings!$C$9,"untested",M217/(M217+N217)))</f>
        <v/>
      </c>
      <c r="P217" s="9"/>
      <c r="Q217" s="9"/>
      <c r="R217" s="9"/>
      <c r="S217" s="12"/>
      <c r="T217" s="9"/>
      <c r="U217" s="9"/>
      <c r="V217" s="9"/>
      <c r="W217" s="10" t="str">
        <f aca="false">IF(C217="","",IF(OR(G217="training",G217="full"),"Yes",IF(G217="none","No","?")))</f>
        <v/>
      </c>
      <c r="X217" s="10" t="str">
        <f aca="false">IF(C217="","",IF(OR(E217="",E217="unknown"),D217,E217))</f>
        <v/>
      </c>
      <c r="Y217" s="10" t="str">
        <f aca="false">IF(C217="","",IF(OR(T217="unsuitable",T217="retired",X217="no"),"—",IF(J217="","unrated",IF(AND(X217="full",J217&gt;=Settings!$C$5,OR(O217="untested",O217&gt;=Settings!$C$6)),"A",IF(AND(OR(X217="full",X217="reduced"),J217&gt;=Settings!$C$7,OR(O217="untested",O217&gt;=Settings!$C$8)),"B","C")))))</f>
        <v/>
      </c>
      <c r="Z217" s="11" t="str">
        <f aca="false">IF(C217="","",IF(P217&lt;&gt;"",P217,Y217))</f>
        <v/>
      </c>
    </row>
    <row r="218" customFormat="false" ht="15" hidden="false" customHeight="false" outlineLevel="0" collapsed="false">
      <c r="A218" s="9"/>
      <c r="B218" s="10" t="str">
        <f aca="false">IF(A218="","",IFERROR(INDEX(Parks!$A$2:$A$255,MATCH(A218,Parks!$B$2:$B$255,0)),"?"))</f>
        <v/>
      </c>
      <c r="C218" s="9"/>
      <c r="D218" s="10" t="str">
        <f aca="false">IF(C218="","",IF(SUMPRODUCT(--ISNUMBER(SEARCH({"Nets","Wicket","Diamond","Softball","T-ball","Baseball","Netball","Tennis","Bocce","Pentaque","Petanque","Skate","Car Park","Pond","Bridle","Amphitheatre","Perimeter","Passive"},C218)))&gt;0,"no",IF(SUMPRODUCT(--ISNUMBER(SEARCH({"Cricket","Junior","Mini","Summer Football","Small"},C218)))&gt;0,"reduced",IF(SUMPRODUCT(--ISNUMBER(SEARCH({"Rugby","Football","League","Touch","Gaelic","Australian","Lacrosse","General Sport","Training Area","Ultimate"},C218)))&gt;0,"full","unknown"))))</f>
        <v/>
      </c>
      <c r="E218" s="9"/>
      <c r="F218" s="9"/>
      <c r="G218" s="9"/>
      <c r="H218" s="9"/>
      <c r="I218" s="12"/>
      <c r="J218" s="9"/>
      <c r="K218" s="9"/>
      <c r="L218" s="9"/>
      <c r="M218" s="9"/>
      <c r="N218" s="9"/>
      <c r="O218" s="13" t="str">
        <f aca="false">IF(C218="","",IF(N(M218)+N(N218)&lt;Settings!$C$9,"untested",M218/(M218+N218)))</f>
        <v/>
      </c>
      <c r="P218" s="9"/>
      <c r="Q218" s="9"/>
      <c r="R218" s="9"/>
      <c r="S218" s="12"/>
      <c r="T218" s="9"/>
      <c r="U218" s="9"/>
      <c r="V218" s="9"/>
      <c r="W218" s="10" t="str">
        <f aca="false">IF(C218="","",IF(OR(G218="training",G218="full"),"Yes",IF(G218="none","No","?")))</f>
        <v/>
      </c>
      <c r="X218" s="10" t="str">
        <f aca="false">IF(C218="","",IF(OR(E218="",E218="unknown"),D218,E218))</f>
        <v/>
      </c>
      <c r="Y218" s="10" t="str">
        <f aca="false">IF(C218="","",IF(OR(T218="unsuitable",T218="retired",X218="no"),"—",IF(J218="","unrated",IF(AND(X218="full",J218&gt;=Settings!$C$5,OR(O218="untested",O218&gt;=Settings!$C$6)),"A",IF(AND(OR(X218="full",X218="reduced"),J218&gt;=Settings!$C$7,OR(O218="untested",O218&gt;=Settings!$C$8)),"B","C")))))</f>
        <v/>
      </c>
      <c r="Z218" s="11" t="str">
        <f aca="false">IF(C218="","",IF(P218&lt;&gt;"",P218,Y218))</f>
        <v/>
      </c>
    </row>
    <row r="219" customFormat="false" ht="15" hidden="false" customHeight="false" outlineLevel="0" collapsed="false">
      <c r="A219" s="9"/>
      <c r="B219" s="10" t="str">
        <f aca="false">IF(A219="","",IFERROR(INDEX(Parks!$A$2:$A$255,MATCH(A219,Parks!$B$2:$B$255,0)),"?"))</f>
        <v/>
      </c>
      <c r="C219" s="9"/>
      <c r="D219" s="10" t="str">
        <f aca="false">IF(C219="","",IF(SUMPRODUCT(--ISNUMBER(SEARCH({"Nets","Wicket","Diamond","Softball","T-ball","Baseball","Netball","Tennis","Bocce","Pentaque","Petanque","Skate","Car Park","Pond","Bridle","Amphitheatre","Perimeter","Passive"},C219)))&gt;0,"no",IF(SUMPRODUCT(--ISNUMBER(SEARCH({"Cricket","Junior","Mini","Summer Football","Small"},C219)))&gt;0,"reduced",IF(SUMPRODUCT(--ISNUMBER(SEARCH({"Rugby","Football","League","Touch","Gaelic","Australian","Lacrosse","General Sport","Training Area","Ultimate"},C219)))&gt;0,"full","unknown"))))</f>
        <v/>
      </c>
      <c r="E219" s="9"/>
      <c r="F219" s="9"/>
      <c r="G219" s="9"/>
      <c r="H219" s="9"/>
      <c r="I219" s="12"/>
      <c r="J219" s="9"/>
      <c r="K219" s="9"/>
      <c r="L219" s="9"/>
      <c r="M219" s="9"/>
      <c r="N219" s="9"/>
      <c r="O219" s="13" t="str">
        <f aca="false">IF(C219="","",IF(N(M219)+N(N219)&lt;Settings!$C$9,"untested",M219/(M219+N219)))</f>
        <v/>
      </c>
      <c r="P219" s="9"/>
      <c r="Q219" s="9"/>
      <c r="R219" s="9"/>
      <c r="S219" s="12"/>
      <c r="T219" s="9"/>
      <c r="U219" s="9"/>
      <c r="V219" s="9"/>
      <c r="W219" s="10" t="str">
        <f aca="false">IF(C219="","",IF(OR(G219="training",G219="full"),"Yes",IF(G219="none","No","?")))</f>
        <v/>
      </c>
      <c r="X219" s="10" t="str">
        <f aca="false">IF(C219="","",IF(OR(E219="",E219="unknown"),D219,E219))</f>
        <v/>
      </c>
      <c r="Y219" s="10" t="str">
        <f aca="false">IF(C219="","",IF(OR(T219="unsuitable",T219="retired",X219="no"),"—",IF(J219="","unrated",IF(AND(X219="full",J219&gt;=Settings!$C$5,OR(O219="untested",O219&gt;=Settings!$C$6)),"A",IF(AND(OR(X219="full",X219="reduced"),J219&gt;=Settings!$C$7,OR(O219="untested",O219&gt;=Settings!$C$8)),"B","C")))))</f>
        <v/>
      </c>
      <c r="Z219" s="11" t="str">
        <f aca="false">IF(C219="","",IF(P219&lt;&gt;"",P219,Y219))</f>
        <v/>
      </c>
    </row>
    <row r="220" customFormat="false" ht="15" hidden="false" customHeight="false" outlineLevel="0" collapsed="false">
      <c r="A220" s="9"/>
      <c r="B220" s="10" t="str">
        <f aca="false">IF(A220="","",IFERROR(INDEX(Parks!$A$2:$A$255,MATCH(A220,Parks!$B$2:$B$255,0)),"?"))</f>
        <v/>
      </c>
      <c r="C220" s="9"/>
      <c r="D220" s="10" t="str">
        <f aca="false">IF(C220="","",IF(SUMPRODUCT(--ISNUMBER(SEARCH({"Nets","Wicket","Diamond","Softball","T-ball","Baseball","Netball","Tennis","Bocce","Pentaque","Petanque","Skate","Car Park","Pond","Bridle","Amphitheatre","Perimeter","Passive"},C220)))&gt;0,"no",IF(SUMPRODUCT(--ISNUMBER(SEARCH({"Cricket","Junior","Mini","Summer Football","Small"},C220)))&gt;0,"reduced",IF(SUMPRODUCT(--ISNUMBER(SEARCH({"Rugby","Football","League","Touch","Gaelic","Australian","Lacrosse","General Sport","Training Area","Ultimate"},C220)))&gt;0,"full","unknown"))))</f>
        <v/>
      </c>
      <c r="E220" s="9"/>
      <c r="F220" s="9"/>
      <c r="G220" s="9"/>
      <c r="H220" s="9"/>
      <c r="I220" s="12"/>
      <c r="J220" s="9"/>
      <c r="K220" s="9"/>
      <c r="L220" s="9"/>
      <c r="M220" s="9"/>
      <c r="N220" s="9"/>
      <c r="O220" s="13" t="str">
        <f aca="false">IF(C220="","",IF(N(M220)+N(N220)&lt;Settings!$C$9,"untested",M220/(M220+N220)))</f>
        <v/>
      </c>
      <c r="P220" s="9"/>
      <c r="Q220" s="9"/>
      <c r="R220" s="9"/>
      <c r="S220" s="12"/>
      <c r="T220" s="9"/>
      <c r="U220" s="9"/>
      <c r="V220" s="9"/>
      <c r="W220" s="10" t="str">
        <f aca="false">IF(C220="","",IF(OR(G220="training",G220="full"),"Yes",IF(G220="none","No","?")))</f>
        <v/>
      </c>
      <c r="X220" s="10" t="str">
        <f aca="false">IF(C220="","",IF(OR(E220="",E220="unknown"),D220,E220))</f>
        <v/>
      </c>
      <c r="Y220" s="10" t="str">
        <f aca="false">IF(C220="","",IF(OR(T220="unsuitable",T220="retired",X220="no"),"—",IF(J220="","unrated",IF(AND(X220="full",J220&gt;=Settings!$C$5,OR(O220="untested",O220&gt;=Settings!$C$6)),"A",IF(AND(OR(X220="full",X220="reduced"),J220&gt;=Settings!$C$7,OR(O220="untested",O220&gt;=Settings!$C$8)),"B","C")))))</f>
        <v/>
      </c>
      <c r="Z220" s="11" t="str">
        <f aca="false">IF(C220="","",IF(P220&lt;&gt;"",P220,Y220))</f>
        <v/>
      </c>
    </row>
    <row r="221" customFormat="false" ht="15" hidden="false" customHeight="false" outlineLevel="0" collapsed="false">
      <c r="A221" s="9"/>
      <c r="B221" s="10" t="str">
        <f aca="false">IF(A221="","",IFERROR(INDEX(Parks!$A$2:$A$255,MATCH(A221,Parks!$B$2:$B$255,0)),"?"))</f>
        <v/>
      </c>
      <c r="C221" s="9"/>
      <c r="D221" s="10" t="str">
        <f aca="false">IF(C221="","",IF(SUMPRODUCT(--ISNUMBER(SEARCH({"Nets","Wicket","Diamond","Softball","T-ball","Baseball","Netball","Tennis","Bocce","Pentaque","Petanque","Skate","Car Park","Pond","Bridle","Amphitheatre","Perimeter","Passive"},C221)))&gt;0,"no",IF(SUMPRODUCT(--ISNUMBER(SEARCH({"Cricket","Junior","Mini","Summer Football","Small"},C221)))&gt;0,"reduced",IF(SUMPRODUCT(--ISNUMBER(SEARCH({"Rugby","Football","League","Touch","Gaelic","Australian","Lacrosse","General Sport","Training Area","Ultimate"},C221)))&gt;0,"full","unknown"))))</f>
        <v/>
      </c>
      <c r="E221" s="9"/>
      <c r="F221" s="9"/>
      <c r="G221" s="9"/>
      <c r="H221" s="9"/>
      <c r="I221" s="12"/>
      <c r="J221" s="9"/>
      <c r="K221" s="9"/>
      <c r="L221" s="9"/>
      <c r="M221" s="9"/>
      <c r="N221" s="9"/>
      <c r="O221" s="13" t="str">
        <f aca="false">IF(C221="","",IF(N(M221)+N(N221)&lt;Settings!$C$9,"untested",M221/(M221+N221)))</f>
        <v/>
      </c>
      <c r="P221" s="9"/>
      <c r="Q221" s="9"/>
      <c r="R221" s="9"/>
      <c r="S221" s="12"/>
      <c r="T221" s="9"/>
      <c r="U221" s="9"/>
      <c r="V221" s="9"/>
      <c r="W221" s="10" t="str">
        <f aca="false">IF(C221="","",IF(OR(G221="training",G221="full"),"Yes",IF(G221="none","No","?")))</f>
        <v/>
      </c>
      <c r="X221" s="10" t="str">
        <f aca="false">IF(C221="","",IF(OR(E221="",E221="unknown"),D221,E221))</f>
        <v/>
      </c>
      <c r="Y221" s="10" t="str">
        <f aca="false">IF(C221="","",IF(OR(T221="unsuitable",T221="retired",X221="no"),"—",IF(J221="","unrated",IF(AND(X221="full",J221&gt;=Settings!$C$5,OR(O221="untested",O221&gt;=Settings!$C$6)),"A",IF(AND(OR(X221="full",X221="reduced"),J221&gt;=Settings!$C$7,OR(O221="untested",O221&gt;=Settings!$C$8)),"B","C")))))</f>
        <v/>
      </c>
      <c r="Z221" s="11" t="str">
        <f aca="false">IF(C221="","",IF(P221&lt;&gt;"",P221,Y221))</f>
        <v/>
      </c>
    </row>
    <row r="222" customFormat="false" ht="15" hidden="false" customHeight="false" outlineLevel="0" collapsed="false">
      <c r="A222" s="9"/>
      <c r="B222" s="10" t="str">
        <f aca="false">IF(A222="","",IFERROR(INDEX(Parks!$A$2:$A$255,MATCH(A222,Parks!$B$2:$B$255,0)),"?"))</f>
        <v/>
      </c>
      <c r="C222" s="9"/>
      <c r="D222" s="10" t="str">
        <f aca="false">IF(C222="","",IF(SUMPRODUCT(--ISNUMBER(SEARCH({"Nets","Wicket","Diamond","Softball","T-ball","Baseball","Netball","Tennis","Bocce","Pentaque","Petanque","Skate","Car Park","Pond","Bridle","Amphitheatre","Perimeter","Passive"},C222)))&gt;0,"no",IF(SUMPRODUCT(--ISNUMBER(SEARCH({"Cricket","Junior","Mini","Summer Football","Small"},C222)))&gt;0,"reduced",IF(SUMPRODUCT(--ISNUMBER(SEARCH({"Rugby","Football","League","Touch","Gaelic","Australian","Lacrosse","General Sport","Training Area","Ultimate"},C222)))&gt;0,"full","unknown"))))</f>
        <v/>
      </c>
      <c r="E222" s="9"/>
      <c r="F222" s="9"/>
      <c r="G222" s="9"/>
      <c r="H222" s="9"/>
      <c r="I222" s="12"/>
      <c r="J222" s="9"/>
      <c r="K222" s="9"/>
      <c r="L222" s="9"/>
      <c r="M222" s="9"/>
      <c r="N222" s="9"/>
      <c r="O222" s="13" t="str">
        <f aca="false">IF(C222="","",IF(N(M222)+N(N222)&lt;Settings!$C$9,"untested",M222/(M222+N222)))</f>
        <v/>
      </c>
      <c r="P222" s="9"/>
      <c r="Q222" s="9"/>
      <c r="R222" s="9"/>
      <c r="S222" s="12"/>
      <c r="T222" s="9"/>
      <c r="U222" s="9"/>
      <c r="V222" s="9"/>
      <c r="W222" s="10" t="str">
        <f aca="false">IF(C222="","",IF(OR(G222="training",G222="full"),"Yes",IF(G222="none","No","?")))</f>
        <v/>
      </c>
      <c r="X222" s="10" t="str">
        <f aca="false">IF(C222="","",IF(OR(E222="",E222="unknown"),D222,E222))</f>
        <v/>
      </c>
      <c r="Y222" s="10" t="str">
        <f aca="false">IF(C222="","",IF(OR(T222="unsuitable",T222="retired",X222="no"),"—",IF(J222="","unrated",IF(AND(X222="full",J222&gt;=Settings!$C$5,OR(O222="untested",O222&gt;=Settings!$C$6)),"A",IF(AND(OR(X222="full",X222="reduced"),J222&gt;=Settings!$C$7,OR(O222="untested",O222&gt;=Settings!$C$8)),"B","C")))))</f>
        <v/>
      </c>
      <c r="Z222" s="11" t="str">
        <f aca="false">IF(C222="","",IF(P222&lt;&gt;"",P222,Y222))</f>
        <v/>
      </c>
    </row>
    <row r="223" customFormat="false" ht="15" hidden="false" customHeight="false" outlineLevel="0" collapsed="false">
      <c r="A223" s="9"/>
      <c r="B223" s="10" t="str">
        <f aca="false">IF(A223="","",IFERROR(INDEX(Parks!$A$2:$A$255,MATCH(A223,Parks!$B$2:$B$255,0)),"?"))</f>
        <v/>
      </c>
      <c r="C223" s="9"/>
      <c r="D223" s="10" t="str">
        <f aca="false">IF(C223="","",IF(SUMPRODUCT(--ISNUMBER(SEARCH({"Nets","Wicket","Diamond","Softball","T-ball","Baseball","Netball","Tennis","Bocce","Pentaque","Petanque","Skate","Car Park","Pond","Bridle","Amphitheatre","Perimeter","Passive"},C223)))&gt;0,"no",IF(SUMPRODUCT(--ISNUMBER(SEARCH({"Cricket","Junior","Mini","Summer Football","Small"},C223)))&gt;0,"reduced",IF(SUMPRODUCT(--ISNUMBER(SEARCH({"Rugby","Football","League","Touch","Gaelic","Australian","Lacrosse","General Sport","Training Area","Ultimate"},C223)))&gt;0,"full","unknown"))))</f>
        <v/>
      </c>
      <c r="E223" s="9"/>
      <c r="F223" s="9"/>
      <c r="G223" s="9"/>
      <c r="H223" s="9"/>
      <c r="I223" s="12"/>
      <c r="J223" s="9"/>
      <c r="K223" s="9"/>
      <c r="L223" s="9"/>
      <c r="M223" s="9"/>
      <c r="N223" s="9"/>
      <c r="O223" s="13" t="str">
        <f aca="false">IF(C223="","",IF(N(M223)+N(N223)&lt;Settings!$C$9,"untested",M223/(M223+N223)))</f>
        <v/>
      </c>
      <c r="P223" s="9"/>
      <c r="Q223" s="9"/>
      <c r="R223" s="9"/>
      <c r="S223" s="12"/>
      <c r="T223" s="9"/>
      <c r="U223" s="9"/>
      <c r="V223" s="9"/>
      <c r="W223" s="10" t="str">
        <f aca="false">IF(C223="","",IF(OR(G223="training",G223="full"),"Yes",IF(G223="none","No","?")))</f>
        <v/>
      </c>
      <c r="X223" s="10" t="str">
        <f aca="false">IF(C223="","",IF(OR(E223="",E223="unknown"),D223,E223))</f>
        <v/>
      </c>
      <c r="Y223" s="10" t="str">
        <f aca="false">IF(C223="","",IF(OR(T223="unsuitable",T223="retired",X223="no"),"—",IF(J223="","unrated",IF(AND(X223="full",J223&gt;=Settings!$C$5,OR(O223="untested",O223&gt;=Settings!$C$6)),"A",IF(AND(OR(X223="full",X223="reduced"),J223&gt;=Settings!$C$7,OR(O223="untested",O223&gt;=Settings!$C$8)),"B","C")))))</f>
        <v/>
      </c>
      <c r="Z223" s="11" t="str">
        <f aca="false">IF(C223="","",IF(P223&lt;&gt;"",P223,Y223))</f>
        <v/>
      </c>
    </row>
    <row r="224" customFormat="false" ht="15" hidden="false" customHeight="false" outlineLevel="0" collapsed="false">
      <c r="A224" s="9"/>
      <c r="B224" s="10" t="str">
        <f aca="false">IF(A224="","",IFERROR(INDEX(Parks!$A$2:$A$255,MATCH(A224,Parks!$B$2:$B$255,0)),"?"))</f>
        <v/>
      </c>
      <c r="C224" s="9"/>
      <c r="D224" s="10" t="str">
        <f aca="false">IF(C224="","",IF(SUMPRODUCT(--ISNUMBER(SEARCH({"Nets","Wicket","Diamond","Softball","T-ball","Baseball","Netball","Tennis","Bocce","Pentaque","Petanque","Skate","Car Park","Pond","Bridle","Amphitheatre","Perimeter","Passive"},C224)))&gt;0,"no",IF(SUMPRODUCT(--ISNUMBER(SEARCH({"Cricket","Junior","Mini","Summer Football","Small"},C224)))&gt;0,"reduced",IF(SUMPRODUCT(--ISNUMBER(SEARCH({"Rugby","Football","League","Touch","Gaelic","Australian","Lacrosse","General Sport","Training Area","Ultimate"},C224)))&gt;0,"full","unknown"))))</f>
        <v/>
      </c>
      <c r="E224" s="9"/>
      <c r="F224" s="9"/>
      <c r="G224" s="9"/>
      <c r="H224" s="9"/>
      <c r="I224" s="12"/>
      <c r="J224" s="9"/>
      <c r="K224" s="9"/>
      <c r="L224" s="9"/>
      <c r="M224" s="9"/>
      <c r="N224" s="9"/>
      <c r="O224" s="13" t="str">
        <f aca="false">IF(C224="","",IF(N(M224)+N(N224)&lt;Settings!$C$9,"untested",M224/(M224+N224)))</f>
        <v/>
      </c>
      <c r="P224" s="9"/>
      <c r="Q224" s="9"/>
      <c r="R224" s="9"/>
      <c r="S224" s="12"/>
      <c r="T224" s="9"/>
      <c r="U224" s="9"/>
      <c r="V224" s="9"/>
      <c r="W224" s="10" t="str">
        <f aca="false">IF(C224="","",IF(OR(G224="training",G224="full"),"Yes",IF(G224="none","No","?")))</f>
        <v/>
      </c>
      <c r="X224" s="10" t="str">
        <f aca="false">IF(C224="","",IF(OR(E224="",E224="unknown"),D224,E224))</f>
        <v/>
      </c>
      <c r="Y224" s="10" t="str">
        <f aca="false">IF(C224="","",IF(OR(T224="unsuitable",T224="retired",X224="no"),"—",IF(J224="","unrated",IF(AND(X224="full",J224&gt;=Settings!$C$5,OR(O224="untested",O224&gt;=Settings!$C$6)),"A",IF(AND(OR(X224="full",X224="reduced"),J224&gt;=Settings!$C$7,OR(O224="untested",O224&gt;=Settings!$C$8)),"B","C")))))</f>
        <v/>
      </c>
      <c r="Z224" s="11" t="str">
        <f aca="false">IF(C224="","",IF(P224&lt;&gt;"",P224,Y224))</f>
        <v/>
      </c>
    </row>
    <row r="225" customFormat="false" ht="15" hidden="false" customHeight="false" outlineLevel="0" collapsed="false">
      <c r="A225" s="9"/>
      <c r="B225" s="10" t="str">
        <f aca="false">IF(A225="","",IFERROR(INDEX(Parks!$A$2:$A$255,MATCH(A225,Parks!$B$2:$B$255,0)),"?"))</f>
        <v/>
      </c>
      <c r="C225" s="9"/>
      <c r="D225" s="10" t="str">
        <f aca="false">IF(C225="","",IF(SUMPRODUCT(--ISNUMBER(SEARCH({"Nets","Wicket","Diamond","Softball","T-ball","Baseball","Netball","Tennis","Bocce","Pentaque","Petanque","Skate","Car Park","Pond","Bridle","Amphitheatre","Perimeter","Passive"},C225)))&gt;0,"no",IF(SUMPRODUCT(--ISNUMBER(SEARCH({"Cricket","Junior","Mini","Summer Football","Small"},C225)))&gt;0,"reduced",IF(SUMPRODUCT(--ISNUMBER(SEARCH({"Rugby","Football","League","Touch","Gaelic","Australian","Lacrosse","General Sport","Training Area","Ultimate"},C225)))&gt;0,"full","unknown"))))</f>
        <v/>
      </c>
      <c r="E225" s="9"/>
      <c r="F225" s="9"/>
      <c r="G225" s="9"/>
      <c r="H225" s="9"/>
      <c r="I225" s="12"/>
      <c r="J225" s="9"/>
      <c r="K225" s="9"/>
      <c r="L225" s="9"/>
      <c r="M225" s="9"/>
      <c r="N225" s="9"/>
      <c r="O225" s="13" t="str">
        <f aca="false">IF(C225="","",IF(N(M225)+N(N225)&lt;Settings!$C$9,"untested",M225/(M225+N225)))</f>
        <v/>
      </c>
      <c r="P225" s="9"/>
      <c r="Q225" s="9"/>
      <c r="R225" s="9"/>
      <c r="S225" s="12"/>
      <c r="T225" s="9"/>
      <c r="U225" s="9"/>
      <c r="V225" s="9"/>
      <c r="W225" s="10" t="str">
        <f aca="false">IF(C225="","",IF(OR(G225="training",G225="full"),"Yes",IF(G225="none","No","?")))</f>
        <v/>
      </c>
      <c r="X225" s="10" t="str">
        <f aca="false">IF(C225="","",IF(OR(E225="",E225="unknown"),D225,E225))</f>
        <v/>
      </c>
      <c r="Y225" s="10" t="str">
        <f aca="false">IF(C225="","",IF(OR(T225="unsuitable",T225="retired",X225="no"),"—",IF(J225="","unrated",IF(AND(X225="full",J225&gt;=Settings!$C$5,OR(O225="untested",O225&gt;=Settings!$C$6)),"A",IF(AND(OR(X225="full",X225="reduced"),J225&gt;=Settings!$C$7,OR(O225="untested",O225&gt;=Settings!$C$8)),"B","C")))))</f>
        <v/>
      </c>
      <c r="Z225" s="11" t="str">
        <f aca="false">IF(C225="","",IF(P225&lt;&gt;"",P225,Y225))</f>
        <v/>
      </c>
    </row>
    <row r="226" customFormat="false" ht="15" hidden="false" customHeight="false" outlineLevel="0" collapsed="false">
      <c r="A226" s="9"/>
      <c r="B226" s="10" t="str">
        <f aca="false">IF(A226="","",IFERROR(INDEX(Parks!$A$2:$A$255,MATCH(A226,Parks!$B$2:$B$255,0)),"?"))</f>
        <v/>
      </c>
      <c r="C226" s="9"/>
      <c r="D226" s="10" t="str">
        <f aca="false">IF(C226="","",IF(SUMPRODUCT(--ISNUMBER(SEARCH({"Nets","Wicket","Diamond","Softball","T-ball","Baseball","Netball","Tennis","Bocce","Pentaque","Petanque","Skate","Car Park","Pond","Bridle","Amphitheatre","Perimeter","Passive"},C226)))&gt;0,"no",IF(SUMPRODUCT(--ISNUMBER(SEARCH({"Cricket","Junior","Mini","Summer Football","Small"},C226)))&gt;0,"reduced",IF(SUMPRODUCT(--ISNUMBER(SEARCH({"Rugby","Football","League","Touch","Gaelic","Australian","Lacrosse","General Sport","Training Area","Ultimate"},C226)))&gt;0,"full","unknown"))))</f>
        <v/>
      </c>
      <c r="E226" s="9"/>
      <c r="F226" s="9"/>
      <c r="G226" s="9"/>
      <c r="H226" s="9"/>
      <c r="I226" s="12"/>
      <c r="J226" s="9"/>
      <c r="K226" s="9"/>
      <c r="L226" s="9"/>
      <c r="M226" s="9"/>
      <c r="N226" s="9"/>
      <c r="O226" s="13" t="str">
        <f aca="false">IF(C226="","",IF(N(M226)+N(N226)&lt;Settings!$C$9,"untested",M226/(M226+N226)))</f>
        <v/>
      </c>
      <c r="P226" s="9"/>
      <c r="Q226" s="9"/>
      <c r="R226" s="9"/>
      <c r="S226" s="12"/>
      <c r="T226" s="9"/>
      <c r="U226" s="9"/>
      <c r="V226" s="9"/>
      <c r="W226" s="10" t="str">
        <f aca="false">IF(C226="","",IF(OR(G226="training",G226="full"),"Yes",IF(G226="none","No","?")))</f>
        <v/>
      </c>
      <c r="X226" s="10" t="str">
        <f aca="false">IF(C226="","",IF(OR(E226="",E226="unknown"),D226,E226))</f>
        <v/>
      </c>
      <c r="Y226" s="10" t="str">
        <f aca="false">IF(C226="","",IF(OR(T226="unsuitable",T226="retired",X226="no"),"—",IF(J226="","unrated",IF(AND(X226="full",J226&gt;=Settings!$C$5,OR(O226="untested",O226&gt;=Settings!$C$6)),"A",IF(AND(OR(X226="full",X226="reduced"),J226&gt;=Settings!$C$7,OR(O226="untested",O226&gt;=Settings!$C$8)),"B","C")))))</f>
        <v/>
      </c>
      <c r="Z226" s="11" t="str">
        <f aca="false">IF(C226="","",IF(P226&lt;&gt;"",P226,Y226))</f>
        <v/>
      </c>
    </row>
    <row r="227" customFormat="false" ht="15" hidden="false" customHeight="false" outlineLevel="0" collapsed="false">
      <c r="A227" s="9"/>
      <c r="B227" s="10" t="str">
        <f aca="false">IF(A227="","",IFERROR(INDEX(Parks!$A$2:$A$255,MATCH(A227,Parks!$B$2:$B$255,0)),"?"))</f>
        <v/>
      </c>
      <c r="C227" s="9"/>
      <c r="D227" s="10" t="str">
        <f aca="false">IF(C227="","",IF(SUMPRODUCT(--ISNUMBER(SEARCH({"Nets","Wicket","Diamond","Softball","T-ball","Baseball","Netball","Tennis","Bocce","Pentaque","Petanque","Skate","Car Park","Pond","Bridle","Amphitheatre","Perimeter","Passive"},C227)))&gt;0,"no",IF(SUMPRODUCT(--ISNUMBER(SEARCH({"Cricket","Junior","Mini","Summer Football","Small"},C227)))&gt;0,"reduced",IF(SUMPRODUCT(--ISNUMBER(SEARCH({"Rugby","Football","League","Touch","Gaelic","Australian","Lacrosse","General Sport","Training Area","Ultimate"},C227)))&gt;0,"full","unknown"))))</f>
        <v/>
      </c>
      <c r="E227" s="9"/>
      <c r="F227" s="9"/>
      <c r="G227" s="9"/>
      <c r="H227" s="9"/>
      <c r="I227" s="12"/>
      <c r="J227" s="9"/>
      <c r="K227" s="9"/>
      <c r="L227" s="9"/>
      <c r="M227" s="9"/>
      <c r="N227" s="9"/>
      <c r="O227" s="13" t="str">
        <f aca="false">IF(C227="","",IF(N(M227)+N(N227)&lt;Settings!$C$9,"untested",M227/(M227+N227)))</f>
        <v/>
      </c>
      <c r="P227" s="9"/>
      <c r="Q227" s="9"/>
      <c r="R227" s="9"/>
      <c r="S227" s="12"/>
      <c r="T227" s="9"/>
      <c r="U227" s="9"/>
      <c r="V227" s="9"/>
      <c r="W227" s="10" t="str">
        <f aca="false">IF(C227="","",IF(OR(G227="training",G227="full"),"Yes",IF(G227="none","No","?")))</f>
        <v/>
      </c>
      <c r="X227" s="10" t="str">
        <f aca="false">IF(C227="","",IF(OR(E227="",E227="unknown"),D227,E227))</f>
        <v/>
      </c>
      <c r="Y227" s="10" t="str">
        <f aca="false">IF(C227="","",IF(OR(T227="unsuitable",T227="retired",X227="no"),"—",IF(J227="","unrated",IF(AND(X227="full",J227&gt;=Settings!$C$5,OR(O227="untested",O227&gt;=Settings!$C$6)),"A",IF(AND(OR(X227="full",X227="reduced"),J227&gt;=Settings!$C$7,OR(O227="untested",O227&gt;=Settings!$C$8)),"B","C")))))</f>
        <v/>
      </c>
      <c r="Z227" s="11" t="str">
        <f aca="false">IF(C227="","",IF(P227&lt;&gt;"",P227,Y227))</f>
        <v/>
      </c>
    </row>
    <row r="228" customFormat="false" ht="15" hidden="false" customHeight="false" outlineLevel="0" collapsed="false">
      <c r="A228" s="9"/>
      <c r="B228" s="10" t="str">
        <f aca="false">IF(A228="","",IFERROR(INDEX(Parks!$A$2:$A$255,MATCH(A228,Parks!$B$2:$B$255,0)),"?"))</f>
        <v/>
      </c>
      <c r="C228" s="9"/>
      <c r="D228" s="10" t="str">
        <f aca="false">IF(C228="","",IF(SUMPRODUCT(--ISNUMBER(SEARCH({"Nets","Wicket","Diamond","Softball","T-ball","Baseball","Netball","Tennis","Bocce","Pentaque","Petanque","Skate","Car Park","Pond","Bridle","Amphitheatre","Perimeter","Passive"},C228)))&gt;0,"no",IF(SUMPRODUCT(--ISNUMBER(SEARCH({"Cricket","Junior","Mini","Summer Football","Small"},C228)))&gt;0,"reduced",IF(SUMPRODUCT(--ISNUMBER(SEARCH({"Rugby","Football","League","Touch","Gaelic","Australian","Lacrosse","General Sport","Training Area","Ultimate"},C228)))&gt;0,"full","unknown"))))</f>
        <v/>
      </c>
      <c r="E228" s="9"/>
      <c r="F228" s="9"/>
      <c r="G228" s="9"/>
      <c r="H228" s="9"/>
      <c r="I228" s="12"/>
      <c r="J228" s="9"/>
      <c r="K228" s="9"/>
      <c r="L228" s="9"/>
      <c r="M228" s="9"/>
      <c r="N228" s="9"/>
      <c r="O228" s="13" t="str">
        <f aca="false">IF(C228="","",IF(N(M228)+N(N228)&lt;Settings!$C$9,"untested",M228/(M228+N228)))</f>
        <v/>
      </c>
      <c r="P228" s="9"/>
      <c r="Q228" s="9"/>
      <c r="R228" s="9"/>
      <c r="S228" s="12"/>
      <c r="T228" s="9"/>
      <c r="U228" s="9"/>
      <c r="V228" s="9"/>
      <c r="W228" s="10" t="str">
        <f aca="false">IF(C228="","",IF(OR(G228="training",G228="full"),"Yes",IF(G228="none","No","?")))</f>
        <v/>
      </c>
      <c r="X228" s="10" t="str">
        <f aca="false">IF(C228="","",IF(OR(E228="",E228="unknown"),D228,E228))</f>
        <v/>
      </c>
      <c r="Y228" s="10" t="str">
        <f aca="false">IF(C228="","",IF(OR(T228="unsuitable",T228="retired",X228="no"),"—",IF(J228="","unrated",IF(AND(X228="full",J228&gt;=Settings!$C$5,OR(O228="untested",O228&gt;=Settings!$C$6)),"A",IF(AND(OR(X228="full",X228="reduced"),J228&gt;=Settings!$C$7,OR(O228="untested",O228&gt;=Settings!$C$8)),"B","C")))))</f>
        <v/>
      </c>
      <c r="Z228" s="11" t="str">
        <f aca="false">IF(C228="","",IF(P228&lt;&gt;"",P228,Y228))</f>
        <v/>
      </c>
    </row>
    <row r="229" customFormat="false" ht="15" hidden="false" customHeight="false" outlineLevel="0" collapsed="false">
      <c r="A229" s="9"/>
      <c r="B229" s="10" t="str">
        <f aca="false">IF(A229="","",IFERROR(INDEX(Parks!$A$2:$A$255,MATCH(A229,Parks!$B$2:$B$255,0)),"?"))</f>
        <v/>
      </c>
      <c r="C229" s="9"/>
      <c r="D229" s="10" t="str">
        <f aca="false">IF(C229="","",IF(SUMPRODUCT(--ISNUMBER(SEARCH({"Nets","Wicket","Diamond","Softball","T-ball","Baseball","Netball","Tennis","Bocce","Pentaque","Petanque","Skate","Car Park","Pond","Bridle","Amphitheatre","Perimeter","Passive"},C229)))&gt;0,"no",IF(SUMPRODUCT(--ISNUMBER(SEARCH({"Cricket","Junior","Mini","Summer Football","Small"},C229)))&gt;0,"reduced",IF(SUMPRODUCT(--ISNUMBER(SEARCH({"Rugby","Football","League","Touch","Gaelic","Australian","Lacrosse","General Sport","Training Area","Ultimate"},C229)))&gt;0,"full","unknown"))))</f>
        <v/>
      </c>
      <c r="E229" s="9"/>
      <c r="F229" s="9"/>
      <c r="G229" s="9"/>
      <c r="H229" s="9"/>
      <c r="I229" s="12"/>
      <c r="J229" s="9"/>
      <c r="K229" s="9"/>
      <c r="L229" s="9"/>
      <c r="M229" s="9"/>
      <c r="N229" s="9"/>
      <c r="O229" s="13" t="str">
        <f aca="false">IF(C229="","",IF(N(M229)+N(N229)&lt;Settings!$C$9,"untested",M229/(M229+N229)))</f>
        <v/>
      </c>
      <c r="P229" s="9"/>
      <c r="Q229" s="9"/>
      <c r="R229" s="9"/>
      <c r="S229" s="12"/>
      <c r="T229" s="9"/>
      <c r="U229" s="9"/>
      <c r="V229" s="9"/>
      <c r="W229" s="10" t="str">
        <f aca="false">IF(C229="","",IF(OR(G229="training",G229="full"),"Yes",IF(G229="none","No","?")))</f>
        <v/>
      </c>
      <c r="X229" s="10" t="str">
        <f aca="false">IF(C229="","",IF(OR(E229="",E229="unknown"),D229,E229))</f>
        <v/>
      </c>
      <c r="Y229" s="10" t="str">
        <f aca="false">IF(C229="","",IF(OR(T229="unsuitable",T229="retired",X229="no"),"—",IF(J229="","unrated",IF(AND(X229="full",J229&gt;=Settings!$C$5,OR(O229="untested",O229&gt;=Settings!$C$6)),"A",IF(AND(OR(X229="full",X229="reduced"),J229&gt;=Settings!$C$7,OR(O229="untested",O229&gt;=Settings!$C$8)),"B","C")))))</f>
        <v/>
      </c>
      <c r="Z229" s="11" t="str">
        <f aca="false">IF(C229="","",IF(P229&lt;&gt;"",P229,Y229))</f>
        <v/>
      </c>
    </row>
    <row r="230" customFormat="false" ht="15" hidden="false" customHeight="false" outlineLevel="0" collapsed="false">
      <c r="A230" s="9"/>
      <c r="B230" s="10" t="str">
        <f aca="false">IF(A230="","",IFERROR(INDEX(Parks!$A$2:$A$255,MATCH(A230,Parks!$B$2:$B$255,0)),"?"))</f>
        <v/>
      </c>
      <c r="C230" s="9"/>
      <c r="D230" s="10" t="str">
        <f aca="false">IF(C230="","",IF(SUMPRODUCT(--ISNUMBER(SEARCH({"Nets","Wicket","Diamond","Softball","T-ball","Baseball","Netball","Tennis","Bocce","Pentaque","Petanque","Skate","Car Park","Pond","Bridle","Amphitheatre","Perimeter","Passive"},C230)))&gt;0,"no",IF(SUMPRODUCT(--ISNUMBER(SEARCH({"Cricket","Junior","Mini","Summer Football","Small"},C230)))&gt;0,"reduced",IF(SUMPRODUCT(--ISNUMBER(SEARCH({"Rugby","Football","League","Touch","Gaelic","Australian","Lacrosse","General Sport","Training Area","Ultimate"},C230)))&gt;0,"full","unknown"))))</f>
        <v/>
      </c>
      <c r="E230" s="9"/>
      <c r="F230" s="9"/>
      <c r="G230" s="9"/>
      <c r="H230" s="9"/>
      <c r="I230" s="12"/>
      <c r="J230" s="9"/>
      <c r="K230" s="9"/>
      <c r="L230" s="9"/>
      <c r="M230" s="9"/>
      <c r="N230" s="9"/>
      <c r="O230" s="13" t="str">
        <f aca="false">IF(C230="","",IF(N(M230)+N(N230)&lt;Settings!$C$9,"untested",M230/(M230+N230)))</f>
        <v/>
      </c>
      <c r="P230" s="9"/>
      <c r="Q230" s="9"/>
      <c r="R230" s="9"/>
      <c r="S230" s="12"/>
      <c r="T230" s="9"/>
      <c r="U230" s="9"/>
      <c r="V230" s="9"/>
      <c r="W230" s="10" t="str">
        <f aca="false">IF(C230="","",IF(OR(G230="training",G230="full"),"Yes",IF(G230="none","No","?")))</f>
        <v/>
      </c>
      <c r="X230" s="10" t="str">
        <f aca="false">IF(C230="","",IF(OR(E230="",E230="unknown"),D230,E230))</f>
        <v/>
      </c>
      <c r="Y230" s="10" t="str">
        <f aca="false">IF(C230="","",IF(OR(T230="unsuitable",T230="retired",X230="no"),"—",IF(J230="","unrated",IF(AND(X230="full",J230&gt;=Settings!$C$5,OR(O230="untested",O230&gt;=Settings!$C$6)),"A",IF(AND(OR(X230="full",X230="reduced"),J230&gt;=Settings!$C$7,OR(O230="untested",O230&gt;=Settings!$C$8)),"B","C")))))</f>
        <v/>
      </c>
      <c r="Z230" s="11" t="str">
        <f aca="false">IF(C230="","",IF(P230&lt;&gt;"",P230,Y230))</f>
        <v/>
      </c>
    </row>
    <row r="231" customFormat="false" ht="15" hidden="false" customHeight="false" outlineLevel="0" collapsed="false">
      <c r="A231" s="9"/>
      <c r="B231" s="10" t="str">
        <f aca="false">IF(A231="","",IFERROR(INDEX(Parks!$A$2:$A$255,MATCH(A231,Parks!$B$2:$B$255,0)),"?"))</f>
        <v/>
      </c>
      <c r="C231" s="9"/>
      <c r="D231" s="10" t="str">
        <f aca="false">IF(C231="","",IF(SUMPRODUCT(--ISNUMBER(SEARCH({"Nets","Wicket","Diamond","Softball","T-ball","Baseball","Netball","Tennis","Bocce","Pentaque","Petanque","Skate","Car Park","Pond","Bridle","Amphitheatre","Perimeter","Passive"},C231)))&gt;0,"no",IF(SUMPRODUCT(--ISNUMBER(SEARCH({"Cricket","Junior","Mini","Summer Football","Small"},C231)))&gt;0,"reduced",IF(SUMPRODUCT(--ISNUMBER(SEARCH({"Rugby","Football","League","Touch","Gaelic","Australian","Lacrosse","General Sport","Training Area","Ultimate"},C231)))&gt;0,"full","unknown"))))</f>
        <v/>
      </c>
      <c r="E231" s="9"/>
      <c r="F231" s="9"/>
      <c r="G231" s="9"/>
      <c r="H231" s="9"/>
      <c r="I231" s="12"/>
      <c r="J231" s="9"/>
      <c r="K231" s="9"/>
      <c r="L231" s="9"/>
      <c r="M231" s="9"/>
      <c r="N231" s="9"/>
      <c r="O231" s="13" t="str">
        <f aca="false">IF(C231="","",IF(N(M231)+N(N231)&lt;Settings!$C$9,"untested",M231/(M231+N231)))</f>
        <v/>
      </c>
      <c r="P231" s="9"/>
      <c r="Q231" s="9"/>
      <c r="R231" s="9"/>
      <c r="S231" s="12"/>
      <c r="T231" s="9"/>
      <c r="U231" s="9"/>
      <c r="V231" s="9"/>
      <c r="W231" s="10" t="str">
        <f aca="false">IF(C231="","",IF(OR(G231="training",G231="full"),"Yes",IF(G231="none","No","?")))</f>
        <v/>
      </c>
      <c r="X231" s="10" t="str">
        <f aca="false">IF(C231="","",IF(OR(E231="",E231="unknown"),D231,E231))</f>
        <v/>
      </c>
      <c r="Y231" s="10" t="str">
        <f aca="false">IF(C231="","",IF(OR(T231="unsuitable",T231="retired",X231="no"),"—",IF(J231="","unrated",IF(AND(X231="full",J231&gt;=Settings!$C$5,OR(O231="untested",O231&gt;=Settings!$C$6)),"A",IF(AND(OR(X231="full",X231="reduced"),J231&gt;=Settings!$C$7,OR(O231="untested",O231&gt;=Settings!$C$8)),"B","C")))))</f>
        <v/>
      </c>
      <c r="Z231" s="11" t="str">
        <f aca="false">IF(C231="","",IF(P231&lt;&gt;"",P231,Y231))</f>
        <v/>
      </c>
    </row>
    <row r="232" customFormat="false" ht="15" hidden="false" customHeight="false" outlineLevel="0" collapsed="false">
      <c r="A232" s="9"/>
      <c r="B232" s="10" t="str">
        <f aca="false">IF(A232="","",IFERROR(INDEX(Parks!$A$2:$A$255,MATCH(A232,Parks!$B$2:$B$255,0)),"?"))</f>
        <v/>
      </c>
      <c r="C232" s="9"/>
      <c r="D232" s="10" t="str">
        <f aca="false">IF(C232="","",IF(SUMPRODUCT(--ISNUMBER(SEARCH({"Nets","Wicket","Diamond","Softball","T-ball","Baseball","Netball","Tennis","Bocce","Pentaque","Petanque","Skate","Car Park","Pond","Bridle","Amphitheatre","Perimeter","Passive"},C232)))&gt;0,"no",IF(SUMPRODUCT(--ISNUMBER(SEARCH({"Cricket","Junior","Mini","Summer Football","Small"},C232)))&gt;0,"reduced",IF(SUMPRODUCT(--ISNUMBER(SEARCH({"Rugby","Football","League","Touch","Gaelic","Australian","Lacrosse","General Sport","Training Area","Ultimate"},C232)))&gt;0,"full","unknown"))))</f>
        <v/>
      </c>
      <c r="E232" s="9"/>
      <c r="F232" s="9"/>
      <c r="G232" s="9"/>
      <c r="H232" s="9"/>
      <c r="I232" s="12"/>
      <c r="J232" s="9"/>
      <c r="K232" s="9"/>
      <c r="L232" s="9"/>
      <c r="M232" s="9"/>
      <c r="N232" s="9"/>
      <c r="O232" s="13" t="str">
        <f aca="false">IF(C232="","",IF(N(M232)+N(N232)&lt;Settings!$C$9,"untested",M232/(M232+N232)))</f>
        <v/>
      </c>
      <c r="P232" s="9"/>
      <c r="Q232" s="9"/>
      <c r="R232" s="9"/>
      <c r="S232" s="12"/>
      <c r="T232" s="9"/>
      <c r="U232" s="9"/>
      <c r="V232" s="9"/>
      <c r="W232" s="10" t="str">
        <f aca="false">IF(C232="","",IF(OR(G232="training",G232="full"),"Yes",IF(G232="none","No","?")))</f>
        <v/>
      </c>
      <c r="X232" s="10" t="str">
        <f aca="false">IF(C232="","",IF(OR(E232="",E232="unknown"),D232,E232))</f>
        <v/>
      </c>
      <c r="Y232" s="10" t="str">
        <f aca="false">IF(C232="","",IF(OR(T232="unsuitable",T232="retired",X232="no"),"—",IF(J232="","unrated",IF(AND(X232="full",J232&gt;=Settings!$C$5,OR(O232="untested",O232&gt;=Settings!$C$6)),"A",IF(AND(OR(X232="full",X232="reduced"),J232&gt;=Settings!$C$7,OR(O232="untested",O232&gt;=Settings!$C$8)),"B","C")))))</f>
        <v/>
      </c>
      <c r="Z232" s="11" t="str">
        <f aca="false">IF(C232="","",IF(P232&lt;&gt;"",P232,Y232))</f>
        <v/>
      </c>
    </row>
    <row r="233" customFormat="false" ht="15" hidden="false" customHeight="false" outlineLevel="0" collapsed="false">
      <c r="A233" s="9"/>
      <c r="B233" s="10" t="str">
        <f aca="false">IF(A233="","",IFERROR(INDEX(Parks!$A$2:$A$255,MATCH(A233,Parks!$B$2:$B$255,0)),"?"))</f>
        <v/>
      </c>
      <c r="C233" s="9"/>
      <c r="D233" s="10" t="str">
        <f aca="false">IF(C233="","",IF(SUMPRODUCT(--ISNUMBER(SEARCH({"Nets","Wicket","Diamond","Softball","T-ball","Baseball","Netball","Tennis","Bocce","Pentaque","Petanque","Skate","Car Park","Pond","Bridle","Amphitheatre","Perimeter","Passive"},C233)))&gt;0,"no",IF(SUMPRODUCT(--ISNUMBER(SEARCH({"Cricket","Junior","Mini","Summer Football","Small"},C233)))&gt;0,"reduced",IF(SUMPRODUCT(--ISNUMBER(SEARCH({"Rugby","Football","League","Touch","Gaelic","Australian","Lacrosse","General Sport","Training Area","Ultimate"},C233)))&gt;0,"full","unknown"))))</f>
        <v/>
      </c>
      <c r="E233" s="9"/>
      <c r="F233" s="9"/>
      <c r="G233" s="9"/>
      <c r="H233" s="9"/>
      <c r="I233" s="12"/>
      <c r="J233" s="9"/>
      <c r="K233" s="9"/>
      <c r="L233" s="9"/>
      <c r="M233" s="9"/>
      <c r="N233" s="9"/>
      <c r="O233" s="13" t="str">
        <f aca="false">IF(C233="","",IF(N(M233)+N(N233)&lt;Settings!$C$9,"untested",M233/(M233+N233)))</f>
        <v/>
      </c>
      <c r="P233" s="9"/>
      <c r="Q233" s="9"/>
      <c r="R233" s="9"/>
      <c r="S233" s="12"/>
      <c r="T233" s="9"/>
      <c r="U233" s="9"/>
      <c r="V233" s="9"/>
      <c r="W233" s="10" t="str">
        <f aca="false">IF(C233="","",IF(OR(G233="training",G233="full"),"Yes",IF(G233="none","No","?")))</f>
        <v/>
      </c>
      <c r="X233" s="10" t="str">
        <f aca="false">IF(C233="","",IF(OR(E233="",E233="unknown"),D233,E233))</f>
        <v/>
      </c>
      <c r="Y233" s="10" t="str">
        <f aca="false">IF(C233="","",IF(OR(T233="unsuitable",T233="retired",X233="no"),"—",IF(J233="","unrated",IF(AND(X233="full",J233&gt;=Settings!$C$5,OR(O233="untested",O233&gt;=Settings!$C$6)),"A",IF(AND(OR(X233="full",X233="reduced"),J233&gt;=Settings!$C$7,OR(O233="untested",O233&gt;=Settings!$C$8)),"B","C")))))</f>
        <v/>
      </c>
      <c r="Z233" s="11" t="str">
        <f aca="false">IF(C233="","",IF(P233&lt;&gt;"",P233,Y233))</f>
        <v/>
      </c>
    </row>
    <row r="234" customFormat="false" ht="15" hidden="false" customHeight="false" outlineLevel="0" collapsed="false">
      <c r="A234" s="9"/>
      <c r="B234" s="10" t="str">
        <f aca="false">IF(A234="","",IFERROR(INDEX(Parks!$A$2:$A$255,MATCH(A234,Parks!$B$2:$B$255,0)),"?"))</f>
        <v/>
      </c>
      <c r="C234" s="9"/>
      <c r="D234" s="10" t="str">
        <f aca="false">IF(C234="","",IF(SUMPRODUCT(--ISNUMBER(SEARCH({"Nets","Wicket","Diamond","Softball","T-ball","Baseball","Netball","Tennis","Bocce","Pentaque","Petanque","Skate","Car Park","Pond","Bridle","Amphitheatre","Perimeter","Passive"},C234)))&gt;0,"no",IF(SUMPRODUCT(--ISNUMBER(SEARCH({"Cricket","Junior","Mini","Summer Football","Small"},C234)))&gt;0,"reduced",IF(SUMPRODUCT(--ISNUMBER(SEARCH({"Rugby","Football","League","Touch","Gaelic","Australian","Lacrosse","General Sport","Training Area","Ultimate"},C234)))&gt;0,"full","unknown"))))</f>
        <v/>
      </c>
      <c r="E234" s="9"/>
      <c r="F234" s="9"/>
      <c r="G234" s="9"/>
      <c r="H234" s="9"/>
      <c r="I234" s="12"/>
      <c r="J234" s="9"/>
      <c r="K234" s="9"/>
      <c r="L234" s="9"/>
      <c r="M234" s="9"/>
      <c r="N234" s="9"/>
      <c r="O234" s="13" t="str">
        <f aca="false">IF(C234="","",IF(N(M234)+N(N234)&lt;Settings!$C$9,"untested",M234/(M234+N234)))</f>
        <v/>
      </c>
      <c r="P234" s="9"/>
      <c r="Q234" s="9"/>
      <c r="R234" s="9"/>
      <c r="S234" s="12"/>
      <c r="T234" s="9"/>
      <c r="U234" s="9"/>
      <c r="V234" s="9"/>
      <c r="W234" s="10" t="str">
        <f aca="false">IF(C234="","",IF(OR(G234="training",G234="full"),"Yes",IF(G234="none","No","?")))</f>
        <v/>
      </c>
      <c r="X234" s="10" t="str">
        <f aca="false">IF(C234="","",IF(OR(E234="",E234="unknown"),D234,E234))</f>
        <v/>
      </c>
      <c r="Y234" s="10" t="str">
        <f aca="false">IF(C234="","",IF(OR(T234="unsuitable",T234="retired",X234="no"),"—",IF(J234="","unrated",IF(AND(X234="full",J234&gt;=Settings!$C$5,OR(O234="untested",O234&gt;=Settings!$C$6)),"A",IF(AND(OR(X234="full",X234="reduced"),J234&gt;=Settings!$C$7,OR(O234="untested",O234&gt;=Settings!$C$8)),"B","C")))))</f>
        <v/>
      </c>
      <c r="Z234" s="11" t="str">
        <f aca="false">IF(C234="","",IF(P234&lt;&gt;"",P234,Y234))</f>
        <v/>
      </c>
    </row>
    <row r="235" customFormat="false" ht="15" hidden="false" customHeight="false" outlineLevel="0" collapsed="false">
      <c r="A235" s="9"/>
      <c r="B235" s="10" t="str">
        <f aca="false">IF(A235="","",IFERROR(INDEX(Parks!$A$2:$A$255,MATCH(A235,Parks!$B$2:$B$255,0)),"?"))</f>
        <v/>
      </c>
      <c r="C235" s="9"/>
      <c r="D235" s="10" t="str">
        <f aca="false">IF(C235="","",IF(SUMPRODUCT(--ISNUMBER(SEARCH({"Nets","Wicket","Diamond","Softball","T-ball","Baseball","Netball","Tennis","Bocce","Pentaque","Petanque","Skate","Car Park","Pond","Bridle","Amphitheatre","Perimeter","Passive"},C235)))&gt;0,"no",IF(SUMPRODUCT(--ISNUMBER(SEARCH({"Cricket","Junior","Mini","Summer Football","Small"},C235)))&gt;0,"reduced",IF(SUMPRODUCT(--ISNUMBER(SEARCH({"Rugby","Football","League","Touch","Gaelic","Australian","Lacrosse","General Sport","Training Area","Ultimate"},C235)))&gt;0,"full","unknown"))))</f>
        <v/>
      </c>
      <c r="E235" s="9"/>
      <c r="F235" s="9"/>
      <c r="G235" s="9"/>
      <c r="H235" s="9"/>
      <c r="I235" s="12"/>
      <c r="J235" s="9"/>
      <c r="K235" s="9"/>
      <c r="L235" s="9"/>
      <c r="M235" s="9"/>
      <c r="N235" s="9"/>
      <c r="O235" s="13" t="str">
        <f aca="false">IF(C235="","",IF(N(M235)+N(N235)&lt;Settings!$C$9,"untested",M235/(M235+N235)))</f>
        <v/>
      </c>
      <c r="P235" s="9"/>
      <c r="Q235" s="9"/>
      <c r="R235" s="9"/>
      <c r="S235" s="12"/>
      <c r="T235" s="9"/>
      <c r="U235" s="9"/>
      <c r="V235" s="9"/>
      <c r="W235" s="10" t="str">
        <f aca="false">IF(C235="","",IF(OR(G235="training",G235="full"),"Yes",IF(G235="none","No","?")))</f>
        <v/>
      </c>
      <c r="X235" s="10" t="str">
        <f aca="false">IF(C235="","",IF(OR(E235="",E235="unknown"),D235,E235))</f>
        <v/>
      </c>
      <c r="Y235" s="10" t="str">
        <f aca="false">IF(C235="","",IF(OR(T235="unsuitable",T235="retired",X235="no"),"—",IF(J235="","unrated",IF(AND(X235="full",J235&gt;=Settings!$C$5,OR(O235="untested",O235&gt;=Settings!$C$6)),"A",IF(AND(OR(X235="full",X235="reduced"),J235&gt;=Settings!$C$7,OR(O235="untested",O235&gt;=Settings!$C$8)),"B","C")))))</f>
        <v/>
      </c>
      <c r="Z235" s="11" t="str">
        <f aca="false">IF(C235="","",IF(P235&lt;&gt;"",P235,Y235))</f>
        <v/>
      </c>
    </row>
    <row r="236" customFormat="false" ht="15" hidden="false" customHeight="false" outlineLevel="0" collapsed="false">
      <c r="A236" s="9"/>
      <c r="B236" s="10" t="str">
        <f aca="false">IF(A236="","",IFERROR(INDEX(Parks!$A$2:$A$255,MATCH(A236,Parks!$B$2:$B$255,0)),"?"))</f>
        <v/>
      </c>
      <c r="C236" s="9"/>
      <c r="D236" s="10" t="str">
        <f aca="false">IF(C236="","",IF(SUMPRODUCT(--ISNUMBER(SEARCH({"Nets","Wicket","Diamond","Softball","T-ball","Baseball","Netball","Tennis","Bocce","Pentaque","Petanque","Skate","Car Park","Pond","Bridle","Amphitheatre","Perimeter","Passive"},C236)))&gt;0,"no",IF(SUMPRODUCT(--ISNUMBER(SEARCH({"Cricket","Junior","Mini","Summer Football","Small"},C236)))&gt;0,"reduced",IF(SUMPRODUCT(--ISNUMBER(SEARCH({"Rugby","Football","League","Touch","Gaelic","Australian","Lacrosse","General Sport","Training Area","Ultimate"},C236)))&gt;0,"full","unknown"))))</f>
        <v/>
      </c>
      <c r="E236" s="9"/>
      <c r="F236" s="9"/>
      <c r="G236" s="9"/>
      <c r="H236" s="9"/>
      <c r="I236" s="12"/>
      <c r="J236" s="9"/>
      <c r="K236" s="9"/>
      <c r="L236" s="9"/>
      <c r="M236" s="9"/>
      <c r="N236" s="9"/>
      <c r="O236" s="13" t="str">
        <f aca="false">IF(C236="","",IF(N(M236)+N(N236)&lt;Settings!$C$9,"untested",M236/(M236+N236)))</f>
        <v/>
      </c>
      <c r="P236" s="9"/>
      <c r="Q236" s="9"/>
      <c r="R236" s="9"/>
      <c r="S236" s="12"/>
      <c r="T236" s="9"/>
      <c r="U236" s="9"/>
      <c r="V236" s="9"/>
      <c r="W236" s="10" t="str">
        <f aca="false">IF(C236="","",IF(OR(G236="training",G236="full"),"Yes",IF(G236="none","No","?")))</f>
        <v/>
      </c>
      <c r="X236" s="10" t="str">
        <f aca="false">IF(C236="","",IF(OR(E236="",E236="unknown"),D236,E236))</f>
        <v/>
      </c>
      <c r="Y236" s="10" t="str">
        <f aca="false">IF(C236="","",IF(OR(T236="unsuitable",T236="retired",X236="no"),"—",IF(J236="","unrated",IF(AND(X236="full",J236&gt;=Settings!$C$5,OR(O236="untested",O236&gt;=Settings!$C$6)),"A",IF(AND(OR(X236="full",X236="reduced"),J236&gt;=Settings!$C$7,OR(O236="untested",O236&gt;=Settings!$C$8)),"B","C")))))</f>
        <v/>
      </c>
      <c r="Z236" s="11" t="str">
        <f aca="false">IF(C236="","",IF(P236&lt;&gt;"",P236,Y236))</f>
        <v/>
      </c>
    </row>
    <row r="237" customFormat="false" ht="15" hidden="false" customHeight="false" outlineLevel="0" collapsed="false">
      <c r="A237" s="9"/>
      <c r="B237" s="10" t="str">
        <f aca="false">IF(A237="","",IFERROR(INDEX(Parks!$A$2:$A$255,MATCH(A237,Parks!$B$2:$B$255,0)),"?"))</f>
        <v/>
      </c>
      <c r="C237" s="9"/>
      <c r="D237" s="10" t="str">
        <f aca="false">IF(C237="","",IF(SUMPRODUCT(--ISNUMBER(SEARCH({"Nets","Wicket","Diamond","Softball","T-ball","Baseball","Netball","Tennis","Bocce","Pentaque","Petanque","Skate","Car Park","Pond","Bridle","Amphitheatre","Perimeter","Passive"},C237)))&gt;0,"no",IF(SUMPRODUCT(--ISNUMBER(SEARCH({"Cricket","Junior","Mini","Summer Football","Small"},C237)))&gt;0,"reduced",IF(SUMPRODUCT(--ISNUMBER(SEARCH({"Rugby","Football","League","Touch","Gaelic","Australian","Lacrosse","General Sport","Training Area","Ultimate"},C237)))&gt;0,"full","unknown"))))</f>
        <v/>
      </c>
      <c r="E237" s="9"/>
      <c r="F237" s="9"/>
      <c r="G237" s="9"/>
      <c r="H237" s="9"/>
      <c r="I237" s="12"/>
      <c r="J237" s="9"/>
      <c r="K237" s="9"/>
      <c r="L237" s="9"/>
      <c r="M237" s="9"/>
      <c r="N237" s="9"/>
      <c r="O237" s="13" t="str">
        <f aca="false">IF(C237="","",IF(N(M237)+N(N237)&lt;Settings!$C$9,"untested",M237/(M237+N237)))</f>
        <v/>
      </c>
      <c r="P237" s="9"/>
      <c r="Q237" s="9"/>
      <c r="R237" s="9"/>
      <c r="S237" s="12"/>
      <c r="T237" s="9"/>
      <c r="U237" s="9"/>
      <c r="V237" s="9"/>
      <c r="W237" s="10" t="str">
        <f aca="false">IF(C237="","",IF(OR(G237="training",G237="full"),"Yes",IF(G237="none","No","?")))</f>
        <v/>
      </c>
      <c r="X237" s="10" t="str">
        <f aca="false">IF(C237="","",IF(OR(E237="",E237="unknown"),D237,E237))</f>
        <v/>
      </c>
      <c r="Y237" s="10" t="str">
        <f aca="false">IF(C237="","",IF(OR(T237="unsuitable",T237="retired",X237="no"),"—",IF(J237="","unrated",IF(AND(X237="full",J237&gt;=Settings!$C$5,OR(O237="untested",O237&gt;=Settings!$C$6)),"A",IF(AND(OR(X237="full",X237="reduced"),J237&gt;=Settings!$C$7,OR(O237="untested",O237&gt;=Settings!$C$8)),"B","C")))))</f>
        <v/>
      </c>
      <c r="Z237" s="11" t="str">
        <f aca="false">IF(C237="","",IF(P237&lt;&gt;"",P237,Y237))</f>
        <v/>
      </c>
    </row>
    <row r="238" customFormat="false" ht="15" hidden="false" customHeight="false" outlineLevel="0" collapsed="false">
      <c r="A238" s="9"/>
      <c r="B238" s="10" t="str">
        <f aca="false">IF(A238="","",IFERROR(INDEX(Parks!$A$2:$A$255,MATCH(A238,Parks!$B$2:$B$255,0)),"?"))</f>
        <v/>
      </c>
      <c r="C238" s="9"/>
      <c r="D238" s="10" t="str">
        <f aca="false">IF(C238="","",IF(SUMPRODUCT(--ISNUMBER(SEARCH({"Nets","Wicket","Diamond","Softball","T-ball","Baseball","Netball","Tennis","Bocce","Pentaque","Petanque","Skate","Car Park","Pond","Bridle","Amphitheatre","Perimeter","Passive"},C238)))&gt;0,"no",IF(SUMPRODUCT(--ISNUMBER(SEARCH({"Cricket","Junior","Mini","Summer Football","Small"},C238)))&gt;0,"reduced",IF(SUMPRODUCT(--ISNUMBER(SEARCH({"Rugby","Football","League","Touch","Gaelic","Australian","Lacrosse","General Sport","Training Area","Ultimate"},C238)))&gt;0,"full","unknown"))))</f>
        <v/>
      </c>
      <c r="E238" s="9"/>
      <c r="F238" s="9"/>
      <c r="G238" s="9"/>
      <c r="H238" s="9"/>
      <c r="I238" s="12"/>
      <c r="J238" s="9"/>
      <c r="K238" s="9"/>
      <c r="L238" s="9"/>
      <c r="M238" s="9"/>
      <c r="N238" s="9"/>
      <c r="O238" s="13" t="str">
        <f aca="false">IF(C238="","",IF(N(M238)+N(N238)&lt;Settings!$C$9,"untested",M238/(M238+N238)))</f>
        <v/>
      </c>
      <c r="P238" s="9"/>
      <c r="Q238" s="9"/>
      <c r="R238" s="9"/>
      <c r="S238" s="12"/>
      <c r="T238" s="9"/>
      <c r="U238" s="9"/>
      <c r="V238" s="9"/>
      <c r="W238" s="10" t="str">
        <f aca="false">IF(C238="","",IF(OR(G238="training",G238="full"),"Yes",IF(G238="none","No","?")))</f>
        <v/>
      </c>
      <c r="X238" s="10" t="str">
        <f aca="false">IF(C238="","",IF(OR(E238="",E238="unknown"),D238,E238))</f>
        <v/>
      </c>
      <c r="Y238" s="10" t="str">
        <f aca="false">IF(C238="","",IF(OR(T238="unsuitable",T238="retired",X238="no"),"—",IF(J238="","unrated",IF(AND(X238="full",J238&gt;=Settings!$C$5,OR(O238="untested",O238&gt;=Settings!$C$6)),"A",IF(AND(OR(X238="full",X238="reduced"),J238&gt;=Settings!$C$7,OR(O238="untested",O238&gt;=Settings!$C$8)),"B","C")))))</f>
        <v/>
      </c>
      <c r="Z238" s="11" t="str">
        <f aca="false">IF(C238="","",IF(P238&lt;&gt;"",P238,Y238))</f>
        <v/>
      </c>
    </row>
    <row r="239" customFormat="false" ht="15" hidden="false" customHeight="false" outlineLevel="0" collapsed="false">
      <c r="A239" s="9"/>
      <c r="B239" s="10" t="str">
        <f aca="false">IF(A239="","",IFERROR(INDEX(Parks!$A$2:$A$255,MATCH(A239,Parks!$B$2:$B$255,0)),"?"))</f>
        <v/>
      </c>
      <c r="C239" s="9"/>
      <c r="D239" s="10" t="str">
        <f aca="false">IF(C239="","",IF(SUMPRODUCT(--ISNUMBER(SEARCH({"Nets","Wicket","Diamond","Softball","T-ball","Baseball","Netball","Tennis","Bocce","Pentaque","Petanque","Skate","Car Park","Pond","Bridle","Amphitheatre","Perimeter","Passive"},C239)))&gt;0,"no",IF(SUMPRODUCT(--ISNUMBER(SEARCH({"Cricket","Junior","Mini","Summer Football","Small"},C239)))&gt;0,"reduced",IF(SUMPRODUCT(--ISNUMBER(SEARCH({"Rugby","Football","League","Touch","Gaelic","Australian","Lacrosse","General Sport","Training Area","Ultimate"},C239)))&gt;0,"full","unknown"))))</f>
        <v/>
      </c>
      <c r="E239" s="9"/>
      <c r="F239" s="9"/>
      <c r="G239" s="9"/>
      <c r="H239" s="9"/>
      <c r="I239" s="12"/>
      <c r="J239" s="9"/>
      <c r="K239" s="9"/>
      <c r="L239" s="9"/>
      <c r="M239" s="9"/>
      <c r="N239" s="9"/>
      <c r="O239" s="13" t="str">
        <f aca="false">IF(C239="","",IF(N(M239)+N(N239)&lt;Settings!$C$9,"untested",M239/(M239+N239)))</f>
        <v/>
      </c>
      <c r="P239" s="9"/>
      <c r="Q239" s="9"/>
      <c r="R239" s="9"/>
      <c r="S239" s="12"/>
      <c r="T239" s="9"/>
      <c r="U239" s="9"/>
      <c r="V239" s="9"/>
      <c r="W239" s="10" t="str">
        <f aca="false">IF(C239="","",IF(OR(G239="training",G239="full"),"Yes",IF(G239="none","No","?")))</f>
        <v/>
      </c>
      <c r="X239" s="10" t="str">
        <f aca="false">IF(C239="","",IF(OR(E239="",E239="unknown"),D239,E239))</f>
        <v/>
      </c>
      <c r="Y239" s="10" t="str">
        <f aca="false">IF(C239="","",IF(OR(T239="unsuitable",T239="retired",X239="no"),"—",IF(J239="","unrated",IF(AND(X239="full",J239&gt;=Settings!$C$5,OR(O239="untested",O239&gt;=Settings!$C$6)),"A",IF(AND(OR(X239="full",X239="reduced"),J239&gt;=Settings!$C$7,OR(O239="untested",O239&gt;=Settings!$C$8)),"B","C")))))</f>
        <v/>
      </c>
      <c r="Z239" s="11" t="str">
        <f aca="false">IF(C239="","",IF(P239&lt;&gt;"",P239,Y239))</f>
        <v/>
      </c>
    </row>
    <row r="240" customFormat="false" ht="15" hidden="false" customHeight="false" outlineLevel="0" collapsed="false">
      <c r="A240" s="9"/>
      <c r="B240" s="10" t="str">
        <f aca="false">IF(A240="","",IFERROR(INDEX(Parks!$A$2:$A$255,MATCH(A240,Parks!$B$2:$B$255,0)),"?"))</f>
        <v/>
      </c>
      <c r="C240" s="9"/>
      <c r="D240" s="10" t="str">
        <f aca="false">IF(C240="","",IF(SUMPRODUCT(--ISNUMBER(SEARCH({"Nets","Wicket","Diamond","Softball","T-ball","Baseball","Netball","Tennis","Bocce","Pentaque","Petanque","Skate","Car Park","Pond","Bridle","Amphitheatre","Perimeter","Passive"},C240)))&gt;0,"no",IF(SUMPRODUCT(--ISNUMBER(SEARCH({"Cricket","Junior","Mini","Summer Football","Small"},C240)))&gt;0,"reduced",IF(SUMPRODUCT(--ISNUMBER(SEARCH({"Rugby","Football","League","Touch","Gaelic","Australian","Lacrosse","General Sport","Training Area","Ultimate"},C240)))&gt;0,"full","unknown"))))</f>
        <v/>
      </c>
      <c r="E240" s="9"/>
      <c r="F240" s="9"/>
      <c r="G240" s="9"/>
      <c r="H240" s="9"/>
      <c r="I240" s="12"/>
      <c r="J240" s="9"/>
      <c r="K240" s="9"/>
      <c r="L240" s="9"/>
      <c r="M240" s="9"/>
      <c r="N240" s="9"/>
      <c r="O240" s="13" t="str">
        <f aca="false">IF(C240="","",IF(N(M240)+N(N240)&lt;Settings!$C$9,"untested",M240/(M240+N240)))</f>
        <v/>
      </c>
      <c r="P240" s="9"/>
      <c r="Q240" s="9"/>
      <c r="R240" s="9"/>
      <c r="S240" s="12"/>
      <c r="T240" s="9"/>
      <c r="U240" s="9"/>
      <c r="V240" s="9"/>
      <c r="W240" s="10" t="str">
        <f aca="false">IF(C240="","",IF(OR(G240="training",G240="full"),"Yes",IF(G240="none","No","?")))</f>
        <v/>
      </c>
      <c r="X240" s="10" t="str">
        <f aca="false">IF(C240="","",IF(OR(E240="",E240="unknown"),D240,E240))</f>
        <v/>
      </c>
      <c r="Y240" s="10" t="str">
        <f aca="false">IF(C240="","",IF(OR(T240="unsuitable",T240="retired",X240="no"),"—",IF(J240="","unrated",IF(AND(X240="full",J240&gt;=Settings!$C$5,OR(O240="untested",O240&gt;=Settings!$C$6)),"A",IF(AND(OR(X240="full",X240="reduced"),J240&gt;=Settings!$C$7,OR(O240="untested",O240&gt;=Settings!$C$8)),"B","C")))))</f>
        <v/>
      </c>
      <c r="Z240" s="11" t="str">
        <f aca="false">IF(C240="","",IF(P240&lt;&gt;"",P240,Y240))</f>
        <v/>
      </c>
    </row>
    <row r="241" customFormat="false" ht="15" hidden="false" customHeight="false" outlineLevel="0" collapsed="false">
      <c r="A241" s="9"/>
      <c r="B241" s="10" t="str">
        <f aca="false">IF(A241="","",IFERROR(INDEX(Parks!$A$2:$A$255,MATCH(A241,Parks!$B$2:$B$255,0)),"?"))</f>
        <v/>
      </c>
      <c r="C241" s="9"/>
      <c r="D241" s="10" t="str">
        <f aca="false">IF(C241="","",IF(SUMPRODUCT(--ISNUMBER(SEARCH({"Nets","Wicket","Diamond","Softball","T-ball","Baseball","Netball","Tennis","Bocce","Pentaque","Petanque","Skate","Car Park","Pond","Bridle","Amphitheatre","Perimeter","Passive"},C241)))&gt;0,"no",IF(SUMPRODUCT(--ISNUMBER(SEARCH({"Cricket","Junior","Mini","Summer Football","Small"},C241)))&gt;0,"reduced",IF(SUMPRODUCT(--ISNUMBER(SEARCH({"Rugby","Football","League","Touch","Gaelic","Australian","Lacrosse","General Sport","Training Area","Ultimate"},C241)))&gt;0,"full","unknown"))))</f>
        <v/>
      </c>
      <c r="E241" s="9"/>
      <c r="F241" s="9"/>
      <c r="G241" s="9"/>
      <c r="H241" s="9"/>
      <c r="I241" s="12"/>
      <c r="J241" s="9"/>
      <c r="K241" s="9"/>
      <c r="L241" s="9"/>
      <c r="M241" s="9"/>
      <c r="N241" s="9"/>
      <c r="O241" s="13" t="str">
        <f aca="false">IF(C241="","",IF(N(M241)+N(N241)&lt;Settings!$C$9,"untested",M241/(M241+N241)))</f>
        <v/>
      </c>
      <c r="P241" s="9"/>
      <c r="Q241" s="9"/>
      <c r="R241" s="9"/>
      <c r="S241" s="12"/>
      <c r="T241" s="9"/>
      <c r="U241" s="9"/>
      <c r="V241" s="9"/>
      <c r="W241" s="10" t="str">
        <f aca="false">IF(C241="","",IF(OR(G241="training",G241="full"),"Yes",IF(G241="none","No","?")))</f>
        <v/>
      </c>
      <c r="X241" s="10" t="str">
        <f aca="false">IF(C241="","",IF(OR(E241="",E241="unknown"),D241,E241))</f>
        <v/>
      </c>
      <c r="Y241" s="10" t="str">
        <f aca="false">IF(C241="","",IF(OR(T241="unsuitable",T241="retired",X241="no"),"—",IF(J241="","unrated",IF(AND(X241="full",J241&gt;=Settings!$C$5,OR(O241="untested",O241&gt;=Settings!$C$6)),"A",IF(AND(OR(X241="full",X241="reduced"),J241&gt;=Settings!$C$7,OR(O241="untested",O241&gt;=Settings!$C$8)),"B","C")))))</f>
        <v/>
      </c>
      <c r="Z241" s="11" t="str">
        <f aca="false">IF(C241="","",IF(P241&lt;&gt;"",P241,Y241))</f>
        <v/>
      </c>
    </row>
    <row r="242" customFormat="false" ht="15" hidden="false" customHeight="false" outlineLevel="0" collapsed="false">
      <c r="A242" s="9"/>
      <c r="B242" s="10" t="str">
        <f aca="false">IF(A242="","",IFERROR(INDEX(Parks!$A$2:$A$255,MATCH(A242,Parks!$B$2:$B$255,0)),"?"))</f>
        <v/>
      </c>
      <c r="C242" s="9"/>
      <c r="D242" s="10" t="str">
        <f aca="false">IF(C242="","",IF(SUMPRODUCT(--ISNUMBER(SEARCH({"Nets","Wicket","Diamond","Softball","T-ball","Baseball","Netball","Tennis","Bocce","Pentaque","Petanque","Skate","Car Park","Pond","Bridle","Amphitheatre","Perimeter","Passive"},C242)))&gt;0,"no",IF(SUMPRODUCT(--ISNUMBER(SEARCH({"Cricket","Junior","Mini","Summer Football","Small"},C242)))&gt;0,"reduced",IF(SUMPRODUCT(--ISNUMBER(SEARCH({"Rugby","Football","League","Touch","Gaelic","Australian","Lacrosse","General Sport","Training Area","Ultimate"},C242)))&gt;0,"full","unknown"))))</f>
        <v/>
      </c>
      <c r="E242" s="9"/>
      <c r="F242" s="9"/>
      <c r="G242" s="9"/>
      <c r="H242" s="9"/>
      <c r="I242" s="12"/>
      <c r="J242" s="9"/>
      <c r="K242" s="9"/>
      <c r="L242" s="9"/>
      <c r="M242" s="9"/>
      <c r="N242" s="9"/>
      <c r="O242" s="13" t="str">
        <f aca="false">IF(C242="","",IF(N(M242)+N(N242)&lt;Settings!$C$9,"untested",M242/(M242+N242)))</f>
        <v/>
      </c>
      <c r="P242" s="9"/>
      <c r="Q242" s="9"/>
      <c r="R242" s="9"/>
      <c r="S242" s="12"/>
      <c r="T242" s="9"/>
      <c r="U242" s="9"/>
      <c r="V242" s="9"/>
      <c r="W242" s="10" t="str">
        <f aca="false">IF(C242="","",IF(OR(G242="training",G242="full"),"Yes",IF(G242="none","No","?")))</f>
        <v/>
      </c>
      <c r="X242" s="10" t="str">
        <f aca="false">IF(C242="","",IF(OR(E242="",E242="unknown"),D242,E242))</f>
        <v/>
      </c>
      <c r="Y242" s="10" t="str">
        <f aca="false">IF(C242="","",IF(OR(T242="unsuitable",T242="retired",X242="no"),"—",IF(J242="","unrated",IF(AND(X242="full",J242&gt;=Settings!$C$5,OR(O242="untested",O242&gt;=Settings!$C$6)),"A",IF(AND(OR(X242="full",X242="reduced"),J242&gt;=Settings!$C$7,OR(O242="untested",O242&gt;=Settings!$C$8)),"B","C")))))</f>
        <v/>
      </c>
      <c r="Z242" s="11" t="str">
        <f aca="false">IF(C242="","",IF(P242&lt;&gt;"",P242,Y242))</f>
        <v/>
      </c>
    </row>
    <row r="243" customFormat="false" ht="15" hidden="false" customHeight="false" outlineLevel="0" collapsed="false">
      <c r="A243" s="9"/>
      <c r="B243" s="10" t="str">
        <f aca="false">IF(A243="","",IFERROR(INDEX(Parks!$A$2:$A$255,MATCH(A243,Parks!$B$2:$B$255,0)),"?"))</f>
        <v/>
      </c>
      <c r="C243" s="9"/>
      <c r="D243" s="10" t="str">
        <f aca="false">IF(C243="","",IF(SUMPRODUCT(--ISNUMBER(SEARCH({"Nets","Wicket","Diamond","Softball","T-ball","Baseball","Netball","Tennis","Bocce","Pentaque","Petanque","Skate","Car Park","Pond","Bridle","Amphitheatre","Perimeter","Passive"},C243)))&gt;0,"no",IF(SUMPRODUCT(--ISNUMBER(SEARCH({"Cricket","Junior","Mini","Summer Football","Small"},C243)))&gt;0,"reduced",IF(SUMPRODUCT(--ISNUMBER(SEARCH({"Rugby","Football","League","Touch","Gaelic","Australian","Lacrosse","General Sport","Training Area","Ultimate"},C243)))&gt;0,"full","unknown"))))</f>
        <v/>
      </c>
      <c r="E243" s="9"/>
      <c r="F243" s="9"/>
      <c r="G243" s="9"/>
      <c r="H243" s="9"/>
      <c r="I243" s="12"/>
      <c r="J243" s="9"/>
      <c r="K243" s="9"/>
      <c r="L243" s="9"/>
      <c r="M243" s="9"/>
      <c r="N243" s="9"/>
      <c r="O243" s="13" t="str">
        <f aca="false">IF(C243="","",IF(N(M243)+N(N243)&lt;Settings!$C$9,"untested",M243/(M243+N243)))</f>
        <v/>
      </c>
      <c r="P243" s="9"/>
      <c r="Q243" s="9"/>
      <c r="R243" s="9"/>
      <c r="S243" s="12"/>
      <c r="T243" s="9"/>
      <c r="U243" s="9"/>
      <c r="V243" s="9"/>
      <c r="W243" s="10" t="str">
        <f aca="false">IF(C243="","",IF(OR(G243="training",G243="full"),"Yes",IF(G243="none","No","?")))</f>
        <v/>
      </c>
      <c r="X243" s="10" t="str">
        <f aca="false">IF(C243="","",IF(OR(E243="",E243="unknown"),D243,E243))</f>
        <v/>
      </c>
      <c r="Y243" s="10" t="str">
        <f aca="false">IF(C243="","",IF(OR(T243="unsuitable",T243="retired",X243="no"),"—",IF(J243="","unrated",IF(AND(X243="full",J243&gt;=Settings!$C$5,OR(O243="untested",O243&gt;=Settings!$C$6)),"A",IF(AND(OR(X243="full",X243="reduced"),J243&gt;=Settings!$C$7,OR(O243="untested",O243&gt;=Settings!$C$8)),"B","C")))))</f>
        <v/>
      </c>
      <c r="Z243" s="11" t="str">
        <f aca="false">IF(C243="","",IF(P243&lt;&gt;"",P243,Y243))</f>
        <v/>
      </c>
    </row>
    <row r="244" customFormat="false" ht="15" hidden="false" customHeight="false" outlineLevel="0" collapsed="false">
      <c r="A244" s="9"/>
      <c r="B244" s="10" t="str">
        <f aca="false">IF(A244="","",IFERROR(INDEX(Parks!$A$2:$A$255,MATCH(A244,Parks!$B$2:$B$255,0)),"?"))</f>
        <v/>
      </c>
      <c r="C244" s="9"/>
      <c r="D244" s="10" t="str">
        <f aca="false">IF(C244="","",IF(SUMPRODUCT(--ISNUMBER(SEARCH({"Nets","Wicket","Diamond","Softball","T-ball","Baseball","Netball","Tennis","Bocce","Pentaque","Petanque","Skate","Car Park","Pond","Bridle","Amphitheatre","Perimeter","Passive"},C244)))&gt;0,"no",IF(SUMPRODUCT(--ISNUMBER(SEARCH({"Cricket","Junior","Mini","Summer Football","Small"},C244)))&gt;0,"reduced",IF(SUMPRODUCT(--ISNUMBER(SEARCH({"Rugby","Football","League","Touch","Gaelic","Australian","Lacrosse","General Sport","Training Area","Ultimate"},C244)))&gt;0,"full","unknown"))))</f>
        <v/>
      </c>
      <c r="E244" s="9"/>
      <c r="F244" s="9"/>
      <c r="G244" s="9"/>
      <c r="H244" s="9"/>
      <c r="I244" s="12"/>
      <c r="J244" s="9"/>
      <c r="K244" s="9"/>
      <c r="L244" s="9"/>
      <c r="M244" s="9"/>
      <c r="N244" s="9"/>
      <c r="O244" s="13" t="str">
        <f aca="false">IF(C244="","",IF(N(M244)+N(N244)&lt;Settings!$C$9,"untested",M244/(M244+N244)))</f>
        <v/>
      </c>
      <c r="P244" s="9"/>
      <c r="Q244" s="9"/>
      <c r="R244" s="9"/>
      <c r="S244" s="12"/>
      <c r="T244" s="9"/>
      <c r="U244" s="9"/>
      <c r="V244" s="9"/>
      <c r="W244" s="10" t="str">
        <f aca="false">IF(C244="","",IF(OR(G244="training",G244="full"),"Yes",IF(G244="none","No","?")))</f>
        <v/>
      </c>
      <c r="X244" s="10" t="str">
        <f aca="false">IF(C244="","",IF(OR(E244="",E244="unknown"),D244,E244))</f>
        <v/>
      </c>
      <c r="Y244" s="10" t="str">
        <f aca="false">IF(C244="","",IF(OR(T244="unsuitable",T244="retired",X244="no"),"—",IF(J244="","unrated",IF(AND(X244="full",J244&gt;=Settings!$C$5,OR(O244="untested",O244&gt;=Settings!$C$6)),"A",IF(AND(OR(X244="full",X244="reduced"),J244&gt;=Settings!$C$7,OR(O244="untested",O244&gt;=Settings!$C$8)),"B","C")))))</f>
        <v/>
      </c>
      <c r="Z244" s="11" t="str">
        <f aca="false">IF(C244="","",IF(P244&lt;&gt;"",P244,Y244))</f>
        <v/>
      </c>
    </row>
    <row r="245" customFormat="false" ht="15" hidden="false" customHeight="false" outlineLevel="0" collapsed="false">
      <c r="A245" s="9"/>
      <c r="B245" s="10" t="str">
        <f aca="false">IF(A245="","",IFERROR(INDEX(Parks!$A$2:$A$255,MATCH(A245,Parks!$B$2:$B$255,0)),"?"))</f>
        <v/>
      </c>
      <c r="C245" s="9"/>
      <c r="D245" s="10" t="str">
        <f aca="false">IF(C245="","",IF(SUMPRODUCT(--ISNUMBER(SEARCH({"Nets","Wicket","Diamond","Softball","T-ball","Baseball","Netball","Tennis","Bocce","Pentaque","Petanque","Skate","Car Park","Pond","Bridle","Amphitheatre","Perimeter","Passive"},C245)))&gt;0,"no",IF(SUMPRODUCT(--ISNUMBER(SEARCH({"Cricket","Junior","Mini","Summer Football","Small"},C245)))&gt;0,"reduced",IF(SUMPRODUCT(--ISNUMBER(SEARCH({"Rugby","Football","League","Touch","Gaelic","Australian","Lacrosse","General Sport","Training Area","Ultimate"},C245)))&gt;0,"full","unknown"))))</f>
        <v/>
      </c>
      <c r="E245" s="9"/>
      <c r="F245" s="9"/>
      <c r="G245" s="9"/>
      <c r="H245" s="9"/>
      <c r="I245" s="12"/>
      <c r="J245" s="9"/>
      <c r="K245" s="9"/>
      <c r="L245" s="9"/>
      <c r="M245" s="9"/>
      <c r="N245" s="9"/>
      <c r="O245" s="13" t="str">
        <f aca="false">IF(C245="","",IF(N(M245)+N(N245)&lt;Settings!$C$9,"untested",M245/(M245+N245)))</f>
        <v/>
      </c>
      <c r="P245" s="9"/>
      <c r="Q245" s="9"/>
      <c r="R245" s="9"/>
      <c r="S245" s="12"/>
      <c r="T245" s="9"/>
      <c r="U245" s="9"/>
      <c r="V245" s="9"/>
      <c r="W245" s="10" t="str">
        <f aca="false">IF(C245="","",IF(OR(G245="training",G245="full"),"Yes",IF(G245="none","No","?")))</f>
        <v/>
      </c>
      <c r="X245" s="10" t="str">
        <f aca="false">IF(C245="","",IF(OR(E245="",E245="unknown"),D245,E245))</f>
        <v/>
      </c>
      <c r="Y245" s="10" t="str">
        <f aca="false">IF(C245="","",IF(OR(T245="unsuitable",T245="retired",X245="no"),"—",IF(J245="","unrated",IF(AND(X245="full",J245&gt;=Settings!$C$5,OR(O245="untested",O245&gt;=Settings!$C$6)),"A",IF(AND(OR(X245="full",X245="reduced"),J245&gt;=Settings!$C$7,OR(O245="untested",O245&gt;=Settings!$C$8)),"B","C")))))</f>
        <v/>
      </c>
      <c r="Z245" s="11" t="str">
        <f aca="false">IF(C245="","",IF(P245&lt;&gt;"",P245,Y245))</f>
        <v/>
      </c>
    </row>
    <row r="246" customFormat="false" ht="15" hidden="false" customHeight="false" outlineLevel="0" collapsed="false">
      <c r="A246" s="9"/>
      <c r="B246" s="10" t="str">
        <f aca="false">IF(A246="","",IFERROR(INDEX(Parks!$A$2:$A$255,MATCH(A246,Parks!$B$2:$B$255,0)),"?"))</f>
        <v/>
      </c>
      <c r="C246" s="9"/>
      <c r="D246" s="10" t="str">
        <f aca="false">IF(C246="","",IF(SUMPRODUCT(--ISNUMBER(SEARCH({"Nets","Wicket","Diamond","Softball","T-ball","Baseball","Netball","Tennis","Bocce","Pentaque","Petanque","Skate","Car Park","Pond","Bridle","Amphitheatre","Perimeter","Passive"},C246)))&gt;0,"no",IF(SUMPRODUCT(--ISNUMBER(SEARCH({"Cricket","Junior","Mini","Summer Football","Small"},C246)))&gt;0,"reduced",IF(SUMPRODUCT(--ISNUMBER(SEARCH({"Rugby","Football","League","Touch","Gaelic","Australian","Lacrosse","General Sport","Training Area","Ultimate"},C246)))&gt;0,"full","unknown"))))</f>
        <v/>
      </c>
      <c r="E246" s="9"/>
      <c r="F246" s="9"/>
      <c r="G246" s="9"/>
      <c r="H246" s="9"/>
      <c r="I246" s="12"/>
      <c r="J246" s="9"/>
      <c r="K246" s="9"/>
      <c r="L246" s="9"/>
      <c r="M246" s="9"/>
      <c r="N246" s="9"/>
      <c r="O246" s="13" t="str">
        <f aca="false">IF(C246="","",IF(N(M246)+N(N246)&lt;Settings!$C$9,"untested",M246/(M246+N246)))</f>
        <v/>
      </c>
      <c r="P246" s="9"/>
      <c r="Q246" s="9"/>
      <c r="R246" s="9"/>
      <c r="S246" s="12"/>
      <c r="T246" s="9"/>
      <c r="U246" s="9"/>
      <c r="V246" s="9"/>
      <c r="W246" s="10" t="str">
        <f aca="false">IF(C246="","",IF(OR(G246="training",G246="full"),"Yes",IF(G246="none","No","?")))</f>
        <v/>
      </c>
      <c r="X246" s="10" t="str">
        <f aca="false">IF(C246="","",IF(OR(E246="",E246="unknown"),D246,E246))</f>
        <v/>
      </c>
      <c r="Y246" s="10" t="str">
        <f aca="false">IF(C246="","",IF(OR(T246="unsuitable",T246="retired",X246="no"),"—",IF(J246="","unrated",IF(AND(X246="full",J246&gt;=Settings!$C$5,OR(O246="untested",O246&gt;=Settings!$C$6)),"A",IF(AND(OR(X246="full",X246="reduced"),J246&gt;=Settings!$C$7,OR(O246="untested",O246&gt;=Settings!$C$8)),"B","C")))))</f>
        <v/>
      </c>
      <c r="Z246" s="11" t="str">
        <f aca="false">IF(C246="","",IF(P246&lt;&gt;"",P246,Y246))</f>
        <v/>
      </c>
    </row>
    <row r="247" customFormat="false" ht="15" hidden="false" customHeight="false" outlineLevel="0" collapsed="false">
      <c r="A247" s="9"/>
      <c r="B247" s="10" t="str">
        <f aca="false">IF(A247="","",IFERROR(INDEX(Parks!$A$2:$A$255,MATCH(A247,Parks!$B$2:$B$255,0)),"?"))</f>
        <v/>
      </c>
      <c r="C247" s="9"/>
      <c r="D247" s="10" t="str">
        <f aca="false">IF(C247="","",IF(SUMPRODUCT(--ISNUMBER(SEARCH({"Nets","Wicket","Diamond","Softball","T-ball","Baseball","Netball","Tennis","Bocce","Pentaque","Petanque","Skate","Car Park","Pond","Bridle","Amphitheatre","Perimeter","Passive"},C247)))&gt;0,"no",IF(SUMPRODUCT(--ISNUMBER(SEARCH({"Cricket","Junior","Mini","Summer Football","Small"},C247)))&gt;0,"reduced",IF(SUMPRODUCT(--ISNUMBER(SEARCH({"Rugby","Football","League","Touch","Gaelic","Australian","Lacrosse","General Sport","Training Area","Ultimate"},C247)))&gt;0,"full","unknown"))))</f>
        <v/>
      </c>
      <c r="E247" s="9"/>
      <c r="F247" s="9"/>
      <c r="G247" s="9"/>
      <c r="H247" s="9"/>
      <c r="I247" s="12"/>
      <c r="J247" s="9"/>
      <c r="K247" s="9"/>
      <c r="L247" s="9"/>
      <c r="M247" s="9"/>
      <c r="N247" s="9"/>
      <c r="O247" s="13" t="str">
        <f aca="false">IF(C247="","",IF(N(M247)+N(N247)&lt;Settings!$C$9,"untested",M247/(M247+N247)))</f>
        <v/>
      </c>
      <c r="P247" s="9"/>
      <c r="Q247" s="9"/>
      <c r="R247" s="9"/>
      <c r="S247" s="12"/>
      <c r="T247" s="9"/>
      <c r="U247" s="9"/>
      <c r="V247" s="9"/>
      <c r="W247" s="10" t="str">
        <f aca="false">IF(C247="","",IF(OR(G247="training",G247="full"),"Yes",IF(G247="none","No","?")))</f>
        <v/>
      </c>
      <c r="X247" s="10" t="str">
        <f aca="false">IF(C247="","",IF(OR(E247="",E247="unknown"),D247,E247))</f>
        <v/>
      </c>
      <c r="Y247" s="10" t="str">
        <f aca="false">IF(C247="","",IF(OR(T247="unsuitable",T247="retired",X247="no"),"—",IF(J247="","unrated",IF(AND(X247="full",J247&gt;=Settings!$C$5,OR(O247="untested",O247&gt;=Settings!$C$6)),"A",IF(AND(OR(X247="full",X247="reduced"),J247&gt;=Settings!$C$7,OR(O247="untested",O247&gt;=Settings!$C$8)),"B","C")))))</f>
        <v/>
      </c>
      <c r="Z247" s="11" t="str">
        <f aca="false">IF(C247="","",IF(P247&lt;&gt;"",P247,Y247))</f>
        <v/>
      </c>
    </row>
    <row r="248" customFormat="false" ht="15" hidden="false" customHeight="false" outlineLevel="0" collapsed="false">
      <c r="A248" s="9"/>
      <c r="B248" s="10" t="str">
        <f aca="false">IF(A248="","",IFERROR(INDEX(Parks!$A$2:$A$255,MATCH(A248,Parks!$B$2:$B$255,0)),"?"))</f>
        <v/>
      </c>
      <c r="C248" s="9"/>
      <c r="D248" s="10" t="str">
        <f aca="false">IF(C248="","",IF(SUMPRODUCT(--ISNUMBER(SEARCH({"Nets","Wicket","Diamond","Softball","T-ball","Baseball","Netball","Tennis","Bocce","Pentaque","Petanque","Skate","Car Park","Pond","Bridle","Amphitheatre","Perimeter","Passive"},C248)))&gt;0,"no",IF(SUMPRODUCT(--ISNUMBER(SEARCH({"Cricket","Junior","Mini","Summer Football","Small"},C248)))&gt;0,"reduced",IF(SUMPRODUCT(--ISNUMBER(SEARCH({"Rugby","Football","League","Touch","Gaelic","Australian","Lacrosse","General Sport","Training Area","Ultimate"},C248)))&gt;0,"full","unknown"))))</f>
        <v/>
      </c>
      <c r="E248" s="9"/>
      <c r="F248" s="9"/>
      <c r="G248" s="9"/>
      <c r="H248" s="9"/>
      <c r="I248" s="12"/>
      <c r="J248" s="9"/>
      <c r="K248" s="9"/>
      <c r="L248" s="9"/>
      <c r="M248" s="9"/>
      <c r="N248" s="9"/>
      <c r="O248" s="13" t="str">
        <f aca="false">IF(C248="","",IF(N(M248)+N(N248)&lt;Settings!$C$9,"untested",M248/(M248+N248)))</f>
        <v/>
      </c>
      <c r="P248" s="9"/>
      <c r="Q248" s="9"/>
      <c r="R248" s="9"/>
      <c r="S248" s="12"/>
      <c r="T248" s="9"/>
      <c r="U248" s="9"/>
      <c r="V248" s="9"/>
      <c r="W248" s="10" t="str">
        <f aca="false">IF(C248="","",IF(OR(G248="training",G248="full"),"Yes",IF(G248="none","No","?")))</f>
        <v/>
      </c>
      <c r="X248" s="10" t="str">
        <f aca="false">IF(C248="","",IF(OR(E248="",E248="unknown"),D248,E248))</f>
        <v/>
      </c>
      <c r="Y248" s="10" t="str">
        <f aca="false">IF(C248="","",IF(OR(T248="unsuitable",T248="retired",X248="no"),"—",IF(J248="","unrated",IF(AND(X248="full",J248&gt;=Settings!$C$5,OR(O248="untested",O248&gt;=Settings!$C$6)),"A",IF(AND(OR(X248="full",X248="reduced"),J248&gt;=Settings!$C$7,OR(O248="untested",O248&gt;=Settings!$C$8)),"B","C")))))</f>
        <v/>
      </c>
      <c r="Z248" s="11" t="str">
        <f aca="false">IF(C248="","",IF(P248&lt;&gt;"",P248,Y248))</f>
        <v/>
      </c>
    </row>
    <row r="249" customFormat="false" ht="15" hidden="false" customHeight="false" outlineLevel="0" collapsed="false">
      <c r="A249" s="9"/>
      <c r="B249" s="10" t="str">
        <f aca="false">IF(A249="","",IFERROR(INDEX(Parks!$A$2:$A$255,MATCH(A249,Parks!$B$2:$B$255,0)),"?"))</f>
        <v/>
      </c>
      <c r="C249" s="9"/>
      <c r="D249" s="10" t="str">
        <f aca="false">IF(C249="","",IF(SUMPRODUCT(--ISNUMBER(SEARCH({"Nets","Wicket","Diamond","Softball","T-ball","Baseball","Netball","Tennis","Bocce","Pentaque","Petanque","Skate","Car Park","Pond","Bridle","Amphitheatre","Perimeter","Passive"},C249)))&gt;0,"no",IF(SUMPRODUCT(--ISNUMBER(SEARCH({"Cricket","Junior","Mini","Summer Football","Small"},C249)))&gt;0,"reduced",IF(SUMPRODUCT(--ISNUMBER(SEARCH({"Rugby","Football","League","Touch","Gaelic","Australian","Lacrosse","General Sport","Training Area","Ultimate"},C249)))&gt;0,"full","unknown"))))</f>
        <v/>
      </c>
      <c r="E249" s="9"/>
      <c r="F249" s="9"/>
      <c r="G249" s="9"/>
      <c r="H249" s="9"/>
      <c r="I249" s="12"/>
      <c r="J249" s="9"/>
      <c r="K249" s="9"/>
      <c r="L249" s="9"/>
      <c r="M249" s="9"/>
      <c r="N249" s="9"/>
      <c r="O249" s="13" t="str">
        <f aca="false">IF(C249="","",IF(N(M249)+N(N249)&lt;Settings!$C$9,"untested",M249/(M249+N249)))</f>
        <v/>
      </c>
      <c r="P249" s="9"/>
      <c r="Q249" s="9"/>
      <c r="R249" s="9"/>
      <c r="S249" s="12"/>
      <c r="T249" s="9"/>
      <c r="U249" s="9"/>
      <c r="V249" s="9"/>
      <c r="W249" s="10" t="str">
        <f aca="false">IF(C249="","",IF(OR(G249="training",G249="full"),"Yes",IF(G249="none","No","?")))</f>
        <v/>
      </c>
      <c r="X249" s="10" t="str">
        <f aca="false">IF(C249="","",IF(OR(E249="",E249="unknown"),D249,E249))</f>
        <v/>
      </c>
      <c r="Y249" s="10" t="str">
        <f aca="false">IF(C249="","",IF(OR(T249="unsuitable",T249="retired",X249="no"),"—",IF(J249="","unrated",IF(AND(X249="full",J249&gt;=Settings!$C$5,OR(O249="untested",O249&gt;=Settings!$C$6)),"A",IF(AND(OR(X249="full",X249="reduced"),J249&gt;=Settings!$C$7,OR(O249="untested",O249&gt;=Settings!$C$8)),"B","C")))))</f>
        <v/>
      </c>
      <c r="Z249" s="11" t="str">
        <f aca="false">IF(C249="","",IF(P249&lt;&gt;"",P249,Y249))</f>
        <v/>
      </c>
    </row>
    <row r="250" customFormat="false" ht="15" hidden="false" customHeight="false" outlineLevel="0" collapsed="false">
      <c r="A250" s="9"/>
      <c r="B250" s="10" t="str">
        <f aca="false">IF(A250="","",IFERROR(INDEX(Parks!$A$2:$A$255,MATCH(A250,Parks!$B$2:$B$255,0)),"?"))</f>
        <v/>
      </c>
      <c r="C250" s="9"/>
      <c r="D250" s="10" t="str">
        <f aca="false">IF(C250="","",IF(SUMPRODUCT(--ISNUMBER(SEARCH({"Nets","Wicket","Diamond","Softball","T-ball","Baseball","Netball","Tennis","Bocce","Pentaque","Petanque","Skate","Car Park","Pond","Bridle","Amphitheatre","Perimeter","Passive"},C250)))&gt;0,"no",IF(SUMPRODUCT(--ISNUMBER(SEARCH({"Cricket","Junior","Mini","Summer Football","Small"},C250)))&gt;0,"reduced",IF(SUMPRODUCT(--ISNUMBER(SEARCH({"Rugby","Football","League","Touch","Gaelic","Australian","Lacrosse","General Sport","Training Area","Ultimate"},C250)))&gt;0,"full","unknown"))))</f>
        <v/>
      </c>
      <c r="E250" s="9"/>
      <c r="F250" s="9"/>
      <c r="G250" s="9"/>
      <c r="H250" s="9"/>
      <c r="I250" s="12"/>
      <c r="J250" s="9"/>
      <c r="K250" s="9"/>
      <c r="L250" s="9"/>
      <c r="M250" s="9"/>
      <c r="N250" s="9"/>
      <c r="O250" s="13" t="str">
        <f aca="false">IF(C250="","",IF(N(M250)+N(N250)&lt;Settings!$C$9,"untested",M250/(M250+N250)))</f>
        <v/>
      </c>
      <c r="P250" s="9"/>
      <c r="Q250" s="9"/>
      <c r="R250" s="9"/>
      <c r="S250" s="12"/>
      <c r="T250" s="9"/>
      <c r="U250" s="9"/>
      <c r="V250" s="9"/>
      <c r="W250" s="10" t="str">
        <f aca="false">IF(C250="","",IF(OR(G250="training",G250="full"),"Yes",IF(G250="none","No","?")))</f>
        <v/>
      </c>
      <c r="X250" s="10" t="str">
        <f aca="false">IF(C250="","",IF(OR(E250="",E250="unknown"),D250,E250))</f>
        <v/>
      </c>
      <c r="Y250" s="10" t="str">
        <f aca="false">IF(C250="","",IF(OR(T250="unsuitable",T250="retired",X250="no"),"—",IF(J250="","unrated",IF(AND(X250="full",J250&gt;=Settings!$C$5,OR(O250="untested",O250&gt;=Settings!$C$6)),"A",IF(AND(OR(X250="full",X250="reduced"),J250&gt;=Settings!$C$7,OR(O250="untested",O250&gt;=Settings!$C$8)),"B","C")))))</f>
        <v/>
      </c>
      <c r="Z250" s="11" t="str">
        <f aca="false">IF(C250="","",IF(P250&lt;&gt;"",P250,Y250))</f>
        <v/>
      </c>
    </row>
    <row r="251" customFormat="false" ht="15" hidden="false" customHeight="false" outlineLevel="0" collapsed="false">
      <c r="A251" s="9"/>
      <c r="B251" s="10" t="str">
        <f aca="false">IF(A251="","",IFERROR(INDEX(Parks!$A$2:$A$255,MATCH(A251,Parks!$B$2:$B$255,0)),"?"))</f>
        <v/>
      </c>
      <c r="C251" s="9"/>
      <c r="D251" s="10" t="str">
        <f aca="false">IF(C251="","",IF(SUMPRODUCT(--ISNUMBER(SEARCH({"Nets","Wicket","Diamond","Softball","T-ball","Baseball","Netball","Tennis","Bocce","Pentaque","Petanque","Skate","Car Park","Pond","Bridle","Amphitheatre","Perimeter","Passive"},C251)))&gt;0,"no",IF(SUMPRODUCT(--ISNUMBER(SEARCH({"Cricket","Junior","Mini","Summer Football","Small"},C251)))&gt;0,"reduced",IF(SUMPRODUCT(--ISNUMBER(SEARCH({"Rugby","Football","League","Touch","Gaelic","Australian","Lacrosse","General Sport","Training Area","Ultimate"},C251)))&gt;0,"full","unknown"))))</f>
        <v/>
      </c>
      <c r="E251" s="9"/>
      <c r="F251" s="9"/>
      <c r="G251" s="9"/>
      <c r="H251" s="9"/>
      <c r="I251" s="12"/>
      <c r="J251" s="9"/>
      <c r="K251" s="9"/>
      <c r="L251" s="9"/>
      <c r="M251" s="9"/>
      <c r="N251" s="9"/>
      <c r="O251" s="13" t="str">
        <f aca="false">IF(C251="","",IF(N(M251)+N(N251)&lt;Settings!$C$9,"untested",M251/(M251+N251)))</f>
        <v/>
      </c>
      <c r="P251" s="9"/>
      <c r="Q251" s="9"/>
      <c r="R251" s="9"/>
      <c r="S251" s="12"/>
      <c r="T251" s="9"/>
      <c r="U251" s="9"/>
      <c r="V251" s="9"/>
      <c r="W251" s="10" t="str">
        <f aca="false">IF(C251="","",IF(OR(G251="training",G251="full"),"Yes",IF(G251="none","No","?")))</f>
        <v/>
      </c>
      <c r="X251" s="10" t="str">
        <f aca="false">IF(C251="","",IF(OR(E251="",E251="unknown"),D251,E251))</f>
        <v/>
      </c>
      <c r="Y251" s="10" t="str">
        <f aca="false">IF(C251="","",IF(OR(T251="unsuitable",T251="retired",X251="no"),"—",IF(J251="","unrated",IF(AND(X251="full",J251&gt;=Settings!$C$5,OR(O251="untested",O251&gt;=Settings!$C$6)),"A",IF(AND(OR(X251="full",X251="reduced"),J251&gt;=Settings!$C$7,OR(O251="untested",O251&gt;=Settings!$C$8)),"B","C")))))</f>
        <v/>
      </c>
      <c r="Z251" s="11" t="str">
        <f aca="false">IF(C251="","",IF(P251&lt;&gt;"",P251,Y251))</f>
        <v/>
      </c>
    </row>
    <row r="252" customFormat="false" ht="15" hidden="false" customHeight="false" outlineLevel="0" collapsed="false">
      <c r="A252" s="9"/>
      <c r="B252" s="10" t="str">
        <f aca="false">IF(A252="","",IFERROR(INDEX(Parks!$A$2:$A$255,MATCH(A252,Parks!$B$2:$B$255,0)),"?"))</f>
        <v/>
      </c>
      <c r="C252" s="9"/>
      <c r="D252" s="10" t="str">
        <f aca="false">IF(C252="","",IF(SUMPRODUCT(--ISNUMBER(SEARCH({"Nets","Wicket","Diamond","Softball","T-ball","Baseball","Netball","Tennis","Bocce","Pentaque","Petanque","Skate","Car Park","Pond","Bridle","Amphitheatre","Perimeter","Passive"},C252)))&gt;0,"no",IF(SUMPRODUCT(--ISNUMBER(SEARCH({"Cricket","Junior","Mini","Summer Football","Small"},C252)))&gt;0,"reduced",IF(SUMPRODUCT(--ISNUMBER(SEARCH({"Rugby","Football","League","Touch","Gaelic","Australian","Lacrosse","General Sport","Training Area","Ultimate"},C252)))&gt;0,"full","unknown"))))</f>
        <v/>
      </c>
      <c r="E252" s="9"/>
      <c r="F252" s="9"/>
      <c r="G252" s="9"/>
      <c r="H252" s="9"/>
      <c r="I252" s="12"/>
      <c r="J252" s="9"/>
      <c r="K252" s="9"/>
      <c r="L252" s="9"/>
      <c r="M252" s="9"/>
      <c r="N252" s="9"/>
      <c r="O252" s="13" t="str">
        <f aca="false">IF(C252="","",IF(N(M252)+N(N252)&lt;Settings!$C$9,"untested",M252/(M252+N252)))</f>
        <v/>
      </c>
      <c r="P252" s="9"/>
      <c r="Q252" s="9"/>
      <c r="R252" s="9"/>
      <c r="S252" s="12"/>
      <c r="T252" s="9"/>
      <c r="U252" s="9"/>
      <c r="V252" s="9"/>
      <c r="W252" s="10" t="str">
        <f aca="false">IF(C252="","",IF(OR(G252="training",G252="full"),"Yes",IF(G252="none","No","?")))</f>
        <v/>
      </c>
      <c r="X252" s="10" t="str">
        <f aca="false">IF(C252="","",IF(OR(E252="",E252="unknown"),D252,E252))</f>
        <v/>
      </c>
      <c r="Y252" s="10" t="str">
        <f aca="false">IF(C252="","",IF(OR(T252="unsuitable",T252="retired",X252="no"),"—",IF(J252="","unrated",IF(AND(X252="full",J252&gt;=Settings!$C$5,OR(O252="untested",O252&gt;=Settings!$C$6)),"A",IF(AND(OR(X252="full",X252="reduced"),J252&gt;=Settings!$C$7,OR(O252="untested",O252&gt;=Settings!$C$8)),"B","C")))))</f>
        <v/>
      </c>
      <c r="Z252" s="11" t="str">
        <f aca="false">IF(C252="","",IF(P252&lt;&gt;"",P252,Y252))</f>
        <v/>
      </c>
    </row>
    <row r="253" customFormat="false" ht="15" hidden="false" customHeight="false" outlineLevel="0" collapsed="false">
      <c r="A253" s="9"/>
      <c r="B253" s="10" t="str">
        <f aca="false">IF(A253="","",IFERROR(INDEX(Parks!$A$2:$A$255,MATCH(A253,Parks!$B$2:$B$255,0)),"?"))</f>
        <v/>
      </c>
      <c r="C253" s="9"/>
      <c r="D253" s="10" t="str">
        <f aca="false">IF(C253="","",IF(SUMPRODUCT(--ISNUMBER(SEARCH({"Nets","Wicket","Diamond","Softball","T-ball","Baseball","Netball","Tennis","Bocce","Pentaque","Petanque","Skate","Car Park","Pond","Bridle","Amphitheatre","Perimeter","Passive"},C253)))&gt;0,"no",IF(SUMPRODUCT(--ISNUMBER(SEARCH({"Cricket","Junior","Mini","Summer Football","Small"},C253)))&gt;0,"reduced",IF(SUMPRODUCT(--ISNUMBER(SEARCH({"Rugby","Football","League","Touch","Gaelic","Australian","Lacrosse","General Sport","Training Area","Ultimate"},C253)))&gt;0,"full","unknown"))))</f>
        <v/>
      </c>
      <c r="E253" s="9"/>
      <c r="F253" s="9"/>
      <c r="G253" s="9"/>
      <c r="H253" s="9"/>
      <c r="I253" s="12"/>
      <c r="J253" s="9"/>
      <c r="K253" s="9"/>
      <c r="L253" s="9"/>
      <c r="M253" s="9"/>
      <c r="N253" s="9"/>
      <c r="O253" s="13" t="str">
        <f aca="false">IF(C253="","",IF(N(M253)+N(N253)&lt;Settings!$C$9,"untested",M253/(M253+N253)))</f>
        <v/>
      </c>
      <c r="P253" s="9"/>
      <c r="Q253" s="9"/>
      <c r="R253" s="9"/>
      <c r="S253" s="12"/>
      <c r="T253" s="9"/>
      <c r="U253" s="9"/>
      <c r="V253" s="9"/>
      <c r="W253" s="10" t="str">
        <f aca="false">IF(C253="","",IF(OR(G253="training",G253="full"),"Yes",IF(G253="none","No","?")))</f>
        <v/>
      </c>
      <c r="X253" s="10" t="str">
        <f aca="false">IF(C253="","",IF(OR(E253="",E253="unknown"),D253,E253))</f>
        <v/>
      </c>
      <c r="Y253" s="10" t="str">
        <f aca="false">IF(C253="","",IF(OR(T253="unsuitable",T253="retired",X253="no"),"—",IF(J253="","unrated",IF(AND(X253="full",J253&gt;=Settings!$C$5,OR(O253="untested",O253&gt;=Settings!$C$6)),"A",IF(AND(OR(X253="full",X253="reduced"),J253&gt;=Settings!$C$7,OR(O253="untested",O253&gt;=Settings!$C$8)),"B","C")))))</f>
        <v/>
      </c>
      <c r="Z253" s="11" t="str">
        <f aca="false">IF(C253="","",IF(P253&lt;&gt;"",P253,Y253))</f>
        <v/>
      </c>
    </row>
    <row r="254" customFormat="false" ht="15" hidden="false" customHeight="false" outlineLevel="0" collapsed="false">
      <c r="A254" s="9"/>
      <c r="B254" s="10" t="str">
        <f aca="false">IF(A254="","",IFERROR(INDEX(Parks!$A$2:$A$255,MATCH(A254,Parks!$B$2:$B$255,0)),"?"))</f>
        <v/>
      </c>
      <c r="C254" s="9"/>
      <c r="D254" s="10" t="str">
        <f aca="false">IF(C254="","",IF(SUMPRODUCT(--ISNUMBER(SEARCH({"Nets","Wicket","Diamond","Softball","T-ball","Baseball","Netball","Tennis","Bocce","Pentaque","Petanque","Skate","Car Park","Pond","Bridle","Amphitheatre","Perimeter","Passive"},C254)))&gt;0,"no",IF(SUMPRODUCT(--ISNUMBER(SEARCH({"Cricket","Junior","Mini","Summer Football","Small"},C254)))&gt;0,"reduced",IF(SUMPRODUCT(--ISNUMBER(SEARCH({"Rugby","Football","League","Touch","Gaelic","Australian","Lacrosse","General Sport","Training Area","Ultimate"},C254)))&gt;0,"full","unknown"))))</f>
        <v/>
      </c>
      <c r="E254" s="9"/>
      <c r="F254" s="9"/>
      <c r="G254" s="9"/>
      <c r="H254" s="9"/>
      <c r="I254" s="12"/>
      <c r="J254" s="9"/>
      <c r="K254" s="9"/>
      <c r="L254" s="9"/>
      <c r="M254" s="9"/>
      <c r="N254" s="9"/>
      <c r="O254" s="13" t="str">
        <f aca="false">IF(C254="","",IF(N(M254)+N(N254)&lt;Settings!$C$9,"untested",M254/(M254+N254)))</f>
        <v/>
      </c>
      <c r="P254" s="9"/>
      <c r="Q254" s="9"/>
      <c r="R254" s="9"/>
      <c r="S254" s="12"/>
      <c r="T254" s="9"/>
      <c r="U254" s="9"/>
      <c r="V254" s="9"/>
      <c r="W254" s="10" t="str">
        <f aca="false">IF(C254="","",IF(OR(G254="training",G254="full"),"Yes",IF(G254="none","No","?")))</f>
        <v/>
      </c>
      <c r="X254" s="10" t="str">
        <f aca="false">IF(C254="","",IF(OR(E254="",E254="unknown"),D254,E254))</f>
        <v/>
      </c>
      <c r="Y254" s="10" t="str">
        <f aca="false">IF(C254="","",IF(OR(T254="unsuitable",T254="retired",X254="no"),"—",IF(J254="","unrated",IF(AND(X254="full",J254&gt;=Settings!$C$5,OR(O254="untested",O254&gt;=Settings!$C$6)),"A",IF(AND(OR(X254="full",X254="reduced"),J254&gt;=Settings!$C$7,OR(O254="untested",O254&gt;=Settings!$C$8)),"B","C")))))</f>
        <v/>
      </c>
      <c r="Z254" s="11" t="str">
        <f aca="false">IF(C254="","",IF(P254&lt;&gt;"",P254,Y254))</f>
        <v/>
      </c>
    </row>
    <row r="255" customFormat="false" ht="15" hidden="false" customHeight="false" outlineLevel="0" collapsed="false">
      <c r="A255" s="9"/>
      <c r="B255" s="10" t="str">
        <f aca="false">IF(A255="","",IFERROR(INDEX(Parks!$A$2:$A$255,MATCH(A255,Parks!$B$2:$B$255,0)),"?"))</f>
        <v/>
      </c>
      <c r="C255" s="9"/>
      <c r="D255" s="10" t="str">
        <f aca="false">IF(C255="","",IF(SUMPRODUCT(--ISNUMBER(SEARCH({"Nets","Wicket","Diamond","Softball","T-ball","Baseball","Netball","Tennis","Bocce","Pentaque","Petanque","Skate","Car Park","Pond","Bridle","Amphitheatre","Perimeter","Passive"},C255)))&gt;0,"no",IF(SUMPRODUCT(--ISNUMBER(SEARCH({"Cricket","Junior","Mini","Summer Football","Small"},C255)))&gt;0,"reduced",IF(SUMPRODUCT(--ISNUMBER(SEARCH({"Rugby","Football","League","Touch","Gaelic","Australian","Lacrosse","General Sport","Training Area","Ultimate"},C255)))&gt;0,"full","unknown"))))</f>
        <v/>
      </c>
      <c r="E255" s="9"/>
      <c r="F255" s="9"/>
      <c r="G255" s="9"/>
      <c r="H255" s="9"/>
      <c r="I255" s="12"/>
      <c r="J255" s="9"/>
      <c r="K255" s="9"/>
      <c r="L255" s="9"/>
      <c r="M255" s="9"/>
      <c r="N255" s="9"/>
      <c r="O255" s="13" t="str">
        <f aca="false">IF(C255="","",IF(N(M255)+N(N255)&lt;Settings!$C$9,"untested",M255/(M255+N255)))</f>
        <v/>
      </c>
      <c r="P255" s="9"/>
      <c r="Q255" s="9"/>
      <c r="R255" s="9"/>
      <c r="S255" s="12"/>
      <c r="T255" s="9"/>
      <c r="U255" s="9"/>
      <c r="V255" s="9"/>
      <c r="W255" s="10" t="str">
        <f aca="false">IF(C255="","",IF(OR(G255="training",G255="full"),"Yes",IF(G255="none","No","?")))</f>
        <v/>
      </c>
      <c r="X255" s="10" t="str">
        <f aca="false">IF(C255="","",IF(OR(E255="",E255="unknown"),D255,E255))</f>
        <v/>
      </c>
      <c r="Y255" s="10" t="str">
        <f aca="false">IF(C255="","",IF(OR(T255="unsuitable",T255="retired",X255="no"),"—",IF(J255="","unrated",IF(AND(X255="full",J255&gt;=Settings!$C$5,OR(O255="untested",O255&gt;=Settings!$C$6)),"A",IF(AND(OR(X255="full",X255="reduced"),J255&gt;=Settings!$C$7,OR(O255="untested",O255&gt;=Settings!$C$8)),"B","C")))))</f>
        <v/>
      </c>
      <c r="Z255" s="11" t="str">
        <f aca="false">IF(C255="","",IF(P255&lt;&gt;"",P255,Y255))</f>
        <v/>
      </c>
    </row>
    <row r="256" customFormat="false" ht="15" hidden="false" customHeight="false" outlineLevel="0" collapsed="false">
      <c r="A256" s="9"/>
      <c r="B256" s="10" t="str">
        <f aca="false">IF(A256="","",IFERROR(INDEX(Parks!$A$2:$A$255,MATCH(A256,Parks!$B$2:$B$255,0)),"?"))</f>
        <v/>
      </c>
      <c r="C256" s="9"/>
      <c r="D256" s="10" t="str">
        <f aca="false">IF(C256="","",IF(SUMPRODUCT(--ISNUMBER(SEARCH({"Nets","Wicket","Diamond","Softball","T-ball","Baseball","Netball","Tennis","Bocce","Pentaque","Petanque","Skate","Car Park","Pond","Bridle","Amphitheatre","Perimeter","Passive"},C256)))&gt;0,"no",IF(SUMPRODUCT(--ISNUMBER(SEARCH({"Cricket","Junior","Mini","Summer Football","Small"},C256)))&gt;0,"reduced",IF(SUMPRODUCT(--ISNUMBER(SEARCH({"Rugby","Football","League","Touch","Gaelic","Australian","Lacrosse","General Sport","Training Area","Ultimate"},C256)))&gt;0,"full","unknown"))))</f>
        <v/>
      </c>
      <c r="E256" s="9"/>
      <c r="F256" s="9"/>
      <c r="G256" s="9"/>
      <c r="H256" s="9"/>
      <c r="I256" s="12"/>
      <c r="J256" s="9"/>
      <c r="K256" s="9"/>
      <c r="L256" s="9"/>
      <c r="M256" s="9"/>
      <c r="N256" s="9"/>
      <c r="O256" s="13" t="str">
        <f aca="false">IF(C256="","",IF(N(M256)+N(N256)&lt;Settings!$C$9,"untested",M256/(M256+N256)))</f>
        <v/>
      </c>
      <c r="P256" s="9"/>
      <c r="Q256" s="9"/>
      <c r="R256" s="9"/>
      <c r="S256" s="12"/>
      <c r="T256" s="9"/>
      <c r="U256" s="9"/>
      <c r="V256" s="9"/>
      <c r="W256" s="10" t="str">
        <f aca="false">IF(C256="","",IF(OR(G256="training",G256="full"),"Yes",IF(G256="none","No","?")))</f>
        <v/>
      </c>
      <c r="X256" s="10" t="str">
        <f aca="false">IF(C256="","",IF(OR(E256="",E256="unknown"),D256,E256))</f>
        <v/>
      </c>
      <c r="Y256" s="10" t="str">
        <f aca="false">IF(C256="","",IF(OR(T256="unsuitable",T256="retired",X256="no"),"—",IF(J256="","unrated",IF(AND(X256="full",J256&gt;=Settings!$C$5,OR(O256="untested",O256&gt;=Settings!$C$6)),"A",IF(AND(OR(X256="full",X256="reduced"),J256&gt;=Settings!$C$7,OR(O256="untested",O256&gt;=Settings!$C$8)),"B","C")))))</f>
        <v/>
      </c>
      <c r="Z256" s="11" t="str">
        <f aca="false">IF(C256="","",IF(P256&lt;&gt;"",P256,Y256))</f>
        <v/>
      </c>
    </row>
    <row r="257" customFormat="false" ht="15" hidden="false" customHeight="false" outlineLevel="0" collapsed="false">
      <c r="A257" s="9"/>
      <c r="B257" s="10" t="str">
        <f aca="false">IF(A257="","",IFERROR(INDEX(Parks!$A$2:$A$255,MATCH(A257,Parks!$B$2:$B$255,0)),"?"))</f>
        <v/>
      </c>
      <c r="C257" s="9"/>
      <c r="D257" s="10" t="str">
        <f aca="false">IF(C257="","",IF(SUMPRODUCT(--ISNUMBER(SEARCH({"Nets","Wicket","Diamond","Softball","T-ball","Baseball","Netball","Tennis","Bocce","Pentaque","Petanque","Skate","Car Park","Pond","Bridle","Amphitheatre","Perimeter","Passive"},C257)))&gt;0,"no",IF(SUMPRODUCT(--ISNUMBER(SEARCH({"Cricket","Junior","Mini","Summer Football","Small"},C257)))&gt;0,"reduced",IF(SUMPRODUCT(--ISNUMBER(SEARCH({"Rugby","Football","League","Touch","Gaelic","Australian","Lacrosse","General Sport","Training Area","Ultimate"},C257)))&gt;0,"full","unknown"))))</f>
        <v/>
      </c>
      <c r="E257" s="9"/>
      <c r="F257" s="9"/>
      <c r="G257" s="9"/>
      <c r="H257" s="9"/>
      <c r="I257" s="12"/>
      <c r="J257" s="9"/>
      <c r="K257" s="9"/>
      <c r="L257" s="9"/>
      <c r="M257" s="9"/>
      <c r="N257" s="9"/>
      <c r="O257" s="13" t="str">
        <f aca="false">IF(C257="","",IF(N(M257)+N(N257)&lt;Settings!$C$9,"untested",M257/(M257+N257)))</f>
        <v/>
      </c>
      <c r="P257" s="9"/>
      <c r="Q257" s="9"/>
      <c r="R257" s="9"/>
      <c r="S257" s="12"/>
      <c r="T257" s="9"/>
      <c r="U257" s="9"/>
      <c r="V257" s="9"/>
      <c r="W257" s="10" t="str">
        <f aca="false">IF(C257="","",IF(OR(G257="training",G257="full"),"Yes",IF(G257="none","No","?")))</f>
        <v/>
      </c>
      <c r="X257" s="10" t="str">
        <f aca="false">IF(C257="","",IF(OR(E257="",E257="unknown"),D257,E257))</f>
        <v/>
      </c>
      <c r="Y257" s="10" t="str">
        <f aca="false">IF(C257="","",IF(OR(T257="unsuitable",T257="retired",X257="no"),"—",IF(J257="","unrated",IF(AND(X257="full",J257&gt;=Settings!$C$5,OR(O257="untested",O257&gt;=Settings!$C$6)),"A",IF(AND(OR(X257="full",X257="reduced"),J257&gt;=Settings!$C$7,OR(O257="untested",O257&gt;=Settings!$C$8)),"B","C")))))</f>
        <v/>
      </c>
      <c r="Z257" s="11" t="str">
        <f aca="false">IF(C257="","",IF(P257&lt;&gt;"",P257,Y257))</f>
        <v/>
      </c>
    </row>
    <row r="258" customFormat="false" ht="15" hidden="false" customHeight="false" outlineLevel="0" collapsed="false">
      <c r="A258" s="9"/>
      <c r="B258" s="10" t="str">
        <f aca="false">IF(A258="","",IFERROR(INDEX(Parks!$A$2:$A$255,MATCH(A258,Parks!$B$2:$B$255,0)),"?"))</f>
        <v/>
      </c>
      <c r="C258" s="9"/>
      <c r="D258" s="10" t="str">
        <f aca="false">IF(C258="","",IF(SUMPRODUCT(--ISNUMBER(SEARCH({"Nets","Wicket","Diamond","Softball","T-ball","Baseball","Netball","Tennis","Bocce","Pentaque","Petanque","Skate","Car Park","Pond","Bridle","Amphitheatre","Perimeter","Passive"},C258)))&gt;0,"no",IF(SUMPRODUCT(--ISNUMBER(SEARCH({"Cricket","Junior","Mini","Summer Football","Small"},C258)))&gt;0,"reduced",IF(SUMPRODUCT(--ISNUMBER(SEARCH({"Rugby","Football","League","Touch","Gaelic","Australian","Lacrosse","General Sport","Training Area","Ultimate"},C258)))&gt;0,"full","unknown"))))</f>
        <v/>
      </c>
      <c r="E258" s="9"/>
      <c r="F258" s="9"/>
      <c r="G258" s="9"/>
      <c r="H258" s="9"/>
      <c r="I258" s="12"/>
      <c r="J258" s="9"/>
      <c r="K258" s="9"/>
      <c r="L258" s="9"/>
      <c r="M258" s="9"/>
      <c r="N258" s="9"/>
      <c r="O258" s="13" t="str">
        <f aca="false">IF(C258="","",IF(N(M258)+N(N258)&lt;Settings!$C$9,"untested",M258/(M258+N258)))</f>
        <v/>
      </c>
      <c r="P258" s="9"/>
      <c r="Q258" s="9"/>
      <c r="R258" s="9"/>
      <c r="S258" s="12"/>
      <c r="T258" s="9"/>
      <c r="U258" s="9"/>
      <c r="V258" s="9"/>
      <c r="W258" s="10" t="str">
        <f aca="false">IF(C258="","",IF(OR(G258="training",G258="full"),"Yes",IF(G258="none","No","?")))</f>
        <v/>
      </c>
      <c r="X258" s="10" t="str">
        <f aca="false">IF(C258="","",IF(OR(E258="",E258="unknown"),D258,E258))</f>
        <v/>
      </c>
      <c r="Y258" s="10" t="str">
        <f aca="false">IF(C258="","",IF(OR(T258="unsuitable",T258="retired",X258="no"),"—",IF(J258="","unrated",IF(AND(X258="full",J258&gt;=Settings!$C$5,OR(O258="untested",O258&gt;=Settings!$C$6)),"A",IF(AND(OR(X258="full",X258="reduced"),J258&gt;=Settings!$C$7,OR(O258="untested",O258&gt;=Settings!$C$8)),"B","C")))))</f>
        <v/>
      </c>
      <c r="Z258" s="11" t="str">
        <f aca="false">IF(C258="","",IF(P258&lt;&gt;"",P258,Y258))</f>
        <v/>
      </c>
    </row>
    <row r="259" customFormat="false" ht="15" hidden="false" customHeight="false" outlineLevel="0" collapsed="false">
      <c r="A259" s="9"/>
      <c r="B259" s="10" t="str">
        <f aca="false">IF(A259="","",IFERROR(INDEX(Parks!$A$2:$A$255,MATCH(A259,Parks!$B$2:$B$255,0)),"?"))</f>
        <v/>
      </c>
      <c r="C259" s="9"/>
      <c r="D259" s="10" t="str">
        <f aca="false">IF(C259="","",IF(SUMPRODUCT(--ISNUMBER(SEARCH({"Nets","Wicket","Diamond","Softball","T-ball","Baseball","Netball","Tennis","Bocce","Pentaque","Petanque","Skate","Car Park","Pond","Bridle","Amphitheatre","Perimeter","Passive"},C259)))&gt;0,"no",IF(SUMPRODUCT(--ISNUMBER(SEARCH({"Cricket","Junior","Mini","Summer Football","Small"},C259)))&gt;0,"reduced",IF(SUMPRODUCT(--ISNUMBER(SEARCH({"Rugby","Football","League","Touch","Gaelic","Australian","Lacrosse","General Sport","Training Area","Ultimate"},C259)))&gt;0,"full","unknown"))))</f>
        <v/>
      </c>
      <c r="E259" s="9"/>
      <c r="F259" s="9"/>
      <c r="G259" s="9"/>
      <c r="H259" s="9"/>
      <c r="I259" s="12"/>
      <c r="J259" s="9"/>
      <c r="K259" s="9"/>
      <c r="L259" s="9"/>
      <c r="M259" s="9"/>
      <c r="N259" s="9"/>
      <c r="O259" s="13" t="str">
        <f aca="false">IF(C259="","",IF(N(M259)+N(N259)&lt;Settings!$C$9,"untested",M259/(M259+N259)))</f>
        <v/>
      </c>
      <c r="P259" s="9"/>
      <c r="Q259" s="9"/>
      <c r="R259" s="9"/>
      <c r="S259" s="12"/>
      <c r="T259" s="9"/>
      <c r="U259" s="9"/>
      <c r="V259" s="9"/>
      <c r="W259" s="10" t="str">
        <f aca="false">IF(C259="","",IF(OR(G259="training",G259="full"),"Yes",IF(G259="none","No","?")))</f>
        <v/>
      </c>
      <c r="X259" s="10" t="str">
        <f aca="false">IF(C259="","",IF(OR(E259="",E259="unknown"),D259,E259))</f>
        <v/>
      </c>
      <c r="Y259" s="10" t="str">
        <f aca="false">IF(C259="","",IF(OR(T259="unsuitable",T259="retired",X259="no"),"—",IF(J259="","unrated",IF(AND(X259="full",J259&gt;=Settings!$C$5,OR(O259="untested",O259&gt;=Settings!$C$6)),"A",IF(AND(OR(X259="full",X259="reduced"),J259&gt;=Settings!$C$7,OR(O259="untested",O259&gt;=Settings!$C$8)),"B","C")))))</f>
        <v/>
      </c>
      <c r="Z259" s="11" t="str">
        <f aca="false">IF(C259="","",IF(P259&lt;&gt;"",P259,Y259))</f>
        <v/>
      </c>
    </row>
    <row r="260" customFormat="false" ht="15" hidden="false" customHeight="false" outlineLevel="0" collapsed="false">
      <c r="A260" s="9"/>
      <c r="B260" s="10" t="str">
        <f aca="false">IF(A260="","",IFERROR(INDEX(Parks!$A$2:$A$255,MATCH(A260,Parks!$B$2:$B$255,0)),"?"))</f>
        <v/>
      </c>
      <c r="C260" s="9"/>
      <c r="D260" s="10" t="str">
        <f aca="false">IF(C260="","",IF(SUMPRODUCT(--ISNUMBER(SEARCH({"Nets","Wicket","Diamond","Softball","T-ball","Baseball","Netball","Tennis","Bocce","Pentaque","Petanque","Skate","Car Park","Pond","Bridle","Amphitheatre","Perimeter","Passive"},C260)))&gt;0,"no",IF(SUMPRODUCT(--ISNUMBER(SEARCH({"Cricket","Junior","Mini","Summer Football","Small"},C260)))&gt;0,"reduced",IF(SUMPRODUCT(--ISNUMBER(SEARCH({"Rugby","Football","League","Touch","Gaelic","Australian","Lacrosse","General Sport","Training Area","Ultimate"},C260)))&gt;0,"full","unknown"))))</f>
        <v/>
      </c>
      <c r="E260" s="9"/>
      <c r="F260" s="9"/>
      <c r="G260" s="9"/>
      <c r="H260" s="9"/>
      <c r="I260" s="12"/>
      <c r="J260" s="9"/>
      <c r="K260" s="9"/>
      <c r="L260" s="9"/>
      <c r="M260" s="9"/>
      <c r="N260" s="9"/>
      <c r="O260" s="13" t="str">
        <f aca="false">IF(C260="","",IF(N(M260)+N(N260)&lt;Settings!$C$9,"untested",M260/(M260+N260)))</f>
        <v/>
      </c>
      <c r="P260" s="9"/>
      <c r="Q260" s="9"/>
      <c r="R260" s="9"/>
      <c r="S260" s="12"/>
      <c r="T260" s="9"/>
      <c r="U260" s="9"/>
      <c r="V260" s="9"/>
      <c r="W260" s="10" t="str">
        <f aca="false">IF(C260="","",IF(OR(G260="training",G260="full"),"Yes",IF(G260="none","No","?")))</f>
        <v/>
      </c>
      <c r="X260" s="10" t="str">
        <f aca="false">IF(C260="","",IF(OR(E260="",E260="unknown"),D260,E260))</f>
        <v/>
      </c>
      <c r="Y260" s="10" t="str">
        <f aca="false">IF(C260="","",IF(OR(T260="unsuitable",T260="retired",X260="no"),"—",IF(J260="","unrated",IF(AND(X260="full",J260&gt;=Settings!$C$5,OR(O260="untested",O260&gt;=Settings!$C$6)),"A",IF(AND(OR(X260="full",X260="reduced"),J260&gt;=Settings!$C$7,OR(O260="untested",O260&gt;=Settings!$C$8)),"B","C")))))</f>
        <v/>
      </c>
      <c r="Z260" s="11" t="str">
        <f aca="false">IF(C260="","",IF(P260&lt;&gt;"",P260,Y260))</f>
        <v/>
      </c>
    </row>
    <row r="261" customFormat="false" ht="15" hidden="false" customHeight="false" outlineLevel="0" collapsed="false">
      <c r="A261" s="9"/>
      <c r="B261" s="10" t="str">
        <f aca="false">IF(A261="","",IFERROR(INDEX(Parks!$A$2:$A$255,MATCH(A261,Parks!$B$2:$B$255,0)),"?"))</f>
        <v/>
      </c>
      <c r="C261" s="9"/>
      <c r="D261" s="10" t="str">
        <f aca="false">IF(C261="","",IF(SUMPRODUCT(--ISNUMBER(SEARCH({"Nets","Wicket","Diamond","Softball","T-ball","Baseball","Netball","Tennis","Bocce","Pentaque","Petanque","Skate","Car Park","Pond","Bridle","Amphitheatre","Perimeter","Passive"},C261)))&gt;0,"no",IF(SUMPRODUCT(--ISNUMBER(SEARCH({"Cricket","Junior","Mini","Summer Football","Small"},C261)))&gt;0,"reduced",IF(SUMPRODUCT(--ISNUMBER(SEARCH({"Rugby","Football","League","Touch","Gaelic","Australian","Lacrosse","General Sport","Training Area","Ultimate"},C261)))&gt;0,"full","unknown"))))</f>
        <v/>
      </c>
      <c r="E261" s="9"/>
      <c r="F261" s="9"/>
      <c r="G261" s="9"/>
      <c r="H261" s="9"/>
      <c r="I261" s="12"/>
      <c r="J261" s="9"/>
      <c r="K261" s="9"/>
      <c r="L261" s="9"/>
      <c r="M261" s="9"/>
      <c r="N261" s="9"/>
      <c r="O261" s="13" t="str">
        <f aca="false">IF(C261="","",IF(N(M261)+N(N261)&lt;Settings!$C$9,"untested",M261/(M261+N261)))</f>
        <v/>
      </c>
      <c r="P261" s="9"/>
      <c r="Q261" s="9"/>
      <c r="R261" s="9"/>
      <c r="S261" s="12"/>
      <c r="T261" s="9"/>
      <c r="U261" s="9"/>
      <c r="V261" s="9"/>
      <c r="W261" s="10" t="str">
        <f aca="false">IF(C261="","",IF(OR(G261="training",G261="full"),"Yes",IF(G261="none","No","?")))</f>
        <v/>
      </c>
      <c r="X261" s="10" t="str">
        <f aca="false">IF(C261="","",IF(OR(E261="",E261="unknown"),D261,E261))</f>
        <v/>
      </c>
      <c r="Y261" s="10" t="str">
        <f aca="false">IF(C261="","",IF(OR(T261="unsuitable",T261="retired",X261="no"),"—",IF(J261="","unrated",IF(AND(X261="full",J261&gt;=Settings!$C$5,OR(O261="untested",O261&gt;=Settings!$C$6)),"A",IF(AND(OR(X261="full",X261="reduced"),J261&gt;=Settings!$C$7,OR(O261="untested",O261&gt;=Settings!$C$8)),"B","C")))))</f>
        <v/>
      </c>
      <c r="Z261" s="11" t="str">
        <f aca="false">IF(C261="","",IF(P261&lt;&gt;"",P261,Y261))</f>
        <v/>
      </c>
    </row>
    <row r="262" customFormat="false" ht="15" hidden="false" customHeight="false" outlineLevel="0" collapsed="false">
      <c r="A262" s="9"/>
      <c r="B262" s="10" t="str">
        <f aca="false">IF(A262="","",IFERROR(INDEX(Parks!$A$2:$A$255,MATCH(A262,Parks!$B$2:$B$255,0)),"?"))</f>
        <v/>
      </c>
      <c r="C262" s="9"/>
      <c r="D262" s="10" t="str">
        <f aca="false">IF(C262="","",IF(SUMPRODUCT(--ISNUMBER(SEARCH({"Nets","Wicket","Diamond","Softball","T-ball","Baseball","Netball","Tennis","Bocce","Pentaque","Petanque","Skate","Car Park","Pond","Bridle","Amphitheatre","Perimeter","Passive"},C262)))&gt;0,"no",IF(SUMPRODUCT(--ISNUMBER(SEARCH({"Cricket","Junior","Mini","Summer Football","Small"},C262)))&gt;0,"reduced",IF(SUMPRODUCT(--ISNUMBER(SEARCH({"Rugby","Football","League","Touch","Gaelic","Australian","Lacrosse","General Sport","Training Area","Ultimate"},C262)))&gt;0,"full","unknown"))))</f>
        <v/>
      </c>
      <c r="E262" s="9"/>
      <c r="F262" s="9"/>
      <c r="G262" s="9"/>
      <c r="H262" s="9"/>
      <c r="I262" s="12"/>
      <c r="J262" s="9"/>
      <c r="K262" s="9"/>
      <c r="L262" s="9"/>
      <c r="M262" s="9"/>
      <c r="N262" s="9"/>
      <c r="O262" s="13" t="str">
        <f aca="false">IF(C262="","",IF(N(M262)+N(N262)&lt;Settings!$C$9,"untested",M262/(M262+N262)))</f>
        <v/>
      </c>
      <c r="P262" s="9"/>
      <c r="Q262" s="9"/>
      <c r="R262" s="9"/>
      <c r="S262" s="12"/>
      <c r="T262" s="9"/>
      <c r="U262" s="9"/>
      <c r="V262" s="9"/>
      <c r="W262" s="10" t="str">
        <f aca="false">IF(C262="","",IF(OR(G262="training",G262="full"),"Yes",IF(G262="none","No","?")))</f>
        <v/>
      </c>
      <c r="X262" s="10" t="str">
        <f aca="false">IF(C262="","",IF(OR(E262="",E262="unknown"),D262,E262))</f>
        <v/>
      </c>
      <c r="Y262" s="10" t="str">
        <f aca="false">IF(C262="","",IF(OR(T262="unsuitable",T262="retired",X262="no"),"—",IF(J262="","unrated",IF(AND(X262="full",J262&gt;=Settings!$C$5,OR(O262="untested",O262&gt;=Settings!$C$6)),"A",IF(AND(OR(X262="full",X262="reduced"),J262&gt;=Settings!$C$7,OR(O262="untested",O262&gt;=Settings!$C$8)),"B","C")))))</f>
        <v/>
      </c>
      <c r="Z262" s="11" t="str">
        <f aca="false">IF(C262="","",IF(P262&lt;&gt;"",P262,Y262))</f>
        <v/>
      </c>
    </row>
    <row r="263" customFormat="false" ht="15" hidden="false" customHeight="false" outlineLevel="0" collapsed="false">
      <c r="A263" s="9"/>
      <c r="B263" s="10" t="str">
        <f aca="false">IF(A263="","",IFERROR(INDEX(Parks!$A$2:$A$255,MATCH(A263,Parks!$B$2:$B$255,0)),"?"))</f>
        <v/>
      </c>
      <c r="C263" s="9"/>
      <c r="D263" s="10" t="str">
        <f aca="false">IF(C263="","",IF(SUMPRODUCT(--ISNUMBER(SEARCH({"Nets","Wicket","Diamond","Softball","T-ball","Baseball","Netball","Tennis","Bocce","Pentaque","Petanque","Skate","Car Park","Pond","Bridle","Amphitheatre","Perimeter","Passive"},C263)))&gt;0,"no",IF(SUMPRODUCT(--ISNUMBER(SEARCH({"Cricket","Junior","Mini","Summer Football","Small"},C263)))&gt;0,"reduced",IF(SUMPRODUCT(--ISNUMBER(SEARCH({"Rugby","Football","League","Touch","Gaelic","Australian","Lacrosse","General Sport","Training Area","Ultimate"},C263)))&gt;0,"full","unknown"))))</f>
        <v/>
      </c>
      <c r="E263" s="9"/>
      <c r="F263" s="9"/>
      <c r="G263" s="9"/>
      <c r="H263" s="9"/>
      <c r="I263" s="12"/>
      <c r="J263" s="9"/>
      <c r="K263" s="9"/>
      <c r="L263" s="9"/>
      <c r="M263" s="9"/>
      <c r="N263" s="9"/>
      <c r="O263" s="13" t="str">
        <f aca="false">IF(C263="","",IF(N(M263)+N(N263)&lt;Settings!$C$9,"untested",M263/(M263+N263)))</f>
        <v/>
      </c>
      <c r="P263" s="9"/>
      <c r="Q263" s="9"/>
      <c r="R263" s="9"/>
      <c r="S263" s="12"/>
      <c r="T263" s="9"/>
      <c r="U263" s="9"/>
      <c r="V263" s="9"/>
      <c r="W263" s="10" t="str">
        <f aca="false">IF(C263="","",IF(OR(G263="training",G263="full"),"Yes",IF(G263="none","No","?")))</f>
        <v/>
      </c>
      <c r="X263" s="10" t="str">
        <f aca="false">IF(C263="","",IF(OR(E263="",E263="unknown"),D263,E263))</f>
        <v/>
      </c>
      <c r="Y263" s="10" t="str">
        <f aca="false">IF(C263="","",IF(OR(T263="unsuitable",T263="retired",X263="no"),"—",IF(J263="","unrated",IF(AND(X263="full",J263&gt;=Settings!$C$5,OR(O263="untested",O263&gt;=Settings!$C$6)),"A",IF(AND(OR(X263="full",X263="reduced"),J263&gt;=Settings!$C$7,OR(O263="untested",O263&gt;=Settings!$C$8)),"B","C")))))</f>
        <v/>
      </c>
      <c r="Z263" s="11" t="str">
        <f aca="false">IF(C263="","",IF(P263&lt;&gt;"",P263,Y263))</f>
        <v/>
      </c>
    </row>
    <row r="264" customFormat="false" ht="15" hidden="false" customHeight="false" outlineLevel="0" collapsed="false">
      <c r="A264" s="9"/>
      <c r="B264" s="10" t="str">
        <f aca="false">IF(A264="","",IFERROR(INDEX(Parks!$A$2:$A$255,MATCH(A264,Parks!$B$2:$B$255,0)),"?"))</f>
        <v/>
      </c>
      <c r="C264" s="9"/>
      <c r="D264" s="10" t="str">
        <f aca="false">IF(C264="","",IF(SUMPRODUCT(--ISNUMBER(SEARCH({"Nets","Wicket","Diamond","Softball","T-ball","Baseball","Netball","Tennis","Bocce","Pentaque","Petanque","Skate","Car Park","Pond","Bridle","Amphitheatre","Perimeter","Passive"},C264)))&gt;0,"no",IF(SUMPRODUCT(--ISNUMBER(SEARCH({"Cricket","Junior","Mini","Summer Football","Small"},C264)))&gt;0,"reduced",IF(SUMPRODUCT(--ISNUMBER(SEARCH({"Rugby","Football","League","Touch","Gaelic","Australian","Lacrosse","General Sport","Training Area","Ultimate"},C264)))&gt;0,"full","unknown"))))</f>
        <v/>
      </c>
      <c r="E264" s="9"/>
      <c r="F264" s="9"/>
      <c r="G264" s="9"/>
      <c r="H264" s="9"/>
      <c r="I264" s="12"/>
      <c r="J264" s="9"/>
      <c r="K264" s="9"/>
      <c r="L264" s="9"/>
      <c r="M264" s="9"/>
      <c r="N264" s="9"/>
      <c r="O264" s="13" t="str">
        <f aca="false">IF(C264="","",IF(N(M264)+N(N264)&lt;Settings!$C$9,"untested",M264/(M264+N264)))</f>
        <v/>
      </c>
      <c r="P264" s="9"/>
      <c r="Q264" s="9"/>
      <c r="R264" s="9"/>
      <c r="S264" s="12"/>
      <c r="T264" s="9"/>
      <c r="U264" s="9"/>
      <c r="V264" s="9"/>
      <c r="W264" s="10" t="str">
        <f aca="false">IF(C264="","",IF(OR(G264="training",G264="full"),"Yes",IF(G264="none","No","?")))</f>
        <v/>
      </c>
      <c r="X264" s="10" t="str">
        <f aca="false">IF(C264="","",IF(OR(E264="",E264="unknown"),D264,E264))</f>
        <v/>
      </c>
      <c r="Y264" s="10" t="str">
        <f aca="false">IF(C264="","",IF(OR(T264="unsuitable",T264="retired",X264="no"),"—",IF(J264="","unrated",IF(AND(X264="full",J264&gt;=Settings!$C$5,OR(O264="untested",O264&gt;=Settings!$C$6)),"A",IF(AND(OR(X264="full",X264="reduced"),J264&gt;=Settings!$C$7,OR(O264="untested",O264&gt;=Settings!$C$8)),"B","C")))))</f>
        <v/>
      </c>
      <c r="Z264" s="11" t="str">
        <f aca="false">IF(C264="","",IF(P264&lt;&gt;"",P264,Y264))</f>
        <v/>
      </c>
    </row>
    <row r="265" customFormat="false" ht="15" hidden="false" customHeight="false" outlineLevel="0" collapsed="false">
      <c r="A265" s="9"/>
      <c r="B265" s="10" t="str">
        <f aca="false">IF(A265="","",IFERROR(INDEX(Parks!$A$2:$A$255,MATCH(A265,Parks!$B$2:$B$255,0)),"?"))</f>
        <v/>
      </c>
      <c r="C265" s="9"/>
      <c r="D265" s="10" t="str">
        <f aca="false">IF(C265="","",IF(SUMPRODUCT(--ISNUMBER(SEARCH({"Nets","Wicket","Diamond","Softball","T-ball","Baseball","Netball","Tennis","Bocce","Pentaque","Petanque","Skate","Car Park","Pond","Bridle","Amphitheatre","Perimeter","Passive"},C265)))&gt;0,"no",IF(SUMPRODUCT(--ISNUMBER(SEARCH({"Cricket","Junior","Mini","Summer Football","Small"},C265)))&gt;0,"reduced",IF(SUMPRODUCT(--ISNUMBER(SEARCH({"Rugby","Football","League","Touch","Gaelic","Australian","Lacrosse","General Sport","Training Area","Ultimate"},C265)))&gt;0,"full","unknown"))))</f>
        <v/>
      </c>
      <c r="E265" s="9"/>
      <c r="F265" s="9"/>
      <c r="G265" s="9"/>
      <c r="H265" s="9"/>
      <c r="I265" s="12"/>
      <c r="J265" s="9"/>
      <c r="K265" s="9"/>
      <c r="L265" s="9"/>
      <c r="M265" s="9"/>
      <c r="N265" s="9"/>
      <c r="O265" s="13" t="str">
        <f aca="false">IF(C265="","",IF(N(M265)+N(N265)&lt;Settings!$C$9,"untested",M265/(M265+N265)))</f>
        <v/>
      </c>
      <c r="P265" s="9"/>
      <c r="Q265" s="9"/>
      <c r="R265" s="9"/>
      <c r="S265" s="12"/>
      <c r="T265" s="9"/>
      <c r="U265" s="9"/>
      <c r="V265" s="9"/>
      <c r="W265" s="10" t="str">
        <f aca="false">IF(C265="","",IF(OR(G265="training",G265="full"),"Yes",IF(G265="none","No","?")))</f>
        <v/>
      </c>
      <c r="X265" s="10" t="str">
        <f aca="false">IF(C265="","",IF(OR(E265="",E265="unknown"),D265,E265))</f>
        <v/>
      </c>
      <c r="Y265" s="10" t="str">
        <f aca="false">IF(C265="","",IF(OR(T265="unsuitable",T265="retired",X265="no"),"—",IF(J265="","unrated",IF(AND(X265="full",J265&gt;=Settings!$C$5,OR(O265="untested",O265&gt;=Settings!$C$6)),"A",IF(AND(OR(X265="full",X265="reduced"),J265&gt;=Settings!$C$7,OR(O265="untested",O265&gt;=Settings!$C$8)),"B","C")))))</f>
        <v/>
      </c>
      <c r="Z265" s="11" t="str">
        <f aca="false">IF(C265="","",IF(P265&lt;&gt;"",P265,Y265))</f>
        <v/>
      </c>
    </row>
    <row r="266" customFormat="false" ht="15" hidden="false" customHeight="false" outlineLevel="0" collapsed="false">
      <c r="A266" s="9"/>
      <c r="B266" s="10" t="str">
        <f aca="false">IF(A266="","",IFERROR(INDEX(Parks!$A$2:$A$255,MATCH(A266,Parks!$B$2:$B$255,0)),"?"))</f>
        <v/>
      </c>
      <c r="C266" s="9"/>
      <c r="D266" s="10" t="str">
        <f aca="false">IF(C266="","",IF(SUMPRODUCT(--ISNUMBER(SEARCH({"Nets","Wicket","Diamond","Softball","T-ball","Baseball","Netball","Tennis","Bocce","Pentaque","Petanque","Skate","Car Park","Pond","Bridle","Amphitheatre","Perimeter","Passive"},C266)))&gt;0,"no",IF(SUMPRODUCT(--ISNUMBER(SEARCH({"Cricket","Junior","Mini","Summer Football","Small"},C266)))&gt;0,"reduced",IF(SUMPRODUCT(--ISNUMBER(SEARCH({"Rugby","Football","League","Touch","Gaelic","Australian","Lacrosse","General Sport","Training Area","Ultimate"},C266)))&gt;0,"full","unknown"))))</f>
        <v/>
      </c>
      <c r="E266" s="9"/>
      <c r="F266" s="9"/>
      <c r="G266" s="9"/>
      <c r="H266" s="9"/>
      <c r="I266" s="12"/>
      <c r="J266" s="9"/>
      <c r="K266" s="9"/>
      <c r="L266" s="9"/>
      <c r="M266" s="9"/>
      <c r="N266" s="9"/>
      <c r="O266" s="13" t="str">
        <f aca="false">IF(C266="","",IF(N(M266)+N(N266)&lt;Settings!$C$9,"untested",M266/(M266+N266)))</f>
        <v/>
      </c>
      <c r="P266" s="9"/>
      <c r="Q266" s="9"/>
      <c r="R266" s="9"/>
      <c r="S266" s="12"/>
      <c r="T266" s="9"/>
      <c r="U266" s="9"/>
      <c r="V266" s="9"/>
      <c r="W266" s="10" t="str">
        <f aca="false">IF(C266="","",IF(OR(G266="training",G266="full"),"Yes",IF(G266="none","No","?")))</f>
        <v/>
      </c>
      <c r="X266" s="10" t="str">
        <f aca="false">IF(C266="","",IF(OR(E266="",E266="unknown"),D266,E266))</f>
        <v/>
      </c>
      <c r="Y266" s="10" t="str">
        <f aca="false">IF(C266="","",IF(OR(T266="unsuitable",T266="retired",X266="no"),"—",IF(J266="","unrated",IF(AND(X266="full",J266&gt;=Settings!$C$5,OR(O266="untested",O266&gt;=Settings!$C$6)),"A",IF(AND(OR(X266="full",X266="reduced"),J266&gt;=Settings!$C$7,OR(O266="untested",O266&gt;=Settings!$C$8)),"B","C")))))</f>
        <v/>
      </c>
      <c r="Z266" s="11" t="str">
        <f aca="false">IF(C266="","",IF(P266&lt;&gt;"",P266,Y266))</f>
        <v/>
      </c>
    </row>
    <row r="267" customFormat="false" ht="15" hidden="false" customHeight="false" outlineLevel="0" collapsed="false">
      <c r="A267" s="9"/>
      <c r="B267" s="10" t="str">
        <f aca="false">IF(A267="","",IFERROR(INDEX(Parks!$A$2:$A$255,MATCH(A267,Parks!$B$2:$B$255,0)),"?"))</f>
        <v/>
      </c>
      <c r="C267" s="9"/>
      <c r="D267" s="10" t="str">
        <f aca="false">IF(C267="","",IF(SUMPRODUCT(--ISNUMBER(SEARCH({"Nets","Wicket","Diamond","Softball","T-ball","Baseball","Netball","Tennis","Bocce","Pentaque","Petanque","Skate","Car Park","Pond","Bridle","Amphitheatre","Perimeter","Passive"},C267)))&gt;0,"no",IF(SUMPRODUCT(--ISNUMBER(SEARCH({"Cricket","Junior","Mini","Summer Football","Small"},C267)))&gt;0,"reduced",IF(SUMPRODUCT(--ISNUMBER(SEARCH({"Rugby","Football","League","Touch","Gaelic","Australian","Lacrosse","General Sport","Training Area","Ultimate"},C267)))&gt;0,"full","unknown"))))</f>
        <v/>
      </c>
      <c r="E267" s="9"/>
      <c r="F267" s="9"/>
      <c r="G267" s="9"/>
      <c r="H267" s="9"/>
      <c r="I267" s="12"/>
      <c r="J267" s="9"/>
      <c r="K267" s="9"/>
      <c r="L267" s="9"/>
      <c r="M267" s="9"/>
      <c r="N267" s="9"/>
      <c r="O267" s="13" t="str">
        <f aca="false">IF(C267="","",IF(N(M267)+N(N267)&lt;Settings!$C$9,"untested",M267/(M267+N267)))</f>
        <v/>
      </c>
      <c r="P267" s="9"/>
      <c r="Q267" s="9"/>
      <c r="R267" s="9"/>
      <c r="S267" s="12"/>
      <c r="T267" s="9"/>
      <c r="U267" s="9"/>
      <c r="V267" s="9"/>
      <c r="W267" s="10" t="str">
        <f aca="false">IF(C267="","",IF(OR(G267="training",G267="full"),"Yes",IF(G267="none","No","?")))</f>
        <v/>
      </c>
      <c r="X267" s="10" t="str">
        <f aca="false">IF(C267="","",IF(OR(E267="",E267="unknown"),D267,E267))</f>
        <v/>
      </c>
      <c r="Y267" s="10" t="str">
        <f aca="false">IF(C267="","",IF(OR(T267="unsuitable",T267="retired",X267="no"),"—",IF(J267="","unrated",IF(AND(X267="full",J267&gt;=Settings!$C$5,OR(O267="untested",O267&gt;=Settings!$C$6)),"A",IF(AND(OR(X267="full",X267="reduced"),J267&gt;=Settings!$C$7,OR(O267="untested",O267&gt;=Settings!$C$8)),"B","C")))))</f>
        <v/>
      </c>
      <c r="Z267" s="11" t="str">
        <f aca="false">IF(C267="","",IF(P267&lt;&gt;"",P267,Y267))</f>
        <v/>
      </c>
    </row>
    <row r="268" customFormat="false" ht="15" hidden="false" customHeight="false" outlineLevel="0" collapsed="false">
      <c r="A268" s="9"/>
      <c r="B268" s="10" t="str">
        <f aca="false">IF(A268="","",IFERROR(INDEX(Parks!$A$2:$A$255,MATCH(A268,Parks!$B$2:$B$255,0)),"?"))</f>
        <v/>
      </c>
      <c r="C268" s="9"/>
      <c r="D268" s="10" t="str">
        <f aca="false">IF(C268="","",IF(SUMPRODUCT(--ISNUMBER(SEARCH({"Nets","Wicket","Diamond","Softball","T-ball","Baseball","Netball","Tennis","Bocce","Pentaque","Petanque","Skate","Car Park","Pond","Bridle","Amphitheatre","Perimeter","Passive"},C268)))&gt;0,"no",IF(SUMPRODUCT(--ISNUMBER(SEARCH({"Cricket","Junior","Mini","Summer Football","Small"},C268)))&gt;0,"reduced",IF(SUMPRODUCT(--ISNUMBER(SEARCH({"Rugby","Football","League","Touch","Gaelic","Australian","Lacrosse","General Sport","Training Area","Ultimate"},C268)))&gt;0,"full","unknown"))))</f>
        <v/>
      </c>
      <c r="E268" s="9"/>
      <c r="F268" s="9"/>
      <c r="G268" s="9"/>
      <c r="H268" s="9"/>
      <c r="I268" s="12"/>
      <c r="J268" s="9"/>
      <c r="K268" s="9"/>
      <c r="L268" s="9"/>
      <c r="M268" s="9"/>
      <c r="N268" s="9"/>
      <c r="O268" s="13" t="str">
        <f aca="false">IF(C268="","",IF(N(M268)+N(N268)&lt;Settings!$C$9,"untested",M268/(M268+N268)))</f>
        <v/>
      </c>
      <c r="P268" s="9"/>
      <c r="Q268" s="9"/>
      <c r="R268" s="9"/>
      <c r="S268" s="12"/>
      <c r="T268" s="9"/>
      <c r="U268" s="9"/>
      <c r="V268" s="9"/>
      <c r="W268" s="10" t="str">
        <f aca="false">IF(C268="","",IF(OR(G268="training",G268="full"),"Yes",IF(G268="none","No","?")))</f>
        <v/>
      </c>
      <c r="X268" s="10" t="str">
        <f aca="false">IF(C268="","",IF(OR(E268="",E268="unknown"),D268,E268))</f>
        <v/>
      </c>
      <c r="Y268" s="10" t="str">
        <f aca="false">IF(C268="","",IF(OR(T268="unsuitable",T268="retired",X268="no"),"—",IF(J268="","unrated",IF(AND(X268="full",J268&gt;=Settings!$C$5,OR(O268="untested",O268&gt;=Settings!$C$6)),"A",IF(AND(OR(X268="full",X268="reduced"),J268&gt;=Settings!$C$7,OR(O268="untested",O268&gt;=Settings!$C$8)),"B","C")))))</f>
        <v/>
      </c>
      <c r="Z268" s="11" t="str">
        <f aca="false">IF(C268="","",IF(P268&lt;&gt;"",P268,Y268))</f>
        <v/>
      </c>
    </row>
    <row r="269" customFormat="false" ht="15" hidden="false" customHeight="false" outlineLevel="0" collapsed="false">
      <c r="A269" s="9"/>
      <c r="B269" s="10" t="str">
        <f aca="false">IF(A269="","",IFERROR(INDEX(Parks!$A$2:$A$255,MATCH(A269,Parks!$B$2:$B$255,0)),"?"))</f>
        <v/>
      </c>
      <c r="C269" s="9"/>
      <c r="D269" s="10" t="str">
        <f aca="false">IF(C269="","",IF(SUMPRODUCT(--ISNUMBER(SEARCH({"Nets","Wicket","Diamond","Softball","T-ball","Baseball","Netball","Tennis","Bocce","Pentaque","Petanque","Skate","Car Park","Pond","Bridle","Amphitheatre","Perimeter","Passive"},C269)))&gt;0,"no",IF(SUMPRODUCT(--ISNUMBER(SEARCH({"Cricket","Junior","Mini","Summer Football","Small"},C269)))&gt;0,"reduced",IF(SUMPRODUCT(--ISNUMBER(SEARCH({"Rugby","Football","League","Touch","Gaelic","Australian","Lacrosse","General Sport","Training Area","Ultimate"},C269)))&gt;0,"full","unknown"))))</f>
        <v/>
      </c>
      <c r="E269" s="9"/>
      <c r="F269" s="9"/>
      <c r="G269" s="9"/>
      <c r="H269" s="9"/>
      <c r="I269" s="12"/>
      <c r="J269" s="9"/>
      <c r="K269" s="9"/>
      <c r="L269" s="9"/>
      <c r="M269" s="9"/>
      <c r="N269" s="9"/>
      <c r="O269" s="13" t="str">
        <f aca="false">IF(C269="","",IF(N(M269)+N(N269)&lt;Settings!$C$9,"untested",M269/(M269+N269)))</f>
        <v/>
      </c>
      <c r="P269" s="9"/>
      <c r="Q269" s="9"/>
      <c r="R269" s="9"/>
      <c r="S269" s="12"/>
      <c r="T269" s="9"/>
      <c r="U269" s="9"/>
      <c r="V269" s="9"/>
      <c r="W269" s="10" t="str">
        <f aca="false">IF(C269="","",IF(OR(G269="training",G269="full"),"Yes",IF(G269="none","No","?")))</f>
        <v/>
      </c>
      <c r="X269" s="10" t="str">
        <f aca="false">IF(C269="","",IF(OR(E269="",E269="unknown"),D269,E269))</f>
        <v/>
      </c>
      <c r="Y269" s="10" t="str">
        <f aca="false">IF(C269="","",IF(OR(T269="unsuitable",T269="retired",X269="no"),"—",IF(J269="","unrated",IF(AND(X269="full",J269&gt;=Settings!$C$5,OR(O269="untested",O269&gt;=Settings!$C$6)),"A",IF(AND(OR(X269="full",X269="reduced"),J269&gt;=Settings!$C$7,OR(O269="untested",O269&gt;=Settings!$C$8)),"B","C")))))</f>
        <v/>
      </c>
      <c r="Z269" s="11" t="str">
        <f aca="false">IF(C269="","",IF(P269&lt;&gt;"",P269,Y269))</f>
        <v/>
      </c>
    </row>
    <row r="270" customFormat="false" ht="15" hidden="false" customHeight="false" outlineLevel="0" collapsed="false">
      <c r="A270" s="9"/>
      <c r="B270" s="10" t="str">
        <f aca="false">IF(A270="","",IFERROR(INDEX(Parks!$A$2:$A$255,MATCH(A270,Parks!$B$2:$B$255,0)),"?"))</f>
        <v/>
      </c>
      <c r="C270" s="9"/>
      <c r="D270" s="10" t="str">
        <f aca="false">IF(C270="","",IF(SUMPRODUCT(--ISNUMBER(SEARCH({"Nets","Wicket","Diamond","Softball","T-ball","Baseball","Netball","Tennis","Bocce","Pentaque","Petanque","Skate","Car Park","Pond","Bridle","Amphitheatre","Perimeter","Passive"},C270)))&gt;0,"no",IF(SUMPRODUCT(--ISNUMBER(SEARCH({"Cricket","Junior","Mini","Summer Football","Small"},C270)))&gt;0,"reduced",IF(SUMPRODUCT(--ISNUMBER(SEARCH({"Rugby","Football","League","Touch","Gaelic","Australian","Lacrosse","General Sport","Training Area","Ultimate"},C270)))&gt;0,"full","unknown"))))</f>
        <v/>
      </c>
      <c r="E270" s="9"/>
      <c r="F270" s="9"/>
      <c r="G270" s="9"/>
      <c r="H270" s="9"/>
      <c r="I270" s="12"/>
      <c r="J270" s="9"/>
      <c r="K270" s="9"/>
      <c r="L270" s="9"/>
      <c r="M270" s="9"/>
      <c r="N270" s="9"/>
      <c r="O270" s="13" t="str">
        <f aca="false">IF(C270="","",IF(N(M270)+N(N270)&lt;Settings!$C$9,"untested",M270/(M270+N270)))</f>
        <v/>
      </c>
      <c r="P270" s="9"/>
      <c r="Q270" s="9"/>
      <c r="R270" s="9"/>
      <c r="S270" s="12"/>
      <c r="T270" s="9"/>
      <c r="U270" s="9"/>
      <c r="V270" s="9"/>
      <c r="W270" s="10" t="str">
        <f aca="false">IF(C270="","",IF(OR(G270="training",G270="full"),"Yes",IF(G270="none","No","?")))</f>
        <v/>
      </c>
      <c r="X270" s="10" t="str">
        <f aca="false">IF(C270="","",IF(OR(E270="",E270="unknown"),D270,E270))</f>
        <v/>
      </c>
      <c r="Y270" s="10" t="str">
        <f aca="false">IF(C270="","",IF(OR(T270="unsuitable",T270="retired",X270="no"),"—",IF(J270="","unrated",IF(AND(X270="full",J270&gt;=Settings!$C$5,OR(O270="untested",O270&gt;=Settings!$C$6)),"A",IF(AND(OR(X270="full",X270="reduced"),J270&gt;=Settings!$C$7,OR(O270="untested",O270&gt;=Settings!$C$8)),"B","C")))))</f>
        <v/>
      </c>
      <c r="Z270" s="11" t="str">
        <f aca="false">IF(C270="","",IF(P270&lt;&gt;"",P270,Y270))</f>
        <v/>
      </c>
    </row>
    <row r="271" customFormat="false" ht="15" hidden="false" customHeight="false" outlineLevel="0" collapsed="false">
      <c r="A271" s="9"/>
      <c r="B271" s="10" t="str">
        <f aca="false">IF(A271="","",IFERROR(INDEX(Parks!$A$2:$A$255,MATCH(A271,Parks!$B$2:$B$255,0)),"?"))</f>
        <v/>
      </c>
      <c r="C271" s="9"/>
      <c r="D271" s="10" t="str">
        <f aca="false">IF(C271="","",IF(SUMPRODUCT(--ISNUMBER(SEARCH({"Nets","Wicket","Diamond","Softball","T-ball","Baseball","Netball","Tennis","Bocce","Pentaque","Petanque","Skate","Car Park","Pond","Bridle","Amphitheatre","Perimeter","Passive"},C271)))&gt;0,"no",IF(SUMPRODUCT(--ISNUMBER(SEARCH({"Cricket","Junior","Mini","Summer Football","Small"},C271)))&gt;0,"reduced",IF(SUMPRODUCT(--ISNUMBER(SEARCH({"Rugby","Football","League","Touch","Gaelic","Australian","Lacrosse","General Sport","Training Area","Ultimate"},C271)))&gt;0,"full","unknown"))))</f>
        <v/>
      </c>
      <c r="E271" s="9"/>
      <c r="F271" s="9"/>
      <c r="G271" s="9"/>
      <c r="H271" s="9"/>
      <c r="I271" s="12"/>
      <c r="J271" s="9"/>
      <c r="K271" s="9"/>
      <c r="L271" s="9"/>
      <c r="M271" s="9"/>
      <c r="N271" s="9"/>
      <c r="O271" s="13" t="str">
        <f aca="false">IF(C271="","",IF(N(M271)+N(N271)&lt;Settings!$C$9,"untested",M271/(M271+N271)))</f>
        <v/>
      </c>
      <c r="P271" s="9"/>
      <c r="Q271" s="9"/>
      <c r="R271" s="9"/>
      <c r="S271" s="12"/>
      <c r="T271" s="9"/>
      <c r="U271" s="9"/>
      <c r="V271" s="9"/>
      <c r="W271" s="10" t="str">
        <f aca="false">IF(C271="","",IF(OR(G271="training",G271="full"),"Yes",IF(G271="none","No","?")))</f>
        <v/>
      </c>
      <c r="X271" s="10" t="str">
        <f aca="false">IF(C271="","",IF(OR(E271="",E271="unknown"),D271,E271))</f>
        <v/>
      </c>
      <c r="Y271" s="10" t="str">
        <f aca="false">IF(C271="","",IF(OR(T271="unsuitable",T271="retired",X271="no"),"—",IF(J271="","unrated",IF(AND(X271="full",J271&gt;=Settings!$C$5,OR(O271="untested",O271&gt;=Settings!$C$6)),"A",IF(AND(OR(X271="full",X271="reduced"),J271&gt;=Settings!$C$7,OR(O271="untested",O271&gt;=Settings!$C$8)),"B","C")))))</f>
        <v/>
      </c>
      <c r="Z271" s="11" t="str">
        <f aca="false">IF(C271="","",IF(P271&lt;&gt;"",P271,Y271))</f>
        <v/>
      </c>
    </row>
    <row r="272" customFormat="false" ht="15" hidden="false" customHeight="false" outlineLevel="0" collapsed="false">
      <c r="A272" s="9"/>
      <c r="B272" s="10" t="str">
        <f aca="false">IF(A272="","",IFERROR(INDEX(Parks!$A$2:$A$255,MATCH(A272,Parks!$B$2:$B$255,0)),"?"))</f>
        <v/>
      </c>
      <c r="C272" s="9"/>
      <c r="D272" s="10" t="str">
        <f aca="false">IF(C272="","",IF(SUMPRODUCT(--ISNUMBER(SEARCH({"Nets","Wicket","Diamond","Softball","T-ball","Baseball","Netball","Tennis","Bocce","Pentaque","Petanque","Skate","Car Park","Pond","Bridle","Amphitheatre","Perimeter","Passive"},C272)))&gt;0,"no",IF(SUMPRODUCT(--ISNUMBER(SEARCH({"Cricket","Junior","Mini","Summer Football","Small"},C272)))&gt;0,"reduced",IF(SUMPRODUCT(--ISNUMBER(SEARCH({"Rugby","Football","League","Touch","Gaelic","Australian","Lacrosse","General Sport","Training Area","Ultimate"},C272)))&gt;0,"full","unknown"))))</f>
        <v/>
      </c>
      <c r="E272" s="9"/>
      <c r="F272" s="9"/>
      <c r="G272" s="9"/>
      <c r="H272" s="9"/>
      <c r="I272" s="12"/>
      <c r="J272" s="9"/>
      <c r="K272" s="9"/>
      <c r="L272" s="9"/>
      <c r="M272" s="9"/>
      <c r="N272" s="9"/>
      <c r="O272" s="13" t="str">
        <f aca="false">IF(C272="","",IF(N(M272)+N(N272)&lt;Settings!$C$9,"untested",M272/(M272+N272)))</f>
        <v/>
      </c>
      <c r="P272" s="9"/>
      <c r="Q272" s="9"/>
      <c r="R272" s="9"/>
      <c r="S272" s="12"/>
      <c r="T272" s="9"/>
      <c r="U272" s="9"/>
      <c r="V272" s="9"/>
      <c r="W272" s="10" t="str">
        <f aca="false">IF(C272="","",IF(OR(G272="training",G272="full"),"Yes",IF(G272="none","No","?")))</f>
        <v/>
      </c>
      <c r="X272" s="10" t="str">
        <f aca="false">IF(C272="","",IF(OR(E272="",E272="unknown"),D272,E272))</f>
        <v/>
      </c>
      <c r="Y272" s="10" t="str">
        <f aca="false">IF(C272="","",IF(OR(T272="unsuitable",T272="retired",X272="no"),"—",IF(J272="","unrated",IF(AND(X272="full",J272&gt;=Settings!$C$5,OR(O272="untested",O272&gt;=Settings!$C$6)),"A",IF(AND(OR(X272="full",X272="reduced"),J272&gt;=Settings!$C$7,OR(O272="untested",O272&gt;=Settings!$C$8)),"B","C")))))</f>
        <v/>
      </c>
      <c r="Z272" s="11" t="str">
        <f aca="false">IF(C272="","",IF(P272&lt;&gt;"",P272,Y272))</f>
        <v/>
      </c>
    </row>
    <row r="273" customFormat="false" ht="15" hidden="false" customHeight="false" outlineLevel="0" collapsed="false">
      <c r="A273" s="9"/>
      <c r="B273" s="10" t="str">
        <f aca="false">IF(A273="","",IFERROR(INDEX(Parks!$A$2:$A$255,MATCH(A273,Parks!$B$2:$B$255,0)),"?"))</f>
        <v/>
      </c>
      <c r="C273" s="9"/>
      <c r="D273" s="10" t="str">
        <f aca="false">IF(C273="","",IF(SUMPRODUCT(--ISNUMBER(SEARCH({"Nets","Wicket","Diamond","Softball","T-ball","Baseball","Netball","Tennis","Bocce","Pentaque","Petanque","Skate","Car Park","Pond","Bridle","Amphitheatre","Perimeter","Passive"},C273)))&gt;0,"no",IF(SUMPRODUCT(--ISNUMBER(SEARCH({"Cricket","Junior","Mini","Summer Football","Small"},C273)))&gt;0,"reduced",IF(SUMPRODUCT(--ISNUMBER(SEARCH({"Rugby","Football","League","Touch","Gaelic","Australian","Lacrosse","General Sport","Training Area","Ultimate"},C273)))&gt;0,"full","unknown"))))</f>
        <v/>
      </c>
      <c r="E273" s="9"/>
      <c r="F273" s="9"/>
      <c r="G273" s="9"/>
      <c r="H273" s="9"/>
      <c r="I273" s="12"/>
      <c r="J273" s="9"/>
      <c r="K273" s="9"/>
      <c r="L273" s="9"/>
      <c r="M273" s="9"/>
      <c r="N273" s="9"/>
      <c r="O273" s="13" t="str">
        <f aca="false">IF(C273="","",IF(N(M273)+N(N273)&lt;Settings!$C$9,"untested",M273/(M273+N273)))</f>
        <v/>
      </c>
      <c r="P273" s="9"/>
      <c r="Q273" s="9"/>
      <c r="R273" s="9"/>
      <c r="S273" s="12"/>
      <c r="T273" s="9"/>
      <c r="U273" s="9"/>
      <c r="V273" s="9"/>
      <c r="W273" s="10" t="str">
        <f aca="false">IF(C273="","",IF(OR(G273="training",G273="full"),"Yes",IF(G273="none","No","?")))</f>
        <v/>
      </c>
      <c r="X273" s="10" t="str">
        <f aca="false">IF(C273="","",IF(OR(E273="",E273="unknown"),D273,E273))</f>
        <v/>
      </c>
      <c r="Y273" s="10" t="str">
        <f aca="false">IF(C273="","",IF(OR(T273="unsuitable",T273="retired",X273="no"),"—",IF(J273="","unrated",IF(AND(X273="full",J273&gt;=Settings!$C$5,OR(O273="untested",O273&gt;=Settings!$C$6)),"A",IF(AND(OR(X273="full",X273="reduced"),J273&gt;=Settings!$C$7,OR(O273="untested",O273&gt;=Settings!$C$8)),"B","C")))))</f>
        <v/>
      </c>
      <c r="Z273" s="11" t="str">
        <f aca="false">IF(C273="","",IF(P273&lt;&gt;"",P273,Y273))</f>
        <v/>
      </c>
    </row>
    <row r="274" customFormat="false" ht="15" hidden="false" customHeight="false" outlineLevel="0" collapsed="false">
      <c r="A274" s="9"/>
      <c r="B274" s="10" t="str">
        <f aca="false">IF(A274="","",IFERROR(INDEX(Parks!$A$2:$A$255,MATCH(A274,Parks!$B$2:$B$255,0)),"?"))</f>
        <v/>
      </c>
      <c r="C274" s="9"/>
      <c r="D274" s="10" t="str">
        <f aca="false">IF(C274="","",IF(SUMPRODUCT(--ISNUMBER(SEARCH({"Nets","Wicket","Diamond","Softball","T-ball","Baseball","Netball","Tennis","Bocce","Pentaque","Petanque","Skate","Car Park","Pond","Bridle","Amphitheatre","Perimeter","Passive"},C274)))&gt;0,"no",IF(SUMPRODUCT(--ISNUMBER(SEARCH({"Cricket","Junior","Mini","Summer Football","Small"},C274)))&gt;0,"reduced",IF(SUMPRODUCT(--ISNUMBER(SEARCH({"Rugby","Football","League","Touch","Gaelic","Australian","Lacrosse","General Sport","Training Area","Ultimate"},C274)))&gt;0,"full","unknown"))))</f>
        <v/>
      </c>
      <c r="E274" s="9"/>
      <c r="F274" s="9"/>
      <c r="G274" s="9"/>
      <c r="H274" s="9"/>
      <c r="I274" s="12"/>
      <c r="J274" s="9"/>
      <c r="K274" s="9"/>
      <c r="L274" s="9"/>
      <c r="M274" s="9"/>
      <c r="N274" s="9"/>
      <c r="O274" s="13" t="str">
        <f aca="false">IF(C274="","",IF(N(M274)+N(N274)&lt;Settings!$C$9,"untested",M274/(M274+N274)))</f>
        <v/>
      </c>
      <c r="P274" s="9"/>
      <c r="Q274" s="9"/>
      <c r="R274" s="9"/>
      <c r="S274" s="12"/>
      <c r="T274" s="9"/>
      <c r="U274" s="9"/>
      <c r="V274" s="9"/>
      <c r="W274" s="10" t="str">
        <f aca="false">IF(C274="","",IF(OR(G274="training",G274="full"),"Yes",IF(G274="none","No","?")))</f>
        <v/>
      </c>
      <c r="X274" s="10" t="str">
        <f aca="false">IF(C274="","",IF(OR(E274="",E274="unknown"),D274,E274))</f>
        <v/>
      </c>
      <c r="Y274" s="10" t="str">
        <f aca="false">IF(C274="","",IF(OR(T274="unsuitable",T274="retired",X274="no"),"—",IF(J274="","unrated",IF(AND(X274="full",J274&gt;=Settings!$C$5,OR(O274="untested",O274&gt;=Settings!$C$6)),"A",IF(AND(OR(X274="full",X274="reduced"),J274&gt;=Settings!$C$7,OR(O274="untested",O274&gt;=Settings!$C$8)),"B","C")))))</f>
        <v/>
      </c>
      <c r="Z274" s="11" t="str">
        <f aca="false">IF(C274="","",IF(P274&lt;&gt;"",P274,Y274))</f>
        <v/>
      </c>
    </row>
    <row r="275" customFormat="false" ht="15" hidden="false" customHeight="false" outlineLevel="0" collapsed="false">
      <c r="A275" s="9"/>
      <c r="B275" s="10" t="str">
        <f aca="false">IF(A275="","",IFERROR(INDEX(Parks!$A$2:$A$255,MATCH(A275,Parks!$B$2:$B$255,0)),"?"))</f>
        <v/>
      </c>
      <c r="C275" s="9"/>
      <c r="D275" s="10" t="str">
        <f aca="false">IF(C275="","",IF(SUMPRODUCT(--ISNUMBER(SEARCH({"Nets","Wicket","Diamond","Softball","T-ball","Baseball","Netball","Tennis","Bocce","Pentaque","Petanque","Skate","Car Park","Pond","Bridle","Amphitheatre","Perimeter","Passive"},C275)))&gt;0,"no",IF(SUMPRODUCT(--ISNUMBER(SEARCH({"Cricket","Junior","Mini","Summer Football","Small"},C275)))&gt;0,"reduced",IF(SUMPRODUCT(--ISNUMBER(SEARCH({"Rugby","Football","League","Touch","Gaelic","Australian","Lacrosse","General Sport","Training Area","Ultimate"},C275)))&gt;0,"full","unknown"))))</f>
        <v/>
      </c>
      <c r="E275" s="9"/>
      <c r="F275" s="9"/>
      <c r="G275" s="9"/>
      <c r="H275" s="9"/>
      <c r="I275" s="12"/>
      <c r="J275" s="9"/>
      <c r="K275" s="9"/>
      <c r="L275" s="9"/>
      <c r="M275" s="9"/>
      <c r="N275" s="9"/>
      <c r="O275" s="13" t="str">
        <f aca="false">IF(C275="","",IF(N(M275)+N(N275)&lt;Settings!$C$9,"untested",M275/(M275+N275)))</f>
        <v/>
      </c>
      <c r="P275" s="9"/>
      <c r="Q275" s="9"/>
      <c r="R275" s="9"/>
      <c r="S275" s="12"/>
      <c r="T275" s="9"/>
      <c r="U275" s="9"/>
      <c r="V275" s="9"/>
      <c r="W275" s="10" t="str">
        <f aca="false">IF(C275="","",IF(OR(G275="training",G275="full"),"Yes",IF(G275="none","No","?")))</f>
        <v/>
      </c>
      <c r="X275" s="10" t="str">
        <f aca="false">IF(C275="","",IF(OR(E275="",E275="unknown"),D275,E275))</f>
        <v/>
      </c>
      <c r="Y275" s="10" t="str">
        <f aca="false">IF(C275="","",IF(OR(T275="unsuitable",T275="retired",X275="no"),"—",IF(J275="","unrated",IF(AND(X275="full",J275&gt;=Settings!$C$5,OR(O275="untested",O275&gt;=Settings!$C$6)),"A",IF(AND(OR(X275="full",X275="reduced"),J275&gt;=Settings!$C$7,OR(O275="untested",O275&gt;=Settings!$C$8)),"B","C")))))</f>
        <v/>
      </c>
      <c r="Z275" s="11" t="str">
        <f aca="false">IF(C275="","",IF(P275&lt;&gt;"",P275,Y275))</f>
        <v/>
      </c>
    </row>
    <row r="276" customFormat="false" ht="15" hidden="false" customHeight="false" outlineLevel="0" collapsed="false">
      <c r="A276" s="9"/>
      <c r="B276" s="10" t="str">
        <f aca="false">IF(A276="","",IFERROR(INDEX(Parks!$A$2:$A$255,MATCH(A276,Parks!$B$2:$B$255,0)),"?"))</f>
        <v/>
      </c>
      <c r="C276" s="9"/>
      <c r="D276" s="10" t="str">
        <f aca="false">IF(C276="","",IF(SUMPRODUCT(--ISNUMBER(SEARCH({"Nets","Wicket","Diamond","Softball","T-ball","Baseball","Netball","Tennis","Bocce","Pentaque","Petanque","Skate","Car Park","Pond","Bridle","Amphitheatre","Perimeter","Passive"},C276)))&gt;0,"no",IF(SUMPRODUCT(--ISNUMBER(SEARCH({"Cricket","Junior","Mini","Summer Football","Small"},C276)))&gt;0,"reduced",IF(SUMPRODUCT(--ISNUMBER(SEARCH({"Rugby","Football","League","Touch","Gaelic","Australian","Lacrosse","General Sport","Training Area","Ultimate"},C276)))&gt;0,"full","unknown"))))</f>
        <v/>
      </c>
      <c r="E276" s="9"/>
      <c r="F276" s="9"/>
      <c r="G276" s="9"/>
      <c r="H276" s="9"/>
      <c r="I276" s="12"/>
      <c r="J276" s="9"/>
      <c r="K276" s="9"/>
      <c r="L276" s="9"/>
      <c r="M276" s="9"/>
      <c r="N276" s="9"/>
      <c r="O276" s="13" t="str">
        <f aca="false">IF(C276="","",IF(N(M276)+N(N276)&lt;Settings!$C$9,"untested",M276/(M276+N276)))</f>
        <v/>
      </c>
      <c r="P276" s="9"/>
      <c r="Q276" s="9"/>
      <c r="R276" s="9"/>
      <c r="S276" s="12"/>
      <c r="T276" s="9"/>
      <c r="U276" s="9"/>
      <c r="V276" s="9"/>
      <c r="W276" s="10" t="str">
        <f aca="false">IF(C276="","",IF(OR(G276="training",G276="full"),"Yes",IF(G276="none","No","?")))</f>
        <v/>
      </c>
      <c r="X276" s="10" t="str">
        <f aca="false">IF(C276="","",IF(OR(E276="",E276="unknown"),D276,E276))</f>
        <v/>
      </c>
      <c r="Y276" s="10" t="str">
        <f aca="false">IF(C276="","",IF(OR(T276="unsuitable",T276="retired",X276="no"),"—",IF(J276="","unrated",IF(AND(X276="full",J276&gt;=Settings!$C$5,OR(O276="untested",O276&gt;=Settings!$C$6)),"A",IF(AND(OR(X276="full",X276="reduced"),J276&gt;=Settings!$C$7,OR(O276="untested",O276&gt;=Settings!$C$8)),"B","C")))))</f>
        <v/>
      </c>
      <c r="Z276" s="11" t="str">
        <f aca="false">IF(C276="","",IF(P276&lt;&gt;"",P276,Y276))</f>
        <v/>
      </c>
    </row>
    <row r="277" customFormat="false" ht="15" hidden="false" customHeight="false" outlineLevel="0" collapsed="false">
      <c r="A277" s="9"/>
      <c r="B277" s="10" t="str">
        <f aca="false">IF(A277="","",IFERROR(INDEX(Parks!$A$2:$A$255,MATCH(A277,Parks!$B$2:$B$255,0)),"?"))</f>
        <v/>
      </c>
      <c r="C277" s="9"/>
      <c r="D277" s="10" t="str">
        <f aca="false">IF(C277="","",IF(SUMPRODUCT(--ISNUMBER(SEARCH({"Nets","Wicket","Diamond","Softball","T-ball","Baseball","Netball","Tennis","Bocce","Pentaque","Petanque","Skate","Car Park","Pond","Bridle","Amphitheatre","Perimeter","Passive"},C277)))&gt;0,"no",IF(SUMPRODUCT(--ISNUMBER(SEARCH({"Cricket","Junior","Mini","Summer Football","Small"},C277)))&gt;0,"reduced",IF(SUMPRODUCT(--ISNUMBER(SEARCH({"Rugby","Football","League","Touch","Gaelic","Australian","Lacrosse","General Sport","Training Area","Ultimate"},C277)))&gt;0,"full","unknown"))))</f>
        <v/>
      </c>
      <c r="E277" s="9"/>
      <c r="F277" s="9"/>
      <c r="G277" s="9"/>
      <c r="H277" s="9"/>
      <c r="I277" s="12"/>
      <c r="J277" s="9"/>
      <c r="K277" s="9"/>
      <c r="L277" s="9"/>
      <c r="M277" s="9"/>
      <c r="N277" s="9"/>
      <c r="O277" s="13" t="str">
        <f aca="false">IF(C277="","",IF(N(M277)+N(N277)&lt;Settings!$C$9,"untested",M277/(M277+N277)))</f>
        <v/>
      </c>
      <c r="P277" s="9"/>
      <c r="Q277" s="9"/>
      <c r="R277" s="9"/>
      <c r="S277" s="12"/>
      <c r="T277" s="9"/>
      <c r="U277" s="9"/>
      <c r="V277" s="9"/>
      <c r="W277" s="10" t="str">
        <f aca="false">IF(C277="","",IF(OR(G277="training",G277="full"),"Yes",IF(G277="none","No","?")))</f>
        <v/>
      </c>
      <c r="X277" s="10" t="str">
        <f aca="false">IF(C277="","",IF(OR(E277="",E277="unknown"),D277,E277))</f>
        <v/>
      </c>
      <c r="Y277" s="10" t="str">
        <f aca="false">IF(C277="","",IF(OR(T277="unsuitable",T277="retired",X277="no"),"—",IF(J277="","unrated",IF(AND(X277="full",J277&gt;=Settings!$C$5,OR(O277="untested",O277&gt;=Settings!$C$6)),"A",IF(AND(OR(X277="full",X277="reduced"),J277&gt;=Settings!$C$7,OR(O277="untested",O277&gt;=Settings!$C$8)),"B","C")))))</f>
        <v/>
      </c>
      <c r="Z277" s="11" t="str">
        <f aca="false">IF(C277="","",IF(P277&lt;&gt;"",P277,Y277))</f>
        <v/>
      </c>
    </row>
    <row r="278" customFormat="false" ht="15" hidden="false" customHeight="false" outlineLevel="0" collapsed="false">
      <c r="A278" s="9"/>
      <c r="B278" s="10" t="str">
        <f aca="false">IF(A278="","",IFERROR(INDEX(Parks!$A$2:$A$255,MATCH(A278,Parks!$B$2:$B$255,0)),"?"))</f>
        <v/>
      </c>
      <c r="C278" s="9"/>
      <c r="D278" s="10" t="str">
        <f aca="false">IF(C278="","",IF(SUMPRODUCT(--ISNUMBER(SEARCH({"Nets","Wicket","Diamond","Softball","T-ball","Baseball","Netball","Tennis","Bocce","Pentaque","Petanque","Skate","Car Park","Pond","Bridle","Amphitheatre","Perimeter","Passive"},C278)))&gt;0,"no",IF(SUMPRODUCT(--ISNUMBER(SEARCH({"Cricket","Junior","Mini","Summer Football","Small"},C278)))&gt;0,"reduced",IF(SUMPRODUCT(--ISNUMBER(SEARCH({"Rugby","Football","League","Touch","Gaelic","Australian","Lacrosse","General Sport","Training Area","Ultimate"},C278)))&gt;0,"full","unknown"))))</f>
        <v/>
      </c>
      <c r="E278" s="9"/>
      <c r="F278" s="9"/>
      <c r="G278" s="9"/>
      <c r="H278" s="9"/>
      <c r="I278" s="12"/>
      <c r="J278" s="9"/>
      <c r="K278" s="9"/>
      <c r="L278" s="9"/>
      <c r="M278" s="9"/>
      <c r="N278" s="9"/>
      <c r="O278" s="13" t="str">
        <f aca="false">IF(C278="","",IF(N(M278)+N(N278)&lt;Settings!$C$9,"untested",M278/(M278+N278)))</f>
        <v/>
      </c>
      <c r="P278" s="9"/>
      <c r="Q278" s="9"/>
      <c r="R278" s="9"/>
      <c r="S278" s="12"/>
      <c r="T278" s="9"/>
      <c r="U278" s="9"/>
      <c r="V278" s="9"/>
      <c r="W278" s="10" t="str">
        <f aca="false">IF(C278="","",IF(OR(G278="training",G278="full"),"Yes",IF(G278="none","No","?")))</f>
        <v/>
      </c>
      <c r="X278" s="10" t="str">
        <f aca="false">IF(C278="","",IF(OR(E278="",E278="unknown"),D278,E278))</f>
        <v/>
      </c>
      <c r="Y278" s="10" t="str">
        <f aca="false">IF(C278="","",IF(OR(T278="unsuitable",T278="retired",X278="no"),"—",IF(J278="","unrated",IF(AND(X278="full",J278&gt;=Settings!$C$5,OR(O278="untested",O278&gt;=Settings!$C$6)),"A",IF(AND(OR(X278="full",X278="reduced"),J278&gt;=Settings!$C$7,OR(O278="untested",O278&gt;=Settings!$C$8)),"B","C")))))</f>
        <v/>
      </c>
      <c r="Z278" s="11" t="str">
        <f aca="false">IF(C278="","",IF(P278&lt;&gt;"",P278,Y278))</f>
        <v/>
      </c>
    </row>
    <row r="279" customFormat="false" ht="15" hidden="false" customHeight="false" outlineLevel="0" collapsed="false">
      <c r="A279" s="9"/>
      <c r="B279" s="10" t="str">
        <f aca="false">IF(A279="","",IFERROR(INDEX(Parks!$A$2:$A$255,MATCH(A279,Parks!$B$2:$B$255,0)),"?"))</f>
        <v/>
      </c>
      <c r="C279" s="9"/>
      <c r="D279" s="10" t="str">
        <f aca="false">IF(C279="","",IF(SUMPRODUCT(--ISNUMBER(SEARCH({"Nets","Wicket","Diamond","Softball","T-ball","Baseball","Netball","Tennis","Bocce","Pentaque","Petanque","Skate","Car Park","Pond","Bridle","Amphitheatre","Perimeter","Passive"},C279)))&gt;0,"no",IF(SUMPRODUCT(--ISNUMBER(SEARCH({"Cricket","Junior","Mini","Summer Football","Small"},C279)))&gt;0,"reduced",IF(SUMPRODUCT(--ISNUMBER(SEARCH({"Rugby","Football","League","Touch","Gaelic","Australian","Lacrosse","General Sport","Training Area","Ultimate"},C279)))&gt;0,"full","unknown"))))</f>
        <v/>
      </c>
      <c r="E279" s="9"/>
      <c r="F279" s="9"/>
      <c r="G279" s="9"/>
      <c r="H279" s="9"/>
      <c r="I279" s="12"/>
      <c r="J279" s="9"/>
      <c r="K279" s="9"/>
      <c r="L279" s="9"/>
      <c r="M279" s="9"/>
      <c r="N279" s="9"/>
      <c r="O279" s="13" t="str">
        <f aca="false">IF(C279="","",IF(N(M279)+N(N279)&lt;Settings!$C$9,"untested",M279/(M279+N279)))</f>
        <v/>
      </c>
      <c r="P279" s="9"/>
      <c r="Q279" s="9"/>
      <c r="R279" s="9"/>
      <c r="S279" s="12"/>
      <c r="T279" s="9"/>
      <c r="U279" s="9"/>
      <c r="V279" s="9"/>
      <c r="W279" s="10" t="str">
        <f aca="false">IF(C279="","",IF(OR(G279="training",G279="full"),"Yes",IF(G279="none","No","?")))</f>
        <v/>
      </c>
      <c r="X279" s="10" t="str">
        <f aca="false">IF(C279="","",IF(OR(E279="",E279="unknown"),D279,E279))</f>
        <v/>
      </c>
      <c r="Y279" s="10" t="str">
        <f aca="false">IF(C279="","",IF(OR(T279="unsuitable",T279="retired",X279="no"),"—",IF(J279="","unrated",IF(AND(X279="full",J279&gt;=Settings!$C$5,OR(O279="untested",O279&gt;=Settings!$C$6)),"A",IF(AND(OR(X279="full",X279="reduced"),J279&gt;=Settings!$C$7,OR(O279="untested",O279&gt;=Settings!$C$8)),"B","C")))))</f>
        <v/>
      </c>
      <c r="Z279" s="11" t="str">
        <f aca="false">IF(C279="","",IF(P279&lt;&gt;"",P279,Y279))</f>
        <v/>
      </c>
    </row>
    <row r="280" customFormat="false" ht="15" hidden="false" customHeight="false" outlineLevel="0" collapsed="false">
      <c r="A280" s="9"/>
      <c r="B280" s="10" t="str">
        <f aca="false">IF(A280="","",IFERROR(INDEX(Parks!$A$2:$A$255,MATCH(A280,Parks!$B$2:$B$255,0)),"?"))</f>
        <v/>
      </c>
      <c r="C280" s="9"/>
      <c r="D280" s="10" t="str">
        <f aca="false">IF(C280="","",IF(SUMPRODUCT(--ISNUMBER(SEARCH({"Nets","Wicket","Diamond","Softball","T-ball","Baseball","Netball","Tennis","Bocce","Pentaque","Petanque","Skate","Car Park","Pond","Bridle","Amphitheatre","Perimeter","Passive"},C280)))&gt;0,"no",IF(SUMPRODUCT(--ISNUMBER(SEARCH({"Cricket","Junior","Mini","Summer Football","Small"},C280)))&gt;0,"reduced",IF(SUMPRODUCT(--ISNUMBER(SEARCH({"Rugby","Football","League","Touch","Gaelic","Australian","Lacrosse","General Sport","Training Area","Ultimate"},C280)))&gt;0,"full","unknown"))))</f>
        <v/>
      </c>
      <c r="E280" s="9"/>
      <c r="F280" s="9"/>
      <c r="G280" s="9"/>
      <c r="H280" s="9"/>
      <c r="I280" s="12"/>
      <c r="J280" s="9"/>
      <c r="K280" s="9"/>
      <c r="L280" s="9"/>
      <c r="M280" s="9"/>
      <c r="N280" s="9"/>
      <c r="O280" s="13" t="str">
        <f aca="false">IF(C280="","",IF(N(M280)+N(N280)&lt;Settings!$C$9,"untested",M280/(M280+N280)))</f>
        <v/>
      </c>
      <c r="P280" s="9"/>
      <c r="Q280" s="9"/>
      <c r="R280" s="9"/>
      <c r="S280" s="12"/>
      <c r="T280" s="9"/>
      <c r="U280" s="9"/>
      <c r="V280" s="9"/>
      <c r="W280" s="10" t="str">
        <f aca="false">IF(C280="","",IF(OR(G280="training",G280="full"),"Yes",IF(G280="none","No","?")))</f>
        <v/>
      </c>
      <c r="X280" s="10" t="str">
        <f aca="false">IF(C280="","",IF(OR(E280="",E280="unknown"),D280,E280))</f>
        <v/>
      </c>
      <c r="Y280" s="10" t="str">
        <f aca="false">IF(C280="","",IF(OR(T280="unsuitable",T280="retired",X280="no"),"—",IF(J280="","unrated",IF(AND(X280="full",J280&gt;=Settings!$C$5,OR(O280="untested",O280&gt;=Settings!$C$6)),"A",IF(AND(OR(X280="full",X280="reduced"),J280&gt;=Settings!$C$7,OR(O280="untested",O280&gt;=Settings!$C$8)),"B","C")))))</f>
        <v/>
      </c>
      <c r="Z280" s="11" t="str">
        <f aca="false">IF(C280="","",IF(P280&lt;&gt;"",P280,Y280))</f>
        <v/>
      </c>
    </row>
    <row r="281" customFormat="false" ht="15" hidden="false" customHeight="false" outlineLevel="0" collapsed="false">
      <c r="A281" s="9"/>
      <c r="B281" s="10" t="str">
        <f aca="false">IF(A281="","",IFERROR(INDEX(Parks!$A$2:$A$255,MATCH(A281,Parks!$B$2:$B$255,0)),"?"))</f>
        <v/>
      </c>
      <c r="C281" s="9"/>
      <c r="D281" s="10" t="str">
        <f aca="false">IF(C281="","",IF(SUMPRODUCT(--ISNUMBER(SEARCH({"Nets","Wicket","Diamond","Softball","T-ball","Baseball","Netball","Tennis","Bocce","Pentaque","Petanque","Skate","Car Park","Pond","Bridle","Amphitheatre","Perimeter","Passive"},C281)))&gt;0,"no",IF(SUMPRODUCT(--ISNUMBER(SEARCH({"Cricket","Junior","Mini","Summer Football","Small"},C281)))&gt;0,"reduced",IF(SUMPRODUCT(--ISNUMBER(SEARCH({"Rugby","Football","League","Touch","Gaelic","Australian","Lacrosse","General Sport","Training Area","Ultimate"},C281)))&gt;0,"full","unknown"))))</f>
        <v/>
      </c>
      <c r="E281" s="9"/>
      <c r="F281" s="9"/>
      <c r="G281" s="9"/>
      <c r="H281" s="9"/>
      <c r="I281" s="12"/>
      <c r="J281" s="9"/>
      <c r="K281" s="9"/>
      <c r="L281" s="9"/>
      <c r="M281" s="9"/>
      <c r="N281" s="9"/>
      <c r="O281" s="13" t="str">
        <f aca="false">IF(C281="","",IF(N(M281)+N(N281)&lt;Settings!$C$9,"untested",M281/(M281+N281)))</f>
        <v/>
      </c>
      <c r="P281" s="9"/>
      <c r="Q281" s="9"/>
      <c r="R281" s="9"/>
      <c r="S281" s="12"/>
      <c r="T281" s="9"/>
      <c r="U281" s="9"/>
      <c r="V281" s="9"/>
      <c r="W281" s="10" t="str">
        <f aca="false">IF(C281="","",IF(OR(G281="training",G281="full"),"Yes",IF(G281="none","No","?")))</f>
        <v/>
      </c>
      <c r="X281" s="10" t="str">
        <f aca="false">IF(C281="","",IF(OR(E281="",E281="unknown"),D281,E281))</f>
        <v/>
      </c>
      <c r="Y281" s="10" t="str">
        <f aca="false">IF(C281="","",IF(OR(T281="unsuitable",T281="retired",X281="no"),"—",IF(J281="","unrated",IF(AND(X281="full",J281&gt;=Settings!$C$5,OR(O281="untested",O281&gt;=Settings!$C$6)),"A",IF(AND(OR(X281="full",X281="reduced"),J281&gt;=Settings!$C$7,OR(O281="untested",O281&gt;=Settings!$C$8)),"B","C")))))</f>
        <v/>
      </c>
      <c r="Z281" s="11" t="str">
        <f aca="false">IF(C281="","",IF(P281&lt;&gt;"",P281,Y281))</f>
        <v/>
      </c>
    </row>
    <row r="282" customFormat="false" ht="15" hidden="false" customHeight="false" outlineLevel="0" collapsed="false">
      <c r="A282" s="9"/>
      <c r="B282" s="10" t="str">
        <f aca="false">IF(A282="","",IFERROR(INDEX(Parks!$A$2:$A$255,MATCH(A282,Parks!$B$2:$B$255,0)),"?"))</f>
        <v/>
      </c>
      <c r="C282" s="9"/>
      <c r="D282" s="10" t="str">
        <f aca="false">IF(C282="","",IF(SUMPRODUCT(--ISNUMBER(SEARCH({"Nets","Wicket","Diamond","Softball","T-ball","Baseball","Netball","Tennis","Bocce","Pentaque","Petanque","Skate","Car Park","Pond","Bridle","Amphitheatre","Perimeter","Passive"},C282)))&gt;0,"no",IF(SUMPRODUCT(--ISNUMBER(SEARCH({"Cricket","Junior","Mini","Summer Football","Small"},C282)))&gt;0,"reduced",IF(SUMPRODUCT(--ISNUMBER(SEARCH({"Rugby","Football","League","Touch","Gaelic","Australian","Lacrosse","General Sport","Training Area","Ultimate"},C282)))&gt;0,"full","unknown"))))</f>
        <v/>
      </c>
      <c r="E282" s="9"/>
      <c r="F282" s="9"/>
      <c r="G282" s="9"/>
      <c r="H282" s="9"/>
      <c r="I282" s="12"/>
      <c r="J282" s="9"/>
      <c r="K282" s="9"/>
      <c r="L282" s="9"/>
      <c r="M282" s="9"/>
      <c r="N282" s="9"/>
      <c r="O282" s="13" t="str">
        <f aca="false">IF(C282="","",IF(N(M282)+N(N282)&lt;Settings!$C$9,"untested",M282/(M282+N282)))</f>
        <v/>
      </c>
      <c r="P282" s="9"/>
      <c r="Q282" s="9"/>
      <c r="R282" s="9"/>
      <c r="S282" s="12"/>
      <c r="T282" s="9"/>
      <c r="U282" s="9"/>
      <c r="V282" s="9"/>
      <c r="W282" s="10" t="str">
        <f aca="false">IF(C282="","",IF(OR(G282="training",G282="full"),"Yes",IF(G282="none","No","?")))</f>
        <v/>
      </c>
      <c r="X282" s="10" t="str">
        <f aca="false">IF(C282="","",IF(OR(E282="",E282="unknown"),D282,E282))</f>
        <v/>
      </c>
      <c r="Y282" s="10" t="str">
        <f aca="false">IF(C282="","",IF(OR(T282="unsuitable",T282="retired",X282="no"),"—",IF(J282="","unrated",IF(AND(X282="full",J282&gt;=Settings!$C$5,OR(O282="untested",O282&gt;=Settings!$C$6)),"A",IF(AND(OR(X282="full",X282="reduced"),J282&gt;=Settings!$C$7,OR(O282="untested",O282&gt;=Settings!$C$8)),"B","C")))))</f>
        <v/>
      </c>
      <c r="Z282" s="11" t="str">
        <f aca="false">IF(C282="","",IF(P282&lt;&gt;"",P282,Y282))</f>
        <v/>
      </c>
    </row>
    <row r="283" customFormat="false" ht="15" hidden="false" customHeight="false" outlineLevel="0" collapsed="false">
      <c r="A283" s="9"/>
      <c r="B283" s="10" t="str">
        <f aca="false">IF(A283="","",IFERROR(INDEX(Parks!$A$2:$A$255,MATCH(A283,Parks!$B$2:$B$255,0)),"?"))</f>
        <v/>
      </c>
      <c r="C283" s="9"/>
      <c r="D283" s="10" t="str">
        <f aca="false">IF(C283="","",IF(SUMPRODUCT(--ISNUMBER(SEARCH({"Nets","Wicket","Diamond","Softball","T-ball","Baseball","Netball","Tennis","Bocce","Pentaque","Petanque","Skate","Car Park","Pond","Bridle","Amphitheatre","Perimeter","Passive"},C283)))&gt;0,"no",IF(SUMPRODUCT(--ISNUMBER(SEARCH({"Cricket","Junior","Mini","Summer Football","Small"},C283)))&gt;0,"reduced",IF(SUMPRODUCT(--ISNUMBER(SEARCH({"Rugby","Football","League","Touch","Gaelic","Australian","Lacrosse","General Sport","Training Area","Ultimate"},C283)))&gt;0,"full","unknown"))))</f>
        <v/>
      </c>
      <c r="E283" s="9"/>
      <c r="F283" s="9"/>
      <c r="G283" s="9"/>
      <c r="H283" s="9"/>
      <c r="I283" s="12"/>
      <c r="J283" s="9"/>
      <c r="K283" s="9"/>
      <c r="L283" s="9"/>
      <c r="M283" s="9"/>
      <c r="N283" s="9"/>
      <c r="O283" s="13" t="str">
        <f aca="false">IF(C283="","",IF(N(M283)+N(N283)&lt;Settings!$C$9,"untested",M283/(M283+N283)))</f>
        <v/>
      </c>
      <c r="P283" s="9"/>
      <c r="Q283" s="9"/>
      <c r="R283" s="9"/>
      <c r="S283" s="12"/>
      <c r="T283" s="9"/>
      <c r="U283" s="9"/>
      <c r="V283" s="9"/>
      <c r="W283" s="10" t="str">
        <f aca="false">IF(C283="","",IF(OR(G283="training",G283="full"),"Yes",IF(G283="none","No","?")))</f>
        <v/>
      </c>
      <c r="X283" s="10" t="str">
        <f aca="false">IF(C283="","",IF(OR(E283="",E283="unknown"),D283,E283))</f>
        <v/>
      </c>
      <c r="Y283" s="10" t="str">
        <f aca="false">IF(C283="","",IF(OR(T283="unsuitable",T283="retired",X283="no"),"—",IF(J283="","unrated",IF(AND(X283="full",J283&gt;=Settings!$C$5,OR(O283="untested",O283&gt;=Settings!$C$6)),"A",IF(AND(OR(X283="full",X283="reduced"),J283&gt;=Settings!$C$7,OR(O283="untested",O283&gt;=Settings!$C$8)),"B","C")))))</f>
        <v/>
      </c>
      <c r="Z283" s="11" t="str">
        <f aca="false">IF(C283="","",IF(P283&lt;&gt;"",P283,Y283))</f>
        <v/>
      </c>
    </row>
    <row r="284" customFormat="false" ht="15" hidden="false" customHeight="false" outlineLevel="0" collapsed="false">
      <c r="A284" s="9"/>
      <c r="B284" s="10" t="str">
        <f aca="false">IF(A284="","",IFERROR(INDEX(Parks!$A$2:$A$255,MATCH(A284,Parks!$B$2:$B$255,0)),"?"))</f>
        <v/>
      </c>
      <c r="C284" s="9"/>
      <c r="D284" s="10" t="str">
        <f aca="false">IF(C284="","",IF(SUMPRODUCT(--ISNUMBER(SEARCH({"Nets","Wicket","Diamond","Softball","T-ball","Baseball","Netball","Tennis","Bocce","Pentaque","Petanque","Skate","Car Park","Pond","Bridle","Amphitheatre","Perimeter","Passive"},C284)))&gt;0,"no",IF(SUMPRODUCT(--ISNUMBER(SEARCH({"Cricket","Junior","Mini","Summer Football","Small"},C284)))&gt;0,"reduced",IF(SUMPRODUCT(--ISNUMBER(SEARCH({"Rugby","Football","League","Touch","Gaelic","Australian","Lacrosse","General Sport","Training Area","Ultimate"},C284)))&gt;0,"full","unknown"))))</f>
        <v/>
      </c>
      <c r="E284" s="9"/>
      <c r="F284" s="9"/>
      <c r="G284" s="9"/>
      <c r="H284" s="9"/>
      <c r="I284" s="12"/>
      <c r="J284" s="9"/>
      <c r="K284" s="9"/>
      <c r="L284" s="9"/>
      <c r="M284" s="9"/>
      <c r="N284" s="9"/>
      <c r="O284" s="13" t="str">
        <f aca="false">IF(C284="","",IF(N(M284)+N(N284)&lt;Settings!$C$9,"untested",M284/(M284+N284)))</f>
        <v/>
      </c>
      <c r="P284" s="9"/>
      <c r="Q284" s="9"/>
      <c r="R284" s="9"/>
      <c r="S284" s="12"/>
      <c r="T284" s="9"/>
      <c r="U284" s="9"/>
      <c r="V284" s="9"/>
      <c r="W284" s="10" t="str">
        <f aca="false">IF(C284="","",IF(OR(G284="training",G284="full"),"Yes",IF(G284="none","No","?")))</f>
        <v/>
      </c>
      <c r="X284" s="10" t="str">
        <f aca="false">IF(C284="","",IF(OR(E284="",E284="unknown"),D284,E284))</f>
        <v/>
      </c>
      <c r="Y284" s="10" t="str">
        <f aca="false">IF(C284="","",IF(OR(T284="unsuitable",T284="retired",X284="no"),"—",IF(J284="","unrated",IF(AND(X284="full",J284&gt;=Settings!$C$5,OR(O284="untested",O284&gt;=Settings!$C$6)),"A",IF(AND(OR(X284="full",X284="reduced"),J284&gt;=Settings!$C$7,OR(O284="untested",O284&gt;=Settings!$C$8)),"B","C")))))</f>
        <v/>
      </c>
      <c r="Z284" s="11" t="str">
        <f aca="false">IF(C284="","",IF(P284&lt;&gt;"",P284,Y284))</f>
        <v/>
      </c>
    </row>
    <row r="285" customFormat="false" ht="15" hidden="false" customHeight="false" outlineLevel="0" collapsed="false">
      <c r="A285" s="9"/>
      <c r="B285" s="10" t="str">
        <f aca="false">IF(A285="","",IFERROR(INDEX(Parks!$A$2:$A$255,MATCH(A285,Parks!$B$2:$B$255,0)),"?"))</f>
        <v/>
      </c>
      <c r="C285" s="9"/>
      <c r="D285" s="10" t="str">
        <f aca="false">IF(C285="","",IF(SUMPRODUCT(--ISNUMBER(SEARCH({"Nets","Wicket","Diamond","Softball","T-ball","Baseball","Netball","Tennis","Bocce","Pentaque","Petanque","Skate","Car Park","Pond","Bridle","Amphitheatre","Perimeter","Passive"},C285)))&gt;0,"no",IF(SUMPRODUCT(--ISNUMBER(SEARCH({"Cricket","Junior","Mini","Summer Football","Small"},C285)))&gt;0,"reduced",IF(SUMPRODUCT(--ISNUMBER(SEARCH({"Rugby","Football","League","Touch","Gaelic","Australian","Lacrosse","General Sport","Training Area","Ultimate"},C285)))&gt;0,"full","unknown"))))</f>
        <v/>
      </c>
      <c r="E285" s="9"/>
      <c r="F285" s="9"/>
      <c r="G285" s="9"/>
      <c r="H285" s="9"/>
      <c r="I285" s="12"/>
      <c r="J285" s="9"/>
      <c r="K285" s="9"/>
      <c r="L285" s="9"/>
      <c r="M285" s="9"/>
      <c r="N285" s="9"/>
      <c r="O285" s="13" t="str">
        <f aca="false">IF(C285="","",IF(N(M285)+N(N285)&lt;Settings!$C$9,"untested",M285/(M285+N285)))</f>
        <v/>
      </c>
      <c r="P285" s="9"/>
      <c r="Q285" s="9"/>
      <c r="R285" s="9"/>
      <c r="S285" s="12"/>
      <c r="T285" s="9"/>
      <c r="U285" s="9"/>
      <c r="V285" s="9"/>
      <c r="W285" s="10" t="str">
        <f aca="false">IF(C285="","",IF(OR(G285="training",G285="full"),"Yes",IF(G285="none","No","?")))</f>
        <v/>
      </c>
      <c r="X285" s="10" t="str">
        <f aca="false">IF(C285="","",IF(OR(E285="",E285="unknown"),D285,E285))</f>
        <v/>
      </c>
      <c r="Y285" s="10" t="str">
        <f aca="false">IF(C285="","",IF(OR(T285="unsuitable",T285="retired",X285="no"),"—",IF(J285="","unrated",IF(AND(X285="full",J285&gt;=Settings!$C$5,OR(O285="untested",O285&gt;=Settings!$C$6)),"A",IF(AND(OR(X285="full",X285="reduced"),J285&gt;=Settings!$C$7,OR(O285="untested",O285&gt;=Settings!$C$8)),"B","C")))))</f>
        <v/>
      </c>
      <c r="Z285" s="11" t="str">
        <f aca="false">IF(C285="","",IF(P285&lt;&gt;"",P285,Y285))</f>
        <v/>
      </c>
    </row>
    <row r="286" customFormat="false" ht="15" hidden="false" customHeight="false" outlineLevel="0" collapsed="false">
      <c r="A286" s="9"/>
      <c r="B286" s="10" t="str">
        <f aca="false">IF(A286="","",IFERROR(INDEX(Parks!$A$2:$A$255,MATCH(A286,Parks!$B$2:$B$255,0)),"?"))</f>
        <v/>
      </c>
      <c r="C286" s="9"/>
      <c r="D286" s="10" t="str">
        <f aca="false">IF(C286="","",IF(SUMPRODUCT(--ISNUMBER(SEARCH({"Nets","Wicket","Diamond","Softball","T-ball","Baseball","Netball","Tennis","Bocce","Pentaque","Petanque","Skate","Car Park","Pond","Bridle","Amphitheatre","Perimeter","Passive"},C286)))&gt;0,"no",IF(SUMPRODUCT(--ISNUMBER(SEARCH({"Cricket","Junior","Mini","Summer Football","Small"},C286)))&gt;0,"reduced",IF(SUMPRODUCT(--ISNUMBER(SEARCH({"Rugby","Football","League","Touch","Gaelic","Australian","Lacrosse","General Sport","Training Area","Ultimate"},C286)))&gt;0,"full","unknown"))))</f>
        <v/>
      </c>
      <c r="E286" s="9"/>
      <c r="F286" s="9"/>
      <c r="G286" s="9"/>
      <c r="H286" s="9"/>
      <c r="I286" s="12"/>
      <c r="J286" s="9"/>
      <c r="K286" s="9"/>
      <c r="L286" s="9"/>
      <c r="M286" s="9"/>
      <c r="N286" s="9"/>
      <c r="O286" s="13" t="str">
        <f aca="false">IF(C286="","",IF(N(M286)+N(N286)&lt;Settings!$C$9,"untested",M286/(M286+N286)))</f>
        <v/>
      </c>
      <c r="P286" s="9"/>
      <c r="Q286" s="9"/>
      <c r="R286" s="9"/>
      <c r="S286" s="12"/>
      <c r="T286" s="9"/>
      <c r="U286" s="9"/>
      <c r="V286" s="9"/>
      <c r="W286" s="10" t="str">
        <f aca="false">IF(C286="","",IF(OR(G286="training",G286="full"),"Yes",IF(G286="none","No","?")))</f>
        <v/>
      </c>
      <c r="X286" s="10" t="str">
        <f aca="false">IF(C286="","",IF(OR(E286="",E286="unknown"),D286,E286))</f>
        <v/>
      </c>
      <c r="Y286" s="10" t="str">
        <f aca="false">IF(C286="","",IF(OR(T286="unsuitable",T286="retired",X286="no"),"—",IF(J286="","unrated",IF(AND(X286="full",J286&gt;=Settings!$C$5,OR(O286="untested",O286&gt;=Settings!$C$6)),"A",IF(AND(OR(X286="full",X286="reduced"),J286&gt;=Settings!$C$7,OR(O286="untested",O286&gt;=Settings!$C$8)),"B","C")))))</f>
        <v/>
      </c>
      <c r="Z286" s="11" t="str">
        <f aca="false">IF(C286="","",IF(P286&lt;&gt;"",P286,Y286))</f>
        <v/>
      </c>
    </row>
    <row r="287" customFormat="false" ht="15" hidden="false" customHeight="false" outlineLevel="0" collapsed="false">
      <c r="A287" s="9"/>
      <c r="B287" s="10" t="str">
        <f aca="false">IF(A287="","",IFERROR(INDEX(Parks!$A$2:$A$255,MATCH(A287,Parks!$B$2:$B$255,0)),"?"))</f>
        <v/>
      </c>
      <c r="C287" s="9"/>
      <c r="D287" s="10" t="str">
        <f aca="false">IF(C287="","",IF(SUMPRODUCT(--ISNUMBER(SEARCH({"Nets","Wicket","Diamond","Softball","T-ball","Baseball","Netball","Tennis","Bocce","Pentaque","Petanque","Skate","Car Park","Pond","Bridle","Amphitheatre","Perimeter","Passive"},C287)))&gt;0,"no",IF(SUMPRODUCT(--ISNUMBER(SEARCH({"Cricket","Junior","Mini","Summer Football","Small"},C287)))&gt;0,"reduced",IF(SUMPRODUCT(--ISNUMBER(SEARCH({"Rugby","Football","League","Touch","Gaelic","Australian","Lacrosse","General Sport","Training Area","Ultimate"},C287)))&gt;0,"full","unknown"))))</f>
        <v/>
      </c>
      <c r="E287" s="9"/>
      <c r="F287" s="9"/>
      <c r="G287" s="9"/>
      <c r="H287" s="9"/>
      <c r="I287" s="12"/>
      <c r="J287" s="9"/>
      <c r="K287" s="9"/>
      <c r="L287" s="9"/>
      <c r="M287" s="9"/>
      <c r="N287" s="9"/>
      <c r="O287" s="13" t="str">
        <f aca="false">IF(C287="","",IF(N(M287)+N(N287)&lt;Settings!$C$9,"untested",M287/(M287+N287)))</f>
        <v/>
      </c>
      <c r="P287" s="9"/>
      <c r="Q287" s="9"/>
      <c r="R287" s="9"/>
      <c r="S287" s="12"/>
      <c r="T287" s="9"/>
      <c r="U287" s="9"/>
      <c r="V287" s="9"/>
      <c r="W287" s="10" t="str">
        <f aca="false">IF(C287="","",IF(OR(G287="training",G287="full"),"Yes",IF(G287="none","No","?")))</f>
        <v/>
      </c>
      <c r="X287" s="10" t="str">
        <f aca="false">IF(C287="","",IF(OR(E287="",E287="unknown"),D287,E287))</f>
        <v/>
      </c>
      <c r="Y287" s="10" t="str">
        <f aca="false">IF(C287="","",IF(OR(T287="unsuitable",T287="retired",X287="no"),"—",IF(J287="","unrated",IF(AND(X287="full",J287&gt;=Settings!$C$5,OR(O287="untested",O287&gt;=Settings!$C$6)),"A",IF(AND(OR(X287="full",X287="reduced"),J287&gt;=Settings!$C$7,OR(O287="untested",O287&gt;=Settings!$C$8)),"B","C")))))</f>
        <v/>
      </c>
      <c r="Z287" s="11" t="str">
        <f aca="false">IF(C287="","",IF(P287&lt;&gt;"",P287,Y287))</f>
        <v/>
      </c>
    </row>
    <row r="288" customFormat="false" ht="15" hidden="false" customHeight="false" outlineLevel="0" collapsed="false">
      <c r="A288" s="9"/>
      <c r="B288" s="10" t="str">
        <f aca="false">IF(A288="","",IFERROR(INDEX(Parks!$A$2:$A$255,MATCH(A288,Parks!$B$2:$B$255,0)),"?"))</f>
        <v/>
      </c>
      <c r="C288" s="9"/>
      <c r="D288" s="10" t="str">
        <f aca="false">IF(C288="","",IF(SUMPRODUCT(--ISNUMBER(SEARCH({"Nets","Wicket","Diamond","Softball","T-ball","Baseball","Netball","Tennis","Bocce","Pentaque","Petanque","Skate","Car Park","Pond","Bridle","Amphitheatre","Perimeter","Passive"},C288)))&gt;0,"no",IF(SUMPRODUCT(--ISNUMBER(SEARCH({"Cricket","Junior","Mini","Summer Football","Small"},C288)))&gt;0,"reduced",IF(SUMPRODUCT(--ISNUMBER(SEARCH({"Rugby","Football","League","Touch","Gaelic","Australian","Lacrosse","General Sport","Training Area","Ultimate"},C288)))&gt;0,"full","unknown"))))</f>
        <v/>
      </c>
      <c r="E288" s="9"/>
      <c r="F288" s="9"/>
      <c r="G288" s="9"/>
      <c r="H288" s="9"/>
      <c r="I288" s="12"/>
      <c r="J288" s="9"/>
      <c r="K288" s="9"/>
      <c r="L288" s="9"/>
      <c r="M288" s="9"/>
      <c r="N288" s="9"/>
      <c r="O288" s="13" t="str">
        <f aca="false">IF(C288="","",IF(N(M288)+N(N288)&lt;Settings!$C$9,"untested",M288/(M288+N288)))</f>
        <v/>
      </c>
      <c r="P288" s="9"/>
      <c r="Q288" s="9"/>
      <c r="R288" s="9"/>
      <c r="S288" s="12"/>
      <c r="T288" s="9"/>
      <c r="U288" s="9"/>
      <c r="V288" s="9"/>
      <c r="W288" s="10" t="str">
        <f aca="false">IF(C288="","",IF(OR(G288="training",G288="full"),"Yes",IF(G288="none","No","?")))</f>
        <v/>
      </c>
      <c r="X288" s="10" t="str">
        <f aca="false">IF(C288="","",IF(OR(E288="",E288="unknown"),D288,E288))</f>
        <v/>
      </c>
      <c r="Y288" s="10" t="str">
        <f aca="false">IF(C288="","",IF(OR(T288="unsuitable",T288="retired",X288="no"),"—",IF(J288="","unrated",IF(AND(X288="full",J288&gt;=Settings!$C$5,OR(O288="untested",O288&gt;=Settings!$C$6)),"A",IF(AND(OR(X288="full",X288="reduced"),J288&gt;=Settings!$C$7,OR(O288="untested",O288&gt;=Settings!$C$8)),"B","C")))))</f>
        <v/>
      </c>
      <c r="Z288" s="11" t="str">
        <f aca="false">IF(C288="","",IF(P288&lt;&gt;"",P288,Y288))</f>
        <v/>
      </c>
    </row>
    <row r="289" customFormat="false" ht="15" hidden="false" customHeight="false" outlineLevel="0" collapsed="false">
      <c r="A289" s="9"/>
      <c r="B289" s="10" t="str">
        <f aca="false">IF(A289="","",IFERROR(INDEX(Parks!$A$2:$A$255,MATCH(A289,Parks!$B$2:$B$255,0)),"?"))</f>
        <v/>
      </c>
      <c r="C289" s="9"/>
      <c r="D289" s="10" t="str">
        <f aca="false">IF(C289="","",IF(SUMPRODUCT(--ISNUMBER(SEARCH({"Nets","Wicket","Diamond","Softball","T-ball","Baseball","Netball","Tennis","Bocce","Pentaque","Petanque","Skate","Car Park","Pond","Bridle","Amphitheatre","Perimeter","Passive"},C289)))&gt;0,"no",IF(SUMPRODUCT(--ISNUMBER(SEARCH({"Cricket","Junior","Mini","Summer Football","Small"},C289)))&gt;0,"reduced",IF(SUMPRODUCT(--ISNUMBER(SEARCH({"Rugby","Football","League","Touch","Gaelic","Australian","Lacrosse","General Sport","Training Area","Ultimate"},C289)))&gt;0,"full","unknown"))))</f>
        <v/>
      </c>
      <c r="E289" s="9"/>
      <c r="F289" s="9"/>
      <c r="G289" s="9"/>
      <c r="H289" s="9"/>
      <c r="I289" s="12"/>
      <c r="J289" s="9"/>
      <c r="K289" s="9"/>
      <c r="L289" s="9"/>
      <c r="M289" s="9"/>
      <c r="N289" s="9"/>
      <c r="O289" s="13" t="str">
        <f aca="false">IF(C289="","",IF(N(M289)+N(N289)&lt;Settings!$C$9,"untested",M289/(M289+N289)))</f>
        <v/>
      </c>
      <c r="P289" s="9"/>
      <c r="Q289" s="9"/>
      <c r="R289" s="9"/>
      <c r="S289" s="12"/>
      <c r="T289" s="9"/>
      <c r="U289" s="9"/>
      <c r="V289" s="9"/>
      <c r="W289" s="10" t="str">
        <f aca="false">IF(C289="","",IF(OR(G289="training",G289="full"),"Yes",IF(G289="none","No","?")))</f>
        <v/>
      </c>
      <c r="X289" s="10" t="str">
        <f aca="false">IF(C289="","",IF(OR(E289="",E289="unknown"),D289,E289))</f>
        <v/>
      </c>
      <c r="Y289" s="10" t="str">
        <f aca="false">IF(C289="","",IF(OR(T289="unsuitable",T289="retired",X289="no"),"—",IF(J289="","unrated",IF(AND(X289="full",J289&gt;=Settings!$C$5,OR(O289="untested",O289&gt;=Settings!$C$6)),"A",IF(AND(OR(X289="full",X289="reduced"),J289&gt;=Settings!$C$7,OR(O289="untested",O289&gt;=Settings!$C$8)),"B","C")))))</f>
        <v/>
      </c>
      <c r="Z289" s="11" t="str">
        <f aca="false">IF(C289="","",IF(P289&lt;&gt;"",P289,Y289))</f>
        <v/>
      </c>
    </row>
    <row r="290" customFormat="false" ht="15" hidden="false" customHeight="false" outlineLevel="0" collapsed="false">
      <c r="A290" s="9"/>
      <c r="B290" s="10" t="str">
        <f aca="false">IF(A290="","",IFERROR(INDEX(Parks!$A$2:$A$255,MATCH(A290,Parks!$B$2:$B$255,0)),"?"))</f>
        <v/>
      </c>
      <c r="C290" s="9"/>
      <c r="D290" s="10" t="str">
        <f aca="false">IF(C290="","",IF(SUMPRODUCT(--ISNUMBER(SEARCH({"Nets","Wicket","Diamond","Softball","T-ball","Baseball","Netball","Tennis","Bocce","Pentaque","Petanque","Skate","Car Park","Pond","Bridle","Amphitheatre","Perimeter","Passive"},C290)))&gt;0,"no",IF(SUMPRODUCT(--ISNUMBER(SEARCH({"Cricket","Junior","Mini","Summer Football","Small"},C290)))&gt;0,"reduced",IF(SUMPRODUCT(--ISNUMBER(SEARCH({"Rugby","Football","League","Touch","Gaelic","Australian","Lacrosse","General Sport","Training Area","Ultimate"},C290)))&gt;0,"full","unknown"))))</f>
        <v/>
      </c>
      <c r="E290" s="9"/>
      <c r="F290" s="9"/>
      <c r="G290" s="9"/>
      <c r="H290" s="9"/>
      <c r="I290" s="12"/>
      <c r="J290" s="9"/>
      <c r="K290" s="9"/>
      <c r="L290" s="9"/>
      <c r="M290" s="9"/>
      <c r="N290" s="9"/>
      <c r="O290" s="13" t="str">
        <f aca="false">IF(C290="","",IF(N(M290)+N(N290)&lt;Settings!$C$9,"untested",M290/(M290+N290)))</f>
        <v/>
      </c>
      <c r="P290" s="9"/>
      <c r="Q290" s="9"/>
      <c r="R290" s="9"/>
      <c r="S290" s="12"/>
      <c r="T290" s="9"/>
      <c r="U290" s="9"/>
      <c r="V290" s="9"/>
      <c r="W290" s="10" t="str">
        <f aca="false">IF(C290="","",IF(OR(G290="training",G290="full"),"Yes",IF(G290="none","No","?")))</f>
        <v/>
      </c>
      <c r="X290" s="10" t="str">
        <f aca="false">IF(C290="","",IF(OR(E290="",E290="unknown"),D290,E290))</f>
        <v/>
      </c>
      <c r="Y290" s="10" t="str">
        <f aca="false">IF(C290="","",IF(OR(T290="unsuitable",T290="retired",X290="no"),"—",IF(J290="","unrated",IF(AND(X290="full",J290&gt;=Settings!$C$5,OR(O290="untested",O290&gt;=Settings!$C$6)),"A",IF(AND(OR(X290="full",X290="reduced"),J290&gt;=Settings!$C$7,OR(O290="untested",O290&gt;=Settings!$C$8)),"B","C")))))</f>
        <v/>
      </c>
      <c r="Z290" s="11" t="str">
        <f aca="false">IF(C290="","",IF(P290&lt;&gt;"",P290,Y290))</f>
        <v/>
      </c>
    </row>
    <row r="291" customFormat="false" ht="15" hidden="false" customHeight="false" outlineLevel="0" collapsed="false">
      <c r="A291" s="9"/>
      <c r="B291" s="10" t="str">
        <f aca="false">IF(A291="","",IFERROR(INDEX(Parks!$A$2:$A$255,MATCH(A291,Parks!$B$2:$B$255,0)),"?"))</f>
        <v/>
      </c>
      <c r="C291" s="9"/>
      <c r="D291" s="10" t="str">
        <f aca="false">IF(C291="","",IF(SUMPRODUCT(--ISNUMBER(SEARCH({"Nets","Wicket","Diamond","Softball","T-ball","Baseball","Netball","Tennis","Bocce","Pentaque","Petanque","Skate","Car Park","Pond","Bridle","Amphitheatre","Perimeter","Passive"},C291)))&gt;0,"no",IF(SUMPRODUCT(--ISNUMBER(SEARCH({"Cricket","Junior","Mini","Summer Football","Small"},C291)))&gt;0,"reduced",IF(SUMPRODUCT(--ISNUMBER(SEARCH({"Rugby","Football","League","Touch","Gaelic","Australian","Lacrosse","General Sport","Training Area","Ultimate"},C291)))&gt;0,"full","unknown"))))</f>
        <v/>
      </c>
      <c r="E291" s="9"/>
      <c r="F291" s="9"/>
      <c r="G291" s="9"/>
      <c r="H291" s="9"/>
      <c r="I291" s="12"/>
      <c r="J291" s="9"/>
      <c r="K291" s="9"/>
      <c r="L291" s="9"/>
      <c r="M291" s="9"/>
      <c r="N291" s="9"/>
      <c r="O291" s="13" t="str">
        <f aca="false">IF(C291="","",IF(N(M291)+N(N291)&lt;Settings!$C$9,"untested",M291/(M291+N291)))</f>
        <v/>
      </c>
      <c r="P291" s="9"/>
      <c r="Q291" s="9"/>
      <c r="R291" s="9"/>
      <c r="S291" s="12"/>
      <c r="T291" s="9"/>
      <c r="U291" s="9"/>
      <c r="V291" s="9"/>
      <c r="W291" s="10" t="str">
        <f aca="false">IF(C291="","",IF(OR(G291="training",G291="full"),"Yes",IF(G291="none","No","?")))</f>
        <v/>
      </c>
      <c r="X291" s="10" t="str">
        <f aca="false">IF(C291="","",IF(OR(E291="",E291="unknown"),D291,E291))</f>
        <v/>
      </c>
      <c r="Y291" s="10" t="str">
        <f aca="false">IF(C291="","",IF(OR(T291="unsuitable",T291="retired",X291="no"),"—",IF(J291="","unrated",IF(AND(X291="full",J291&gt;=Settings!$C$5,OR(O291="untested",O291&gt;=Settings!$C$6)),"A",IF(AND(OR(X291="full",X291="reduced"),J291&gt;=Settings!$C$7,OR(O291="untested",O291&gt;=Settings!$C$8)),"B","C")))))</f>
        <v/>
      </c>
      <c r="Z291" s="11" t="str">
        <f aca="false">IF(C291="","",IF(P291&lt;&gt;"",P291,Y291))</f>
        <v/>
      </c>
    </row>
    <row r="292" customFormat="false" ht="15" hidden="false" customHeight="false" outlineLevel="0" collapsed="false">
      <c r="A292" s="9"/>
      <c r="B292" s="10" t="str">
        <f aca="false">IF(A292="","",IFERROR(INDEX(Parks!$A$2:$A$255,MATCH(A292,Parks!$B$2:$B$255,0)),"?"))</f>
        <v/>
      </c>
      <c r="C292" s="9"/>
      <c r="D292" s="10" t="str">
        <f aca="false">IF(C292="","",IF(SUMPRODUCT(--ISNUMBER(SEARCH({"Nets","Wicket","Diamond","Softball","T-ball","Baseball","Netball","Tennis","Bocce","Pentaque","Petanque","Skate","Car Park","Pond","Bridle","Amphitheatre","Perimeter","Passive"},C292)))&gt;0,"no",IF(SUMPRODUCT(--ISNUMBER(SEARCH({"Cricket","Junior","Mini","Summer Football","Small"},C292)))&gt;0,"reduced",IF(SUMPRODUCT(--ISNUMBER(SEARCH({"Rugby","Football","League","Touch","Gaelic","Australian","Lacrosse","General Sport","Training Area","Ultimate"},C292)))&gt;0,"full","unknown"))))</f>
        <v/>
      </c>
      <c r="E292" s="9"/>
      <c r="F292" s="9"/>
      <c r="G292" s="9"/>
      <c r="H292" s="9"/>
      <c r="I292" s="12"/>
      <c r="J292" s="9"/>
      <c r="K292" s="9"/>
      <c r="L292" s="9"/>
      <c r="M292" s="9"/>
      <c r="N292" s="9"/>
      <c r="O292" s="13" t="str">
        <f aca="false">IF(C292="","",IF(N(M292)+N(N292)&lt;Settings!$C$9,"untested",M292/(M292+N292)))</f>
        <v/>
      </c>
      <c r="P292" s="9"/>
      <c r="Q292" s="9"/>
      <c r="R292" s="9"/>
      <c r="S292" s="12"/>
      <c r="T292" s="9"/>
      <c r="U292" s="9"/>
      <c r="V292" s="9"/>
      <c r="W292" s="10" t="str">
        <f aca="false">IF(C292="","",IF(OR(G292="training",G292="full"),"Yes",IF(G292="none","No","?")))</f>
        <v/>
      </c>
      <c r="X292" s="10" t="str">
        <f aca="false">IF(C292="","",IF(OR(E292="",E292="unknown"),D292,E292))</f>
        <v/>
      </c>
      <c r="Y292" s="10" t="str">
        <f aca="false">IF(C292="","",IF(OR(T292="unsuitable",T292="retired",X292="no"),"—",IF(J292="","unrated",IF(AND(X292="full",J292&gt;=Settings!$C$5,OR(O292="untested",O292&gt;=Settings!$C$6)),"A",IF(AND(OR(X292="full",X292="reduced"),J292&gt;=Settings!$C$7,OR(O292="untested",O292&gt;=Settings!$C$8)),"B","C")))))</f>
        <v/>
      </c>
      <c r="Z292" s="11" t="str">
        <f aca="false">IF(C292="","",IF(P292&lt;&gt;"",P292,Y292))</f>
        <v/>
      </c>
    </row>
    <row r="293" customFormat="false" ht="15" hidden="false" customHeight="false" outlineLevel="0" collapsed="false">
      <c r="A293" s="9"/>
      <c r="B293" s="10" t="str">
        <f aca="false">IF(A293="","",IFERROR(INDEX(Parks!$A$2:$A$255,MATCH(A293,Parks!$B$2:$B$255,0)),"?"))</f>
        <v/>
      </c>
      <c r="C293" s="9"/>
      <c r="D293" s="10" t="str">
        <f aca="false">IF(C293="","",IF(SUMPRODUCT(--ISNUMBER(SEARCH({"Nets","Wicket","Diamond","Softball","T-ball","Baseball","Netball","Tennis","Bocce","Pentaque","Petanque","Skate","Car Park","Pond","Bridle","Amphitheatre","Perimeter","Passive"},C293)))&gt;0,"no",IF(SUMPRODUCT(--ISNUMBER(SEARCH({"Cricket","Junior","Mini","Summer Football","Small"},C293)))&gt;0,"reduced",IF(SUMPRODUCT(--ISNUMBER(SEARCH({"Rugby","Football","League","Touch","Gaelic","Australian","Lacrosse","General Sport","Training Area","Ultimate"},C293)))&gt;0,"full","unknown"))))</f>
        <v/>
      </c>
      <c r="E293" s="9"/>
      <c r="F293" s="9"/>
      <c r="G293" s="9"/>
      <c r="H293" s="9"/>
      <c r="I293" s="12"/>
      <c r="J293" s="9"/>
      <c r="K293" s="9"/>
      <c r="L293" s="9"/>
      <c r="M293" s="9"/>
      <c r="N293" s="9"/>
      <c r="O293" s="13" t="str">
        <f aca="false">IF(C293="","",IF(N(M293)+N(N293)&lt;Settings!$C$9,"untested",M293/(M293+N293)))</f>
        <v/>
      </c>
      <c r="P293" s="9"/>
      <c r="Q293" s="9"/>
      <c r="R293" s="9"/>
      <c r="S293" s="12"/>
      <c r="T293" s="9"/>
      <c r="U293" s="9"/>
      <c r="V293" s="9"/>
      <c r="W293" s="10" t="str">
        <f aca="false">IF(C293="","",IF(OR(G293="training",G293="full"),"Yes",IF(G293="none","No","?")))</f>
        <v/>
      </c>
      <c r="X293" s="10" t="str">
        <f aca="false">IF(C293="","",IF(OR(E293="",E293="unknown"),D293,E293))</f>
        <v/>
      </c>
      <c r="Y293" s="10" t="str">
        <f aca="false">IF(C293="","",IF(OR(T293="unsuitable",T293="retired",X293="no"),"—",IF(J293="","unrated",IF(AND(X293="full",J293&gt;=Settings!$C$5,OR(O293="untested",O293&gt;=Settings!$C$6)),"A",IF(AND(OR(X293="full",X293="reduced"),J293&gt;=Settings!$C$7,OR(O293="untested",O293&gt;=Settings!$C$8)),"B","C")))))</f>
        <v/>
      </c>
      <c r="Z293" s="11" t="str">
        <f aca="false">IF(C293="","",IF(P293&lt;&gt;"",P293,Y293))</f>
        <v/>
      </c>
    </row>
    <row r="294" customFormat="false" ht="15" hidden="false" customHeight="false" outlineLevel="0" collapsed="false">
      <c r="A294" s="9"/>
      <c r="B294" s="10" t="str">
        <f aca="false">IF(A294="","",IFERROR(INDEX(Parks!$A$2:$A$255,MATCH(A294,Parks!$B$2:$B$255,0)),"?"))</f>
        <v/>
      </c>
      <c r="C294" s="9"/>
      <c r="D294" s="10" t="str">
        <f aca="false">IF(C294="","",IF(SUMPRODUCT(--ISNUMBER(SEARCH({"Nets","Wicket","Diamond","Softball","T-ball","Baseball","Netball","Tennis","Bocce","Pentaque","Petanque","Skate","Car Park","Pond","Bridle","Amphitheatre","Perimeter","Passive"},C294)))&gt;0,"no",IF(SUMPRODUCT(--ISNUMBER(SEARCH({"Cricket","Junior","Mini","Summer Football","Small"},C294)))&gt;0,"reduced",IF(SUMPRODUCT(--ISNUMBER(SEARCH({"Rugby","Football","League","Touch","Gaelic","Australian","Lacrosse","General Sport","Training Area","Ultimate"},C294)))&gt;0,"full","unknown"))))</f>
        <v/>
      </c>
      <c r="E294" s="9"/>
      <c r="F294" s="9"/>
      <c r="G294" s="9"/>
      <c r="H294" s="9"/>
      <c r="I294" s="12"/>
      <c r="J294" s="9"/>
      <c r="K294" s="9"/>
      <c r="L294" s="9"/>
      <c r="M294" s="9"/>
      <c r="N294" s="9"/>
      <c r="O294" s="13" t="str">
        <f aca="false">IF(C294="","",IF(N(M294)+N(N294)&lt;Settings!$C$9,"untested",M294/(M294+N294)))</f>
        <v/>
      </c>
      <c r="P294" s="9"/>
      <c r="Q294" s="9"/>
      <c r="R294" s="9"/>
      <c r="S294" s="12"/>
      <c r="T294" s="9"/>
      <c r="U294" s="9"/>
      <c r="V294" s="9"/>
      <c r="W294" s="10" t="str">
        <f aca="false">IF(C294="","",IF(OR(G294="training",G294="full"),"Yes",IF(G294="none","No","?")))</f>
        <v/>
      </c>
      <c r="X294" s="10" t="str">
        <f aca="false">IF(C294="","",IF(OR(E294="",E294="unknown"),D294,E294))</f>
        <v/>
      </c>
      <c r="Y294" s="10" t="str">
        <f aca="false">IF(C294="","",IF(OR(T294="unsuitable",T294="retired",X294="no"),"—",IF(J294="","unrated",IF(AND(X294="full",J294&gt;=Settings!$C$5,OR(O294="untested",O294&gt;=Settings!$C$6)),"A",IF(AND(OR(X294="full",X294="reduced"),J294&gt;=Settings!$C$7,OR(O294="untested",O294&gt;=Settings!$C$8)),"B","C")))))</f>
        <v/>
      </c>
      <c r="Z294" s="11" t="str">
        <f aca="false">IF(C294="","",IF(P294&lt;&gt;"",P294,Y294))</f>
        <v/>
      </c>
    </row>
    <row r="295" customFormat="false" ht="15" hidden="false" customHeight="false" outlineLevel="0" collapsed="false">
      <c r="A295" s="9"/>
      <c r="B295" s="10" t="str">
        <f aca="false">IF(A295="","",IFERROR(INDEX(Parks!$A$2:$A$255,MATCH(A295,Parks!$B$2:$B$255,0)),"?"))</f>
        <v/>
      </c>
      <c r="C295" s="9"/>
      <c r="D295" s="10" t="str">
        <f aca="false">IF(C295="","",IF(SUMPRODUCT(--ISNUMBER(SEARCH({"Nets","Wicket","Diamond","Softball","T-ball","Baseball","Netball","Tennis","Bocce","Pentaque","Petanque","Skate","Car Park","Pond","Bridle","Amphitheatre","Perimeter","Passive"},C295)))&gt;0,"no",IF(SUMPRODUCT(--ISNUMBER(SEARCH({"Cricket","Junior","Mini","Summer Football","Small"},C295)))&gt;0,"reduced",IF(SUMPRODUCT(--ISNUMBER(SEARCH({"Rugby","Football","League","Touch","Gaelic","Australian","Lacrosse","General Sport","Training Area","Ultimate"},C295)))&gt;0,"full","unknown"))))</f>
        <v/>
      </c>
      <c r="E295" s="9"/>
      <c r="F295" s="9"/>
      <c r="G295" s="9"/>
      <c r="H295" s="9"/>
      <c r="I295" s="12"/>
      <c r="J295" s="9"/>
      <c r="K295" s="9"/>
      <c r="L295" s="9"/>
      <c r="M295" s="9"/>
      <c r="N295" s="9"/>
      <c r="O295" s="13" t="str">
        <f aca="false">IF(C295="","",IF(N(M295)+N(N295)&lt;Settings!$C$9,"untested",M295/(M295+N295)))</f>
        <v/>
      </c>
      <c r="P295" s="9"/>
      <c r="Q295" s="9"/>
      <c r="R295" s="9"/>
      <c r="S295" s="12"/>
      <c r="T295" s="9"/>
      <c r="U295" s="9"/>
      <c r="V295" s="9"/>
      <c r="W295" s="10" t="str">
        <f aca="false">IF(C295="","",IF(OR(G295="training",G295="full"),"Yes",IF(G295="none","No","?")))</f>
        <v/>
      </c>
      <c r="X295" s="10" t="str">
        <f aca="false">IF(C295="","",IF(OR(E295="",E295="unknown"),D295,E295))</f>
        <v/>
      </c>
      <c r="Y295" s="10" t="str">
        <f aca="false">IF(C295="","",IF(OR(T295="unsuitable",T295="retired",X295="no"),"—",IF(J295="","unrated",IF(AND(X295="full",J295&gt;=Settings!$C$5,OR(O295="untested",O295&gt;=Settings!$C$6)),"A",IF(AND(OR(X295="full",X295="reduced"),J295&gt;=Settings!$C$7,OR(O295="untested",O295&gt;=Settings!$C$8)),"B","C")))))</f>
        <v/>
      </c>
      <c r="Z295" s="11" t="str">
        <f aca="false">IF(C295="","",IF(P295&lt;&gt;"",P295,Y295))</f>
        <v/>
      </c>
    </row>
    <row r="296" customFormat="false" ht="15" hidden="false" customHeight="false" outlineLevel="0" collapsed="false">
      <c r="A296" s="9"/>
      <c r="B296" s="10" t="str">
        <f aca="false">IF(A296="","",IFERROR(INDEX(Parks!$A$2:$A$255,MATCH(A296,Parks!$B$2:$B$255,0)),"?"))</f>
        <v/>
      </c>
      <c r="C296" s="9"/>
      <c r="D296" s="10" t="str">
        <f aca="false">IF(C296="","",IF(SUMPRODUCT(--ISNUMBER(SEARCH({"Nets","Wicket","Diamond","Softball","T-ball","Baseball","Netball","Tennis","Bocce","Pentaque","Petanque","Skate","Car Park","Pond","Bridle","Amphitheatre","Perimeter","Passive"},C296)))&gt;0,"no",IF(SUMPRODUCT(--ISNUMBER(SEARCH({"Cricket","Junior","Mini","Summer Football","Small"},C296)))&gt;0,"reduced",IF(SUMPRODUCT(--ISNUMBER(SEARCH({"Rugby","Football","League","Touch","Gaelic","Australian","Lacrosse","General Sport","Training Area","Ultimate"},C296)))&gt;0,"full","unknown"))))</f>
        <v/>
      </c>
      <c r="E296" s="9"/>
      <c r="F296" s="9"/>
      <c r="G296" s="9"/>
      <c r="H296" s="9"/>
      <c r="I296" s="12"/>
      <c r="J296" s="9"/>
      <c r="K296" s="9"/>
      <c r="L296" s="9"/>
      <c r="M296" s="9"/>
      <c r="N296" s="9"/>
      <c r="O296" s="13" t="str">
        <f aca="false">IF(C296="","",IF(N(M296)+N(N296)&lt;Settings!$C$9,"untested",M296/(M296+N296)))</f>
        <v/>
      </c>
      <c r="P296" s="9"/>
      <c r="Q296" s="9"/>
      <c r="R296" s="9"/>
      <c r="S296" s="12"/>
      <c r="T296" s="9"/>
      <c r="U296" s="9"/>
      <c r="V296" s="9"/>
      <c r="W296" s="10" t="str">
        <f aca="false">IF(C296="","",IF(OR(G296="training",G296="full"),"Yes",IF(G296="none","No","?")))</f>
        <v/>
      </c>
      <c r="X296" s="10" t="str">
        <f aca="false">IF(C296="","",IF(OR(E296="",E296="unknown"),D296,E296))</f>
        <v/>
      </c>
      <c r="Y296" s="10" t="str">
        <f aca="false">IF(C296="","",IF(OR(T296="unsuitable",T296="retired",X296="no"),"—",IF(J296="","unrated",IF(AND(X296="full",J296&gt;=Settings!$C$5,OR(O296="untested",O296&gt;=Settings!$C$6)),"A",IF(AND(OR(X296="full",X296="reduced"),J296&gt;=Settings!$C$7,OR(O296="untested",O296&gt;=Settings!$C$8)),"B","C")))))</f>
        <v/>
      </c>
      <c r="Z296" s="11" t="str">
        <f aca="false">IF(C296="","",IF(P296&lt;&gt;"",P296,Y296))</f>
        <v/>
      </c>
    </row>
    <row r="297" customFormat="false" ht="15" hidden="false" customHeight="false" outlineLevel="0" collapsed="false">
      <c r="A297" s="9"/>
      <c r="B297" s="10" t="str">
        <f aca="false">IF(A297="","",IFERROR(INDEX(Parks!$A$2:$A$255,MATCH(A297,Parks!$B$2:$B$255,0)),"?"))</f>
        <v/>
      </c>
      <c r="C297" s="9"/>
      <c r="D297" s="10" t="str">
        <f aca="false">IF(C297="","",IF(SUMPRODUCT(--ISNUMBER(SEARCH({"Nets","Wicket","Diamond","Softball","T-ball","Baseball","Netball","Tennis","Bocce","Pentaque","Petanque","Skate","Car Park","Pond","Bridle","Amphitheatre","Perimeter","Passive"},C297)))&gt;0,"no",IF(SUMPRODUCT(--ISNUMBER(SEARCH({"Cricket","Junior","Mini","Summer Football","Small"},C297)))&gt;0,"reduced",IF(SUMPRODUCT(--ISNUMBER(SEARCH({"Rugby","Football","League","Touch","Gaelic","Australian","Lacrosse","General Sport","Training Area","Ultimate"},C297)))&gt;0,"full","unknown"))))</f>
        <v/>
      </c>
      <c r="E297" s="9"/>
      <c r="F297" s="9"/>
      <c r="G297" s="9"/>
      <c r="H297" s="9"/>
      <c r="I297" s="12"/>
      <c r="J297" s="9"/>
      <c r="K297" s="9"/>
      <c r="L297" s="9"/>
      <c r="M297" s="9"/>
      <c r="N297" s="9"/>
      <c r="O297" s="13" t="str">
        <f aca="false">IF(C297="","",IF(N(M297)+N(N297)&lt;Settings!$C$9,"untested",M297/(M297+N297)))</f>
        <v/>
      </c>
      <c r="P297" s="9"/>
      <c r="Q297" s="9"/>
      <c r="R297" s="9"/>
      <c r="S297" s="12"/>
      <c r="T297" s="9"/>
      <c r="U297" s="9"/>
      <c r="V297" s="9"/>
      <c r="W297" s="10" t="str">
        <f aca="false">IF(C297="","",IF(OR(G297="training",G297="full"),"Yes",IF(G297="none","No","?")))</f>
        <v/>
      </c>
      <c r="X297" s="10" t="str">
        <f aca="false">IF(C297="","",IF(OR(E297="",E297="unknown"),D297,E297))</f>
        <v/>
      </c>
      <c r="Y297" s="10" t="str">
        <f aca="false">IF(C297="","",IF(OR(T297="unsuitable",T297="retired",X297="no"),"—",IF(J297="","unrated",IF(AND(X297="full",J297&gt;=Settings!$C$5,OR(O297="untested",O297&gt;=Settings!$C$6)),"A",IF(AND(OR(X297="full",X297="reduced"),J297&gt;=Settings!$C$7,OR(O297="untested",O297&gt;=Settings!$C$8)),"B","C")))))</f>
        <v/>
      </c>
      <c r="Z297" s="11" t="str">
        <f aca="false">IF(C297="","",IF(P297&lt;&gt;"",P297,Y297))</f>
        <v/>
      </c>
    </row>
    <row r="298" customFormat="false" ht="15" hidden="false" customHeight="false" outlineLevel="0" collapsed="false">
      <c r="A298" s="9"/>
      <c r="B298" s="10" t="str">
        <f aca="false">IF(A298="","",IFERROR(INDEX(Parks!$A$2:$A$255,MATCH(A298,Parks!$B$2:$B$255,0)),"?"))</f>
        <v/>
      </c>
      <c r="C298" s="9"/>
      <c r="D298" s="10" t="str">
        <f aca="false">IF(C298="","",IF(SUMPRODUCT(--ISNUMBER(SEARCH({"Nets","Wicket","Diamond","Softball","T-ball","Baseball","Netball","Tennis","Bocce","Pentaque","Petanque","Skate","Car Park","Pond","Bridle","Amphitheatre","Perimeter","Passive"},C298)))&gt;0,"no",IF(SUMPRODUCT(--ISNUMBER(SEARCH({"Cricket","Junior","Mini","Summer Football","Small"},C298)))&gt;0,"reduced",IF(SUMPRODUCT(--ISNUMBER(SEARCH({"Rugby","Football","League","Touch","Gaelic","Australian","Lacrosse","General Sport","Training Area","Ultimate"},C298)))&gt;0,"full","unknown"))))</f>
        <v/>
      </c>
      <c r="E298" s="9"/>
      <c r="F298" s="9"/>
      <c r="G298" s="9"/>
      <c r="H298" s="9"/>
      <c r="I298" s="12"/>
      <c r="J298" s="9"/>
      <c r="K298" s="9"/>
      <c r="L298" s="9"/>
      <c r="M298" s="9"/>
      <c r="N298" s="9"/>
      <c r="O298" s="13" t="str">
        <f aca="false">IF(C298="","",IF(N(M298)+N(N298)&lt;Settings!$C$9,"untested",M298/(M298+N298)))</f>
        <v/>
      </c>
      <c r="P298" s="9"/>
      <c r="Q298" s="9"/>
      <c r="R298" s="9"/>
      <c r="S298" s="12"/>
      <c r="T298" s="9"/>
      <c r="U298" s="9"/>
      <c r="V298" s="9"/>
      <c r="W298" s="10" t="str">
        <f aca="false">IF(C298="","",IF(OR(G298="training",G298="full"),"Yes",IF(G298="none","No","?")))</f>
        <v/>
      </c>
      <c r="X298" s="10" t="str">
        <f aca="false">IF(C298="","",IF(OR(E298="",E298="unknown"),D298,E298))</f>
        <v/>
      </c>
      <c r="Y298" s="10" t="str">
        <f aca="false">IF(C298="","",IF(OR(T298="unsuitable",T298="retired",X298="no"),"—",IF(J298="","unrated",IF(AND(X298="full",J298&gt;=Settings!$C$5,OR(O298="untested",O298&gt;=Settings!$C$6)),"A",IF(AND(OR(X298="full",X298="reduced"),J298&gt;=Settings!$C$7,OR(O298="untested",O298&gt;=Settings!$C$8)),"B","C")))))</f>
        <v/>
      </c>
      <c r="Z298" s="11" t="str">
        <f aca="false">IF(C298="","",IF(P298&lt;&gt;"",P298,Y298))</f>
        <v/>
      </c>
    </row>
    <row r="299" customFormat="false" ht="15" hidden="false" customHeight="false" outlineLevel="0" collapsed="false">
      <c r="A299" s="9"/>
      <c r="B299" s="10" t="str">
        <f aca="false">IF(A299="","",IFERROR(INDEX(Parks!$A$2:$A$255,MATCH(A299,Parks!$B$2:$B$255,0)),"?"))</f>
        <v/>
      </c>
      <c r="C299" s="9"/>
      <c r="D299" s="10" t="str">
        <f aca="false">IF(C299="","",IF(SUMPRODUCT(--ISNUMBER(SEARCH({"Nets","Wicket","Diamond","Softball","T-ball","Baseball","Netball","Tennis","Bocce","Pentaque","Petanque","Skate","Car Park","Pond","Bridle","Amphitheatre","Perimeter","Passive"},C299)))&gt;0,"no",IF(SUMPRODUCT(--ISNUMBER(SEARCH({"Cricket","Junior","Mini","Summer Football","Small"},C299)))&gt;0,"reduced",IF(SUMPRODUCT(--ISNUMBER(SEARCH({"Rugby","Football","League","Touch","Gaelic","Australian","Lacrosse","General Sport","Training Area","Ultimate"},C299)))&gt;0,"full","unknown"))))</f>
        <v/>
      </c>
      <c r="E299" s="9"/>
      <c r="F299" s="9"/>
      <c r="G299" s="9"/>
      <c r="H299" s="9"/>
      <c r="I299" s="12"/>
      <c r="J299" s="9"/>
      <c r="K299" s="9"/>
      <c r="L299" s="9"/>
      <c r="M299" s="9"/>
      <c r="N299" s="9"/>
      <c r="O299" s="13" t="str">
        <f aca="false">IF(C299="","",IF(N(M299)+N(N299)&lt;Settings!$C$9,"untested",M299/(M299+N299)))</f>
        <v/>
      </c>
      <c r="P299" s="9"/>
      <c r="Q299" s="9"/>
      <c r="R299" s="9"/>
      <c r="S299" s="12"/>
      <c r="T299" s="9"/>
      <c r="U299" s="9"/>
      <c r="V299" s="9"/>
      <c r="W299" s="10" t="str">
        <f aca="false">IF(C299="","",IF(OR(G299="training",G299="full"),"Yes",IF(G299="none","No","?")))</f>
        <v/>
      </c>
      <c r="X299" s="10" t="str">
        <f aca="false">IF(C299="","",IF(OR(E299="",E299="unknown"),D299,E299))</f>
        <v/>
      </c>
      <c r="Y299" s="10" t="str">
        <f aca="false">IF(C299="","",IF(OR(T299="unsuitable",T299="retired",X299="no"),"—",IF(J299="","unrated",IF(AND(X299="full",J299&gt;=Settings!$C$5,OR(O299="untested",O299&gt;=Settings!$C$6)),"A",IF(AND(OR(X299="full",X299="reduced"),J299&gt;=Settings!$C$7,OR(O299="untested",O299&gt;=Settings!$C$8)),"B","C")))))</f>
        <v/>
      </c>
      <c r="Z299" s="11" t="str">
        <f aca="false">IF(C299="","",IF(P299&lt;&gt;"",P299,Y299))</f>
        <v/>
      </c>
    </row>
    <row r="300" customFormat="false" ht="15" hidden="false" customHeight="false" outlineLevel="0" collapsed="false">
      <c r="A300" s="9"/>
      <c r="B300" s="10" t="str">
        <f aca="false">IF(A300="","",IFERROR(INDEX(Parks!$A$2:$A$255,MATCH(A300,Parks!$B$2:$B$255,0)),"?"))</f>
        <v/>
      </c>
      <c r="C300" s="9"/>
      <c r="D300" s="10" t="str">
        <f aca="false">IF(C300="","",IF(SUMPRODUCT(--ISNUMBER(SEARCH({"Nets","Wicket","Diamond","Softball","T-ball","Baseball","Netball","Tennis","Bocce","Pentaque","Petanque","Skate","Car Park","Pond","Bridle","Amphitheatre","Perimeter","Passive"},C300)))&gt;0,"no",IF(SUMPRODUCT(--ISNUMBER(SEARCH({"Cricket","Junior","Mini","Summer Football","Small"},C300)))&gt;0,"reduced",IF(SUMPRODUCT(--ISNUMBER(SEARCH({"Rugby","Football","League","Touch","Gaelic","Australian","Lacrosse","General Sport","Training Area","Ultimate"},C300)))&gt;0,"full","unknown"))))</f>
        <v/>
      </c>
      <c r="E300" s="9"/>
      <c r="F300" s="9"/>
      <c r="G300" s="9"/>
      <c r="H300" s="9"/>
      <c r="I300" s="12"/>
      <c r="J300" s="9"/>
      <c r="K300" s="9"/>
      <c r="L300" s="9"/>
      <c r="M300" s="9"/>
      <c r="N300" s="9"/>
      <c r="O300" s="13" t="str">
        <f aca="false">IF(C300="","",IF(N(M300)+N(N300)&lt;Settings!$C$9,"untested",M300/(M300+N300)))</f>
        <v/>
      </c>
      <c r="P300" s="9"/>
      <c r="Q300" s="9"/>
      <c r="R300" s="9"/>
      <c r="S300" s="12"/>
      <c r="T300" s="9"/>
      <c r="U300" s="9"/>
      <c r="V300" s="9"/>
      <c r="W300" s="10" t="str">
        <f aca="false">IF(C300="","",IF(OR(G300="training",G300="full"),"Yes",IF(G300="none","No","?")))</f>
        <v/>
      </c>
      <c r="X300" s="10" t="str">
        <f aca="false">IF(C300="","",IF(OR(E300="",E300="unknown"),D300,E300))</f>
        <v/>
      </c>
      <c r="Y300" s="10" t="str">
        <f aca="false">IF(C300="","",IF(OR(T300="unsuitable",T300="retired",X300="no"),"—",IF(J300="","unrated",IF(AND(X300="full",J300&gt;=Settings!$C$5,OR(O300="untested",O300&gt;=Settings!$C$6)),"A",IF(AND(OR(X300="full",X300="reduced"),J300&gt;=Settings!$C$7,OR(O300="untested",O300&gt;=Settings!$C$8)),"B","C")))))</f>
        <v/>
      </c>
      <c r="Z300" s="11" t="str">
        <f aca="false">IF(C300="","",IF(P300&lt;&gt;"",P300,Y300))</f>
        <v/>
      </c>
    </row>
    <row r="301" customFormat="false" ht="15" hidden="false" customHeight="false" outlineLevel="0" collapsed="false">
      <c r="A301" s="9"/>
      <c r="B301" s="10" t="str">
        <f aca="false">IF(A301="","",IFERROR(INDEX(Parks!$A$2:$A$255,MATCH(A301,Parks!$B$2:$B$255,0)),"?"))</f>
        <v/>
      </c>
      <c r="C301" s="9"/>
      <c r="D301" s="10" t="str">
        <f aca="false">IF(C301="","",IF(SUMPRODUCT(--ISNUMBER(SEARCH({"Nets","Wicket","Diamond","Softball","T-ball","Baseball","Netball","Tennis","Bocce","Pentaque","Petanque","Skate","Car Park","Pond","Bridle","Amphitheatre","Perimeter","Passive"},C301)))&gt;0,"no",IF(SUMPRODUCT(--ISNUMBER(SEARCH({"Cricket","Junior","Mini","Summer Football","Small"},C301)))&gt;0,"reduced",IF(SUMPRODUCT(--ISNUMBER(SEARCH({"Rugby","Football","League","Touch","Gaelic","Australian","Lacrosse","General Sport","Training Area","Ultimate"},C301)))&gt;0,"full","unknown"))))</f>
        <v/>
      </c>
      <c r="E301" s="9"/>
      <c r="F301" s="9"/>
      <c r="G301" s="9"/>
      <c r="H301" s="9"/>
      <c r="I301" s="12"/>
      <c r="J301" s="9"/>
      <c r="K301" s="9"/>
      <c r="L301" s="9"/>
      <c r="M301" s="9"/>
      <c r="N301" s="9"/>
      <c r="O301" s="13" t="str">
        <f aca="false">IF(C301="","",IF(N(M301)+N(N301)&lt;Settings!$C$9,"untested",M301/(M301+N301)))</f>
        <v/>
      </c>
      <c r="P301" s="9"/>
      <c r="Q301" s="9"/>
      <c r="R301" s="9"/>
      <c r="S301" s="12"/>
      <c r="T301" s="9"/>
      <c r="U301" s="9"/>
      <c r="V301" s="9"/>
      <c r="W301" s="10" t="str">
        <f aca="false">IF(C301="","",IF(OR(G301="training",G301="full"),"Yes",IF(G301="none","No","?")))</f>
        <v/>
      </c>
      <c r="X301" s="10" t="str">
        <f aca="false">IF(C301="","",IF(OR(E301="",E301="unknown"),D301,E301))</f>
        <v/>
      </c>
      <c r="Y301" s="10" t="str">
        <f aca="false">IF(C301="","",IF(OR(T301="unsuitable",T301="retired",X301="no"),"—",IF(J301="","unrated",IF(AND(X301="full",J301&gt;=Settings!$C$5,OR(O301="untested",O301&gt;=Settings!$C$6)),"A",IF(AND(OR(X301="full",X301="reduced"),J301&gt;=Settings!$C$7,OR(O301="untested",O301&gt;=Settings!$C$8)),"B","C")))))</f>
        <v/>
      </c>
      <c r="Z301" s="11" t="str">
        <f aca="false">IF(C301="","",IF(P301&lt;&gt;"",P301,Y301))</f>
        <v/>
      </c>
    </row>
    <row r="302" customFormat="false" ht="15" hidden="false" customHeight="false" outlineLevel="0" collapsed="false">
      <c r="A302" s="9"/>
      <c r="B302" s="10" t="str">
        <f aca="false">IF(A302="","",IFERROR(INDEX(Parks!$A$2:$A$255,MATCH(A302,Parks!$B$2:$B$255,0)),"?"))</f>
        <v/>
      </c>
      <c r="C302" s="9"/>
      <c r="D302" s="10" t="str">
        <f aca="false">IF(C302="","",IF(SUMPRODUCT(--ISNUMBER(SEARCH({"Nets","Wicket","Diamond","Softball","T-ball","Baseball","Netball","Tennis","Bocce","Pentaque","Petanque","Skate","Car Park","Pond","Bridle","Amphitheatre","Perimeter","Passive"},C302)))&gt;0,"no",IF(SUMPRODUCT(--ISNUMBER(SEARCH({"Cricket","Junior","Mini","Summer Football","Small"},C302)))&gt;0,"reduced",IF(SUMPRODUCT(--ISNUMBER(SEARCH({"Rugby","Football","League","Touch","Gaelic","Australian","Lacrosse","General Sport","Training Area","Ultimate"},C302)))&gt;0,"full","unknown"))))</f>
        <v/>
      </c>
      <c r="E302" s="9"/>
      <c r="F302" s="9"/>
      <c r="G302" s="9"/>
      <c r="H302" s="9"/>
      <c r="I302" s="12"/>
      <c r="J302" s="9"/>
      <c r="K302" s="9"/>
      <c r="L302" s="9"/>
      <c r="M302" s="9"/>
      <c r="N302" s="9"/>
      <c r="O302" s="13" t="str">
        <f aca="false">IF(C302="","",IF(N(M302)+N(N302)&lt;Settings!$C$9,"untested",M302/(M302+N302)))</f>
        <v/>
      </c>
      <c r="P302" s="9"/>
      <c r="Q302" s="9"/>
      <c r="R302" s="9"/>
      <c r="S302" s="12"/>
      <c r="T302" s="9"/>
      <c r="U302" s="9"/>
      <c r="V302" s="9"/>
      <c r="W302" s="10" t="str">
        <f aca="false">IF(C302="","",IF(OR(G302="training",G302="full"),"Yes",IF(G302="none","No","?")))</f>
        <v/>
      </c>
      <c r="X302" s="10" t="str">
        <f aca="false">IF(C302="","",IF(OR(E302="",E302="unknown"),D302,E302))</f>
        <v/>
      </c>
      <c r="Y302" s="10" t="str">
        <f aca="false">IF(C302="","",IF(OR(T302="unsuitable",T302="retired",X302="no"),"—",IF(J302="","unrated",IF(AND(X302="full",J302&gt;=Settings!$C$5,OR(O302="untested",O302&gt;=Settings!$C$6)),"A",IF(AND(OR(X302="full",X302="reduced"),J302&gt;=Settings!$C$7,OR(O302="untested",O302&gt;=Settings!$C$8)),"B","C")))))</f>
        <v/>
      </c>
      <c r="Z302" s="11" t="str">
        <f aca="false">IF(C302="","",IF(P302&lt;&gt;"",P302,Y302))</f>
        <v/>
      </c>
    </row>
    <row r="303" customFormat="false" ht="15" hidden="false" customHeight="false" outlineLevel="0" collapsed="false">
      <c r="A303" s="9"/>
      <c r="B303" s="10" t="str">
        <f aca="false">IF(A303="","",IFERROR(INDEX(Parks!$A$2:$A$255,MATCH(A303,Parks!$B$2:$B$255,0)),"?"))</f>
        <v/>
      </c>
      <c r="C303" s="9"/>
      <c r="D303" s="10" t="str">
        <f aca="false">IF(C303="","",IF(SUMPRODUCT(--ISNUMBER(SEARCH({"Nets","Wicket","Diamond","Softball","T-ball","Baseball","Netball","Tennis","Bocce","Pentaque","Petanque","Skate","Car Park","Pond","Bridle","Amphitheatre","Perimeter","Passive"},C303)))&gt;0,"no",IF(SUMPRODUCT(--ISNUMBER(SEARCH({"Cricket","Junior","Mini","Summer Football","Small"},C303)))&gt;0,"reduced",IF(SUMPRODUCT(--ISNUMBER(SEARCH({"Rugby","Football","League","Touch","Gaelic","Australian","Lacrosse","General Sport","Training Area","Ultimate"},C303)))&gt;0,"full","unknown"))))</f>
        <v/>
      </c>
      <c r="E303" s="9"/>
      <c r="F303" s="9"/>
      <c r="G303" s="9"/>
      <c r="H303" s="9"/>
      <c r="I303" s="12"/>
      <c r="J303" s="9"/>
      <c r="K303" s="9"/>
      <c r="L303" s="9"/>
      <c r="M303" s="9"/>
      <c r="N303" s="9"/>
      <c r="O303" s="13" t="str">
        <f aca="false">IF(C303="","",IF(N(M303)+N(N303)&lt;Settings!$C$9,"untested",M303/(M303+N303)))</f>
        <v/>
      </c>
      <c r="P303" s="9"/>
      <c r="Q303" s="9"/>
      <c r="R303" s="9"/>
      <c r="S303" s="12"/>
      <c r="T303" s="9"/>
      <c r="U303" s="9"/>
      <c r="V303" s="9"/>
      <c r="W303" s="10" t="str">
        <f aca="false">IF(C303="","",IF(OR(G303="training",G303="full"),"Yes",IF(G303="none","No","?")))</f>
        <v/>
      </c>
      <c r="X303" s="10" t="str">
        <f aca="false">IF(C303="","",IF(OR(E303="",E303="unknown"),D303,E303))</f>
        <v/>
      </c>
      <c r="Y303" s="10" t="str">
        <f aca="false">IF(C303="","",IF(OR(T303="unsuitable",T303="retired",X303="no"),"—",IF(J303="","unrated",IF(AND(X303="full",J303&gt;=Settings!$C$5,OR(O303="untested",O303&gt;=Settings!$C$6)),"A",IF(AND(OR(X303="full",X303="reduced"),J303&gt;=Settings!$C$7,OR(O303="untested",O303&gt;=Settings!$C$8)),"B","C")))))</f>
        <v/>
      </c>
      <c r="Z303" s="11" t="str">
        <f aca="false">IF(C303="","",IF(P303&lt;&gt;"",P303,Y303))</f>
        <v/>
      </c>
    </row>
    <row r="304" customFormat="false" ht="15" hidden="false" customHeight="false" outlineLevel="0" collapsed="false">
      <c r="A304" s="9"/>
      <c r="B304" s="10" t="str">
        <f aca="false">IF(A304="","",IFERROR(INDEX(Parks!$A$2:$A$255,MATCH(A304,Parks!$B$2:$B$255,0)),"?"))</f>
        <v/>
      </c>
      <c r="C304" s="9"/>
      <c r="D304" s="10" t="str">
        <f aca="false">IF(C304="","",IF(SUMPRODUCT(--ISNUMBER(SEARCH({"Nets","Wicket","Diamond","Softball","T-ball","Baseball","Netball","Tennis","Bocce","Pentaque","Petanque","Skate","Car Park","Pond","Bridle","Amphitheatre","Perimeter","Passive"},C304)))&gt;0,"no",IF(SUMPRODUCT(--ISNUMBER(SEARCH({"Cricket","Junior","Mini","Summer Football","Small"},C304)))&gt;0,"reduced",IF(SUMPRODUCT(--ISNUMBER(SEARCH({"Rugby","Football","League","Touch","Gaelic","Australian","Lacrosse","General Sport","Training Area","Ultimate"},C304)))&gt;0,"full","unknown"))))</f>
        <v/>
      </c>
      <c r="E304" s="9"/>
      <c r="F304" s="9"/>
      <c r="G304" s="9"/>
      <c r="H304" s="9"/>
      <c r="I304" s="12"/>
      <c r="J304" s="9"/>
      <c r="K304" s="9"/>
      <c r="L304" s="9"/>
      <c r="M304" s="9"/>
      <c r="N304" s="9"/>
      <c r="O304" s="13" t="str">
        <f aca="false">IF(C304="","",IF(N(M304)+N(N304)&lt;Settings!$C$9,"untested",M304/(M304+N304)))</f>
        <v/>
      </c>
      <c r="P304" s="9"/>
      <c r="Q304" s="9"/>
      <c r="R304" s="9"/>
      <c r="S304" s="12"/>
      <c r="T304" s="9"/>
      <c r="U304" s="9"/>
      <c r="V304" s="9"/>
      <c r="W304" s="10" t="str">
        <f aca="false">IF(C304="","",IF(OR(G304="training",G304="full"),"Yes",IF(G304="none","No","?")))</f>
        <v/>
      </c>
      <c r="X304" s="10" t="str">
        <f aca="false">IF(C304="","",IF(OR(E304="",E304="unknown"),D304,E304))</f>
        <v/>
      </c>
      <c r="Y304" s="10" t="str">
        <f aca="false">IF(C304="","",IF(OR(T304="unsuitable",T304="retired",X304="no"),"—",IF(J304="","unrated",IF(AND(X304="full",J304&gt;=Settings!$C$5,OR(O304="untested",O304&gt;=Settings!$C$6)),"A",IF(AND(OR(X304="full",X304="reduced"),J304&gt;=Settings!$C$7,OR(O304="untested",O304&gt;=Settings!$C$8)),"B","C")))))</f>
        <v/>
      </c>
      <c r="Z304" s="11" t="str">
        <f aca="false">IF(C304="","",IF(P304&lt;&gt;"",P304,Y304))</f>
        <v/>
      </c>
    </row>
    <row r="305" customFormat="false" ht="15" hidden="false" customHeight="false" outlineLevel="0" collapsed="false">
      <c r="A305" s="9"/>
      <c r="B305" s="10" t="str">
        <f aca="false">IF(A305="","",IFERROR(INDEX(Parks!$A$2:$A$255,MATCH(A305,Parks!$B$2:$B$255,0)),"?"))</f>
        <v/>
      </c>
      <c r="C305" s="9"/>
      <c r="D305" s="10" t="str">
        <f aca="false">IF(C305="","",IF(SUMPRODUCT(--ISNUMBER(SEARCH({"Nets","Wicket","Diamond","Softball","T-ball","Baseball","Netball","Tennis","Bocce","Pentaque","Petanque","Skate","Car Park","Pond","Bridle","Amphitheatre","Perimeter","Passive"},C305)))&gt;0,"no",IF(SUMPRODUCT(--ISNUMBER(SEARCH({"Cricket","Junior","Mini","Summer Football","Small"},C305)))&gt;0,"reduced",IF(SUMPRODUCT(--ISNUMBER(SEARCH({"Rugby","Football","League","Touch","Gaelic","Australian","Lacrosse","General Sport","Training Area","Ultimate"},C305)))&gt;0,"full","unknown"))))</f>
        <v/>
      </c>
      <c r="E305" s="9"/>
      <c r="F305" s="9"/>
      <c r="G305" s="9"/>
      <c r="H305" s="9"/>
      <c r="I305" s="12"/>
      <c r="J305" s="9"/>
      <c r="K305" s="9"/>
      <c r="L305" s="9"/>
      <c r="M305" s="9"/>
      <c r="N305" s="9"/>
      <c r="O305" s="13" t="str">
        <f aca="false">IF(C305="","",IF(N(M305)+N(N305)&lt;Settings!$C$9,"untested",M305/(M305+N305)))</f>
        <v/>
      </c>
      <c r="P305" s="9"/>
      <c r="Q305" s="9"/>
      <c r="R305" s="9"/>
      <c r="S305" s="12"/>
      <c r="T305" s="9"/>
      <c r="U305" s="9"/>
      <c r="V305" s="9"/>
      <c r="W305" s="10" t="str">
        <f aca="false">IF(C305="","",IF(OR(G305="training",G305="full"),"Yes",IF(G305="none","No","?")))</f>
        <v/>
      </c>
      <c r="X305" s="10" t="str">
        <f aca="false">IF(C305="","",IF(OR(E305="",E305="unknown"),D305,E305))</f>
        <v/>
      </c>
      <c r="Y305" s="10" t="str">
        <f aca="false">IF(C305="","",IF(OR(T305="unsuitable",T305="retired",X305="no"),"—",IF(J305="","unrated",IF(AND(X305="full",J305&gt;=Settings!$C$5,OR(O305="untested",O305&gt;=Settings!$C$6)),"A",IF(AND(OR(X305="full",X305="reduced"),J305&gt;=Settings!$C$7,OR(O305="untested",O305&gt;=Settings!$C$8)),"B","C")))))</f>
        <v/>
      </c>
      <c r="Z305" s="11" t="str">
        <f aca="false">IF(C305="","",IF(P305&lt;&gt;"",P305,Y305))</f>
        <v/>
      </c>
    </row>
    <row r="306" customFormat="false" ht="15" hidden="false" customHeight="false" outlineLevel="0" collapsed="false">
      <c r="A306" s="9"/>
      <c r="B306" s="10" t="str">
        <f aca="false">IF(A306="","",IFERROR(INDEX(Parks!$A$2:$A$255,MATCH(A306,Parks!$B$2:$B$255,0)),"?"))</f>
        <v/>
      </c>
      <c r="C306" s="9"/>
      <c r="D306" s="10" t="str">
        <f aca="false">IF(C306="","",IF(SUMPRODUCT(--ISNUMBER(SEARCH({"Nets","Wicket","Diamond","Softball","T-ball","Baseball","Netball","Tennis","Bocce","Pentaque","Petanque","Skate","Car Park","Pond","Bridle","Amphitheatre","Perimeter","Passive"},C306)))&gt;0,"no",IF(SUMPRODUCT(--ISNUMBER(SEARCH({"Cricket","Junior","Mini","Summer Football","Small"},C306)))&gt;0,"reduced",IF(SUMPRODUCT(--ISNUMBER(SEARCH({"Rugby","Football","League","Touch","Gaelic","Australian","Lacrosse","General Sport","Training Area","Ultimate"},C306)))&gt;0,"full","unknown"))))</f>
        <v/>
      </c>
      <c r="E306" s="9"/>
      <c r="F306" s="9"/>
      <c r="G306" s="9"/>
      <c r="H306" s="9"/>
      <c r="I306" s="12"/>
      <c r="J306" s="9"/>
      <c r="K306" s="9"/>
      <c r="L306" s="9"/>
      <c r="M306" s="9"/>
      <c r="N306" s="9"/>
      <c r="O306" s="13" t="str">
        <f aca="false">IF(C306="","",IF(N(M306)+N(N306)&lt;Settings!$C$9,"untested",M306/(M306+N306)))</f>
        <v/>
      </c>
      <c r="P306" s="9"/>
      <c r="Q306" s="9"/>
      <c r="R306" s="9"/>
      <c r="S306" s="12"/>
      <c r="T306" s="9"/>
      <c r="U306" s="9"/>
      <c r="V306" s="9"/>
      <c r="W306" s="10" t="str">
        <f aca="false">IF(C306="","",IF(OR(G306="training",G306="full"),"Yes",IF(G306="none","No","?")))</f>
        <v/>
      </c>
      <c r="X306" s="10" t="str">
        <f aca="false">IF(C306="","",IF(OR(E306="",E306="unknown"),D306,E306))</f>
        <v/>
      </c>
      <c r="Y306" s="10" t="str">
        <f aca="false">IF(C306="","",IF(OR(T306="unsuitable",T306="retired",X306="no"),"—",IF(J306="","unrated",IF(AND(X306="full",J306&gt;=Settings!$C$5,OR(O306="untested",O306&gt;=Settings!$C$6)),"A",IF(AND(OR(X306="full",X306="reduced"),J306&gt;=Settings!$C$7,OR(O306="untested",O306&gt;=Settings!$C$8)),"B","C")))))</f>
        <v/>
      </c>
      <c r="Z306" s="11" t="str">
        <f aca="false">IF(C306="","",IF(P306&lt;&gt;"",P306,Y306))</f>
        <v/>
      </c>
    </row>
    <row r="307" customFormat="false" ht="15" hidden="false" customHeight="false" outlineLevel="0" collapsed="false">
      <c r="A307" s="9"/>
      <c r="B307" s="10" t="str">
        <f aca="false">IF(A307="","",IFERROR(INDEX(Parks!$A$2:$A$255,MATCH(A307,Parks!$B$2:$B$255,0)),"?"))</f>
        <v/>
      </c>
      <c r="C307" s="9"/>
      <c r="D307" s="10" t="str">
        <f aca="false">IF(C307="","",IF(SUMPRODUCT(--ISNUMBER(SEARCH({"Nets","Wicket","Diamond","Softball","T-ball","Baseball","Netball","Tennis","Bocce","Pentaque","Petanque","Skate","Car Park","Pond","Bridle","Amphitheatre","Perimeter","Passive"},C307)))&gt;0,"no",IF(SUMPRODUCT(--ISNUMBER(SEARCH({"Cricket","Junior","Mini","Summer Football","Small"},C307)))&gt;0,"reduced",IF(SUMPRODUCT(--ISNUMBER(SEARCH({"Rugby","Football","League","Touch","Gaelic","Australian","Lacrosse","General Sport","Training Area","Ultimate"},C307)))&gt;0,"full","unknown"))))</f>
        <v/>
      </c>
      <c r="E307" s="9"/>
      <c r="F307" s="9"/>
      <c r="G307" s="9"/>
      <c r="H307" s="9"/>
      <c r="I307" s="12"/>
      <c r="J307" s="9"/>
      <c r="K307" s="9"/>
      <c r="L307" s="9"/>
      <c r="M307" s="9"/>
      <c r="N307" s="9"/>
      <c r="O307" s="13" t="str">
        <f aca="false">IF(C307="","",IF(N(M307)+N(N307)&lt;Settings!$C$9,"untested",M307/(M307+N307)))</f>
        <v/>
      </c>
      <c r="P307" s="9"/>
      <c r="Q307" s="9"/>
      <c r="R307" s="9"/>
      <c r="S307" s="12"/>
      <c r="T307" s="9"/>
      <c r="U307" s="9"/>
      <c r="V307" s="9"/>
      <c r="W307" s="10" t="str">
        <f aca="false">IF(C307="","",IF(OR(G307="training",G307="full"),"Yes",IF(G307="none","No","?")))</f>
        <v/>
      </c>
      <c r="X307" s="10" t="str">
        <f aca="false">IF(C307="","",IF(OR(E307="",E307="unknown"),D307,E307))</f>
        <v/>
      </c>
      <c r="Y307" s="10" t="str">
        <f aca="false">IF(C307="","",IF(OR(T307="unsuitable",T307="retired",X307="no"),"—",IF(J307="","unrated",IF(AND(X307="full",J307&gt;=Settings!$C$5,OR(O307="untested",O307&gt;=Settings!$C$6)),"A",IF(AND(OR(X307="full",X307="reduced"),J307&gt;=Settings!$C$7,OR(O307="untested",O307&gt;=Settings!$C$8)),"B","C")))))</f>
        <v/>
      </c>
      <c r="Z307" s="11" t="str">
        <f aca="false">IF(C307="","",IF(P307&lt;&gt;"",P307,Y307))</f>
        <v/>
      </c>
    </row>
    <row r="308" customFormat="false" ht="15" hidden="false" customHeight="false" outlineLevel="0" collapsed="false">
      <c r="A308" s="9"/>
      <c r="B308" s="10" t="str">
        <f aca="false">IF(A308="","",IFERROR(INDEX(Parks!$A$2:$A$255,MATCH(A308,Parks!$B$2:$B$255,0)),"?"))</f>
        <v/>
      </c>
      <c r="C308" s="9"/>
      <c r="D308" s="10" t="str">
        <f aca="false">IF(C308="","",IF(SUMPRODUCT(--ISNUMBER(SEARCH({"Nets","Wicket","Diamond","Softball","T-ball","Baseball","Netball","Tennis","Bocce","Pentaque","Petanque","Skate","Car Park","Pond","Bridle","Amphitheatre","Perimeter","Passive"},C308)))&gt;0,"no",IF(SUMPRODUCT(--ISNUMBER(SEARCH({"Cricket","Junior","Mini","Summer Football","Small"},C308)))&gt;0,"reduced",IF(SUMPRODUCT(--ISNUMBER(SEARCH({"Rugby","Football","League","Touch","Gaelic","Australian","Lacrosse","General Sport","Training Area","Ultimate"},C308)))&gt;0,"full","unknown"))))</f>
        <v/>
      </c>
      <c r="E308" s="9"/>
      <c r="F308" s="9"/>
      <c r="G308" s="9"/>
      <c r="H308" s="9"/>
      <c r="I308" s="12"/>
      <c r="J308" s="9"/>
      <c r="K308" s="9"/>
      <c r="L308" s="9"/>
      <c r="M308" s="9"/>
      <c r="N308" s="9"/>
      <c r="O308" s="13" t="str">
        <f aca="false">IF(C308="","",IF(N(M308)+N(N308)&lt;Settings!$C$9,"untested",M308/(M308+N308)))</f>
        <v/>
      </c>
      <c r="P308" s="9"/>
      <c r="Q308" s="9"/>
      <c r="R308" s="9"/>
      <c r="S308" s="12"/>
      <c r="T308" s="9"/>
      <c r="U308" s="9"/>
      <c r="V308" s="9"/>
      <c r="W308" s="10" t="str">
        <f aca="false">IF(C308="","",IF(OR(G308="training",G308="full"),"Yes",IF(G308="none","No","?")))</f>
        <v/>
      </c>
      <c r="X308" s="10" t="str">
        <f aca="false">IF(C308="","",IF(OR(E308="",E308="unknown"),D308,E308))</f>
        <v/>
      </c>
      <c r="Y308" s="10" t="str">
        <f aca="false">IF(C308="","",IF(OR(T308="unsuitable",T308="retired",X308="no"),"—",IF(J308="","unrated",IF(AND(X308="full",J308&gt;=Settings!$C$5,OR(O308="untested",O308&gt;=Settings!$C$6)),"A",IF(AND(OR(X308="full",X308="reduced"),J308&gt;=Settings!$C$7,OR(O308="untested",O308&gt;=Settings!$C$8)),"B","C")))))</f>
        <v/>
      </c>
      <c r="Z308" s="11" t="str">
        <f aca="false">IF(C308="","",IF(P308&lt;&gt;"",P308,Y308))</f>
        <v/>
      </c>
    </row>
    <row r="309" customFormat="false" ht="15" hidden="false" customHeight="false" outlineLevel="0" collapsed="false">
      <c r="A309" s="9"/>
      <c r="B309" s="10" t="str">
        <f aca="false">IF(A309="","",IFERROR(INDEX(Parks!$A$2:$A$255,MATCH(A309,Parks!$B$2:$B$255,0)),"?"))</f>
        <v/>
      </c>
      <c r="C309" s="9"/>
      <c r="D309" s="10" t="str">
        <f aca="false">IF(C309="","",IF(SUMPRODUCT(--ISNUMBER(SEARCH({"Nets","Wicket","Diamond","Softball","T-ball","Baseball","Netball","Tennis","Bocce","Pentaque","Petanque","Skate","Car Park","Pond","Bridle","Amphitheatre","Perimeter","Passive"},C309)))&gt;0,"no",IF(SUMPRODUCT(--ISNUMBER(SEARCH({"Cricket","Junior","Mini","Summer Football","Small"},C309)))&gt;0,"reduced",IF(SUMPRODUCT(--ISNUMBER(SEARCH({"Rugby","Football","League","Touch","Gaelic","Australian","Lacrosse","General Sport","Training Area","Ultimate"},C309)))&gt;0,"full","unknown"))))</f>
        <v/>
      </c>
      <c r="E309" s="9"/>
      <c r="F309" s="9"/>
      <c r="G309" s="9"/>
      <c r="H309" s="9"/>
      <c r="I309" s="12"/>
      <c r="J309" s="9"/>
      <c r="K309" s="9"/>
      <c r="L309" s="9"/>
      <c r="M309" s="9"/>
      <c r="N309" s="9"/>
      <c r="O309" s="13" t="str">
        <f aca="false">IF(C309="","",IF(N(M309)+N(N309)&lt;Settings!$C$9,"untested",M309/(M309+N309)))</f>
        <v/>
      </c>
      <c r="P309" s="9"/>
      <c r="Q309" s="9"/>
      <c r="R309" s="9"/>
      <c r="S309" s="12"/>
      <c r="T309" s="9"/>
      <c r="U309" s="9"/>
      <c r="V309" s="9"/>
      <c r="W309" s="10" t="str">
        <f aca="false">IF(C309="","",IF(OR(G309="training",G309="full"),"Yes",IF(G309="none","No","?")))</f>
        <v/>
      </c>
      <c r="X309" s="10" t="str">
        <f aca="false">IF(C309="","",IF(OR(E309="",E309="unknown"),D309,E309))</f>
        <v/>
      </c>
      <c r="Y309" s="10" t="str">
        <f aca="false">IF(C309="","",IF(OR(T309="unsuitable",T309="retired",X309="no"),"—",IF(J309="","unrated",IF(AND(X309="full",J309&gt;=Settings!$C$5,OR(O309="untested",O309&gt;=Settings!$C$6)),"A",IF(AND(OR(X309="full",X309="reduced"),J309&gt;=Settings!$C$7,OR(O309="untested",O309&gt;=Settings!$C$8)),"B","C")))))</f>
        <v/>
      </c>
      <c r="Z309" s="11" t="str">
        <f aca="false">IF(C309="","",IF(P309&lt;&gt;"",P309,Y309))</f>
        <v/>
      </c>
    </row>
    <row r="310" customFormat="false" ht="15" hidden="false" customHeight="false" outlineLevel="0" collapsed="false">
      <c r="A310" s="9"/>
      <c r="B310" s="10" t="str">
        <f aca="false">IF(A310="","",IFERROR(INDEX(Parks!$A$2:$A$255,MATCH(A310,Parks!$B$2:$B$255,0)),"?"))</f>
        <v/>
      </c>
      <c r="C310" s="9"/>
      <c r="D310" s="10" t="str">
        <f aca="false">IF(C310="","",IF(SUMPRODUCT(--ISNUMBER(SEARCH({"Nets","Wicket","Diamond","Softball","T-ball","Baseball","Netball","Tennis","Bocce","Pentaque","Petanque","Skate","Car Park","Pond","Bridle","Amphitheatre","Perimeter","Passive"},C310)))&gt;0,"no",IF(SUMPRODUCT(--ISNUMBER(SEARCH({"Cricket","Junior","Mini","Summer Football","Small"},C310)))&gt;0,"reduced",IF(SUMPRODUCT(--ISNUMBER(SEARCH({"Rugby","Football","League","Touch","Gaelic","Australian","Lacrosse","General Sport","Training Area","Ultimate"},C310)))&gt;0,"full","unknown"))))</f>
        <v/>
      </c>
      <c r="E310" s="9"/>
      <c r="F310" s="9"/>
      <c r="G310" s="9"/>
      <c r="H310" s="9"/>
      <c r="I310" s="12"/>
      <c r="J310" s="9"/>
      <c r="K310" s="9"/>
      <c r="L310" s="9"/>
      <c r="M310" s="9"/>
      <c r="N310" s="9"/>
      <c r="O310" s="13" t="str">
        <f aca="false">IF(C310="","",IF(N(M310)+N(N310)&lt;Settings!$C$9,"untested",M310/(M310+N310)))</f>
        <v/>
      </c>
      <c r="P310" s="9"/>
      <c r="Q310" s="9"/>
      <c r="R310" s="9"/>
      <c r="S310" s="12"/>
      <c r="T310" s="9"/>
      <c r="U310" s="9"/>
      <c r="V310" s="9"/>
      <c r="W310" s="10" t="str">
        <f aca="false">IF(C310="","",IF(OR(G310="training",G310="full"),"Yes",IF(G310="none","No","?")))</f>
        <v/>
      </c>
      <c r="X310" s="10" t="str">
        <f aca="false">IF(C310="","",IF(OR(E310="",E310="unknown"),D310,E310))</f>
        <v/>
      </c>
      <c r="Y310" s="10" t="str">
        <f aca="false">IF(C310="","",IF(OR(T310="unsuitable",T310="retired",X310="no"),"—",IF(J310="","unrated",IF(AND(X310="full",J310&gt;=Settings!$C$5,OR(O310="untested",O310&gt;=Settings!$C$6)),"A",IF(AND(OR(X310="full",X310="reduced"),J310&gt;=Settings!$C$7,OR(O310="untested",O310&gt;=Settings!$C$8)),"B","C")))))</f>
        <v/>
      </c>
      <c r="Z310" s="11" t="str">
        <f aca="false">IF(C310="","",IF(P310&lt;&gt;"",P310,Y310))</f>
        <v/>
      </c>
    </row>
    <row r="311" customFormat="false" ht="15" hidden="false" customHeight="false" outlineLevel="0" collapsed="false">
      <c r="A311" s="9"/>
      <c r="B311" s="10" t="str">
        <f aca="false">IF(A311="","",IFERROR(INDEX(Parks!$A$2:$A$255,MATCH(A311,Parks!$B$2:$B$255,0)),"?"))</f>
        <v/>
      </c>
      <c r="C311" s="9"/>
      <c r="D311" s="10" t="str">
        <f aca="false">IF(C311="","",IF(SUMPRODUCT(--ISNUMBER(SEARCH({"Nets","Wicket","Diamond","Softball","T-ball","Baseball","Netball","Tennis","Bocce","Pentaque","Petanque","Skate","Car Park","Pond","Bridle","Amphitheatre","Perimeter","Passive"},C311)))&gt;0,"no",IF(SUMPRODUCT(--ISNUMBER(SEARCH({"Cricket","Junior","Mini","Summer Football","Small"},C311)))&gt;0,"reduced",IF(SUMPRODUCT(--ISNUMBER(SEARCH({"Rugby","Football","League","Touch","Gaelic","Australian","Lacrosse","General Sport","Training Area","Ultimate"},C311)))&gt;0,"full","unknown"))))</f>
        <v/>
      </c>
      <c r="E311" s="9"/>
      <c r="F311" s="9"/>
      <c r="G311" s="9"/>
      <c r="H311" s="9"/>
      <c r="I311" s="12"/>
      <c r="J311" s="9"/>
      <c r="K311" s="9"/>
      <c r="L311" s="9"/>
      <c r="M311" s="9"/>
      <c r="N311" s="9"/>
      <c r="O311" s="13" t="str">
        <f aca="false">IF(C311="","",IF(N(M311)+N(N311)&lt;Settings!$C$9,"untested",M311/(M311+N311)))</f>
        <v/>
      </c>
      <c r="P311" s="9"/>
      <c r="Q311" s="9"/>
      <c r="R311" s="9"/>
      <c r="S311" s="12"/>
      <c r="T311" s="9"/>
      <c r="U311" s="9"/>
      <c r="V311" s="9"/>
      <c r="W311" s="10" t="str">
        <f aca="false">IF(C311="","",IF(OR(G311="training",G311="full"),"Yes",IF(G311="none","No","?")))</f>
        <v/>
      </c>
      <c r="X311" s="10" t="str">
        <f aca="false">IF(C311="","",IF(OR(E311="",E311="unknown"),D311,E311))</f>
        <v/>
      </c>
      <c r="Y311" s="10" t="str">
        <f aca="false">IF(C311="","",IF(OR(T311="unsuitable",T311="retired",X311="no"),"—",IF(J311="","unrated",IF(AND(X311="full",J311&gt;=Settings!$C$5,OR(O311="untested",O311&gt;=Settings!$C$6)),"A",IF(AND(OR(X311="full",X311="reduced"),J311&gt;=Settings!$C$7,OR(O311="untested",O311&gt;=Settings!$C$8)),"B","C")))))</f>
        <v/>
      </c>
      <c r="Z311" s="11" t="str">
        <f aca="false">IF(C311="","",IF(P311&lt;&gt;"",P311,Y311))</f>
        <v/>
      </c>
    </row>
    <row r="312" customFormat="false" ht="15" hidden="false" customHeight="false" outlineLevel="0" collapsed="false">
      <c r="A312" s="9"/>
      <c r="B312" s="10" t="str">
        <f aca="false">IF(A312="","",IFERROR(INDEX(Parks!$A$2:$A$255,MATCH(A312,Parks!$B$2:$B$255,0)),"?"))</f>
        <v/>
      </c>
      <c r="C312" s="9"/>
      <c r="D312" s="10" t="str">
        <f aca="false">IF(C312="","",IF(SUMPRODUCT(--ISNUMBER(SEARCH({"Nets","Wicket","Diamond","Softball","T-ball","Baseball","Netball","Tennis","Bocce","Pentaque","Petanque","Skate","Car Park","Pond","Bridle","Amphitheatre","Perimeter","Passive"},C312)))&gt;0,"no",IF(SUMPRODUCT(--ISNUMBER(SEARCH({"Cricket","Junior","Mini","Summer Football","Small"},C312)))&gt;0,"reduced",IF(SUMPRODUCT(--ISNUMBER(SEARCH({"Rugby","Football","League","Touch","Gaelic","Australian","Lacrosse","General Sport","Training Area","Ultimate"},C312)))&gt;0,"full","unknown"))))</f>
        <v/>
      </c>
      <c r="E312" s="9"/>
      <c r="F312" s="9"/>
      <c r="G312" s="9"/>
      <c r="H312" s="9"/>
      <c r="I312" s="12"/>
      <c r="J312" s="9"/>
      <c r="K312" s="9"/>
      <c r="L312" s="9"/>
      <c r="M312" s="9"/>
      <c r="N312" s="9"/>
      <c r="O312" s="13" t="str">
        <f aca="false">IF(C312="","",IF(N(M312)+N(N312)&lt;Settings!$C$9,"untested",M312/(M312+N312)))</f>
        <v/>
      </c>
      <c r="P312" s="9"/>
      <c r="Q312" s="9"/>
      <c r="R312" s="9"/>
      <c r="S312" s="12"/>
      <c r="T312" s="9"/>
      <c r="U312" s="9"/>
      <c r="V312" s="9"/>
      <c r="W312" s="10" t="str">
        <f aca="false">IF(C312="","",IF(OR(G312="training",G312="full"),"Yes",IF(G312="none","No","?")))</f>
        <v/>
      </c>
      <c r="X312" s="10" t="str">
        <f aca="false">IF(C312="","",IF(OR(E312="",E312="unknown"),D312,E312))</f>
        <v/>
      </c>
      <c r="Y312" s="10" t="str">
        <f aca="false">IF(C312="","",IF(OR(T312="unsuitable",T312="retired",X312="no"),"—",IF(J312="","unrated",IF(AND(X312="full",J312&gt;=Settings!$C$5,OR(O312="untested",O312&gt;=Settings!$C$6)),"A",IF(AND(OR(X312="full",X312="reduced"),J312&gt;=Settings!$C$7,OR(O312="untested",O312&gt;=Settings!$C$8)),"B","C")))))</f>
        <v/>
      </c>
      <c r="Z312" s="11" t="str">
        <f aca="false">IF(C312="","",IF(P312&lt;&gt;"",P312,Y312))</f>
        <v/>
      </c>
    </row>
    <row r="313" customFormat="false" ht="15" hidden="false" customHeight="false" outlineLevel="0" collapsed="false">
      <c r="A313" s="9"/>
      <c r="B313" s="10" t="str">
        <f aca="false">IF(A313="","",IFERROR(INDEX(Parks!$A$2:$A$255,MATCH(A313,Parks!$B$2:$B$255,0)),"?"))</f>
        <v/>
      </c>
      <c r="C313" s="9"/>
      <c r="D313" s="10" t="str">
        <f aca="false">IF(C313="","",IF(SUMPRODUCT(--ISNUMBER(SEARCH({"Nets","Wicket","Diamond","Softball","T-ball","Baseball","Netball","Tennis","Bocce","Pentaque","Petanque","Skate","Car Park","Pond","Bridle","Amphitheatre","Perimeter","Passive"},C313)))&gt;0,"no",IF(SUMPRODUCT(--ISNUMBER(SEARCH({"Cricket","Junior","Mini","Summer Football","Small"},C313)))&gt;0,"reduced",IF(SUMPRODUCT(--ISNUMBER(SEARCH({"Rugby","Football","League","Touch","Gaelic","Australian","Lacrosse","General Sport","Training Area","Ultimate"},C313)))&gt;0,"full","unknown"))))</f>
        <v/>
      </c>
      <c r="E313" s="9"/>
      <c r="F313" s="9"/>
      <c r="G313" s="9"/>
      <c r="H313" s="9"/>
      <c r="I313" s="12"/>
      <c r="J313" s="9"/>
      <c r="K313" s="9"/>
      <c r="L313" s="9"/>
      <c r="M313" s="9"/>
      <c r="N313" s="9"/>
      <c r="O313" s="13" t="str">
        <f aca="false">IF(C313="","",IF(N(M313)+N(N313)&lt;Settings!$C$9,"untested",M313/(M313+N313)))</f>
        <v/>
      </c>
      <c r="P313" s="9"/>
      <c r="Q313" s="9"/>
      <c r="R313" s="9"/>
      <c r="S313" s="12"/>
      <c r="T313" s="9"/>
      <c r="U313" s="9"/>
      <c r="V313" s="9"/>
      <c r="W313" s="10" t="str">
        <f aca="false">IF(C313="","",IF(OR(G313="training",G313="full"),"Yes",IF(G313="none","No","?")))</f>
        <v/>
      </c>
      <c r="X313" s="10" t="str">
        <f aca="false">IF(C313="","",IF(OR(E313="",E313="unknown"),D313,E313))</f>
        <v/>
      </c>
      <c r="Y313" s="10" t="str">
        <f aca="false">IF(C313="","",IF(OR(T313="unsuitable",T313="retired",X313="no"),"—",IF(J313="","unrated",IF(AND(X313="full",J313&gt;=Settings!$C$5,OR(O313="untested",O313&gt;=Settings!$C$6)),"A",IF(AND(OR(X313="full",X313="reduced"),J313&gt;=Settings!$C$7,OR(O313="untested",O313&gt;=Settings!$C$8)),"B","C")))))</f>
        <v/>
      </c>
      <c r="Z313" s="11" t="str">
        <f aca="false">IF(C313="","",IF(P313&lt;&gt;"",P313,Y313))</f>
        <v/>
      </c>
    </row>
    <row r="314" customFormat="false" ht="15" hidden="false" customHeight="false" outlineLevel="0" collapsed="false">
      <c r="A314" s="9"/>
      <c r="B314" s="10" t="str">
        <f aca="false">IF(A314="","",IFERROR(INDEX(Parks!$A$2:$A$255,MATCH(A314,Parks!$B$2:$B$255,0)),"?"))</f>
        <v/>
      </c>
      <c r="C314" s="9"/>
      <c r="D314" s="10" t="str">
        <f aca="false">IF(C314="","",IF(SUMPRODUCT(--ISNUMBER(SEARCH({"Nets","Wicket","Diamond","Softball","T-ball","Baseball","Netball","Tennis","Bocce","Pentaque","Petanque","Skate","Car Park","Pond","Bridle","Amphitheatre","Perimeter","Passive"},C314)))&gt;0,"no",IF(SUMPRODUCT(--ISNUMBER(SEARCH({"Cricket","Junior","Mini","Summer Football","Small"},C314)))&gt;0,"reduced",IF(SUMPRODUCT(--ISNUMBER(SEARCH({"Rugby","Football","League","Touch","Gaelic","Australian","Lacrosse","General Sport","Training Area","Ultimate"},C314)))&gt;0,"full","unknown"))))</f>
        <v/>
      </c>
      <c r="E314" s="9"/>
      <c r="F314" s="9"/>
      <c r="G314" s="9"/>
      <c r="H314" s="9"/>
      <c r="I314" s="12"/>
      <c r="J314" s="9"/>
      <c r="K314" s="9"/>
      <c r="L314" s="9"/>
      <c r="M314" s="9"/>
      <c r="N314" s="9"/>
      <c r="O314" s="13" t="str">
        <f aca="false">IF(C314="","",IF(N(M314)+N(N314)&lt;Settings!$C$9,"untested",M314/(M314+N314)))</f>
        <v/>
      </c>
      <c r="P314" s="9"/>
      <c r="Q314" s="9"/>
      <c r="R314" s="9"/>
      <c r="S314" s="12"/>
      <c r="T314" s="9"/>
      <c r="U314" s="9"/>
      <c r="V314" s="9"/>
      <c r="W314" s="10" t="str">
        <f aca="false">IF(C314="","",IF(OR(G314="training",G314="full"),"Yes",IF(G314="none","No","?")))</f>
        <v/>
      </c>
      <c r="X314" s="10" t="str">
        <f aca="false">IF(C314="","",IF(OR(E314="",E314="unknown"),D314,E314))</f>
        <v/>
      </c>
      <c r="Y314" s="10" t="str">
        <f aca="false">IF(C314="","",IF(OR(T314="unsuitable",T314="retired",X314="no"),"—",IF(J314="","unrated",IF(AND(X314="full",J314&gt;=Settings!$C$5,OR(O314="untested",O314&gt;=Settings!$C$6)),"A",IF(AND(OR(X314="full",X314="reduced"),J314&gt;=Settings!$C$7,OR(O314="untested",O314&gt;=Settings!$C$8)),"B","C")))))</f>
        <v/>
      </c>
      <c r="Z314" s="11" t="str">
        <f aca="false">IF(C314="","",IF(P314&lt;&gt;"",P314,Y314))</f>
        <v/>
      </c>
    </row>
    <row r="315" customFormat="false" ht="15" hidden="false" customHeight="false" outlineLevel="0" collapsed="false">
      <c r="A315" s="9"/>
      <c r="B315" s="10" t="str">
        <f aca="false">IF(A315="","",IFERROR(INDEX(Parks!$A$2:$A$255,MATCH(A315,Parks!$B$2:$B$255,0)),"?"))</f>
        <v/>
      </c>
      <c r="C315" s="9"/>
      <c r="D315" s="10" t="str">
        <f aca="false">IF(C315="","",IF(SUMPRODUCT(--ISNUMBER(SEARCH({"Nets","Wicket","Diamond","Softball","T-ball","Baseball","Netball","Tennis","Bocce","Pentaque","Petanque","Skate","Car Park","Pond","Bridle","Amphitheatre","Perimeter","Passive"},C315)))&gt;0,"no",IF(SUMPRODUCT(--ISNUMBER(SEARCH({"Cricket","Junior","Mini","Summer Football","Small"},C315)))&gt;0,"reduced",IF(SUMPRODUCT(--ISNUMBER(SEARCH({"Rugby","Football","League","Touch","Gaelic","Australian","Lacrosse","General Sport","Training Area","Ultimate"},C315)))&gt;0,"full","unknown"))))</f>
        <v/>
      </c>
      <c r="E315" s="9"/>
      <c r="F315" s="9"/>
      <c r="G315" s="9"/>
      <c r="H315" s="9"/>
      <c r="I315" s="12"/>
      <c r="J315" s="9"/>
      <c r="K315" s="9"/>
      <c r="L315" s="9"/>
      <c r="M315" s="9"/>
      <c r="N315" s="9"/>
      <c r="O315" s="13" t="str">
        <f aca="false">IF(C315="","",IF(N(M315)+N(N315)&lt;Settings!$C$9,"untested",M315/(M315+N315)))</f>
        <v/>
      </c>
      <c r="P315" s="9"/>
      <c r="Q315" s="9"/>
      <c r="R315" s="9"/>
      <c r="S315" s="12"/>
      <c r="T315" s="9"/>
      <c r="U315" s="9"/>
      <c r="V315" s="9"/>
      <c r="W315" s="10" t="str">
        <f aca="false">IF(C315="","",IF(OR(G315="training",G315="full"),"Yes",IF(G315="none","No","?")))</f>
        <v/>
      </c>
      <c r="X315" s="10" t="str">
        <f aca="false">IF(C315="","",IF(OR(E315="",E315="unknown"),D315,E315))</f>
        <v/>
      </c>
      <c r="Y315" s="10" t="str">
        <f aca="false">IF(C315="","",IF(OR(T315="unsuitable",T315="retired",X315="no"),"—",IF(J315="","unrated",IF(AND(X315="full",J315&gt;=Settings!$C$5,OR(O315="untested",O315&gt;=Settings!$C$6)),"A",IF(AND(OR(X315="full",X315="reduced"),J315&gt;=Settings!$C$7,OR(O315="untested",O315&gt;=Settings!$C$8)),"B","C")))))</f>
        <v/>
      </c>
      <c r="Z315" s="11" t="str">
        <f aca="false">IF(C315="","",IF(P315&lt;&gt;"",P315,Y315))</f>
        <v/>
      </c>
    </row>
    <row r="316" customFormat="false" ht="15" hidden="false" customHeight="false" outlineLevel="0" collapsed="false">
      <c r="A316" s="9"/>
      <c r="B316" s="10" t="str">
        <f aca="false">IF(A316="","",IFERROR(INDEX(Parks!$A$2:$A$255,MATCH(A316,Parks!$B$2:$B$255,0)),"?"))</f>
        <v/>
      </c>
      <c r="C316" s="9"/>
      <c r="D316" s="10" t="str">
        <f aca="false">IF(C316="","",IF(SUMPRODUCT(--ISNUMBER(SEARCH({"Nets","Wicket","Diamond","Softball","T-ball","Baseball","Netball","Tennis","Bocce","Pentaque","Petanque","Skate","Car Park","Pond","Bridle","Amphitheatre","Perimeter","Passive"},C316)))&gt;0,"no",IF(SUMPRODUCT(--ISNUMBER(SEARCH({"Cricket","Junior","Mini","Summer Football","Small"},C316)))&gt;0,"reduced",IF(SUMPRODUCT(--ISNUMBER(SEARCH({"Rugby","Football","League","Touch","Gaelic","Australian","Lacrosse","General Sport","Training Area","Ultimate"},C316)))&gt;0,"full","unknown"))))</f>
        <v/>
      </c>
      <c r="E316" s="9"/>
      <c r="F316" s="9"/>
      <c r="G316" s="9"/>
      <c r="H316" s="9"/>
      <c r="I316" s="12"/>
      <c r="J316" s="9"/>
      <c r="K316" s="9"/>
      <c r="L316" s="9"/>
      <c r="M316" s="9"/>
      <c r="N316" s="9"/>
      <c r="O316" s="13" t="str">
        <f aca="false">IF(C316="","",IF(N(M316)+N(N316)&lt;Settings!$C$9,"untested",M316/(M316+N316)))</f>
        <v/>
      </c>
      <c r="P316" s="9"/>
      <c r="Q316" s="9"/>
      <c r="R316" s="9"/>
      <c r="S316" s="12"/>
      <c r="T316" s="9"/>
      <c r="U316" s="9"/>
      <c r="V316" s="9"/>
      <c r="W316" s="10" t="str">
        <f aca="false">IF(C316="","",IF(OR(G316="training",G316="full"),"Yes",IF(G316="none","No","?")))</f>
        <v/>
      </c>
      <c r="X316" s="10" t="str">
        <f aca="false">IF(C316="","",IF(OR(E316="",E316="unknown"),D316,E316))</f>
        <v/>
      </c>
      <c r="Y316" s="10" t="str">
        <f aca="false">IF(C316="","",IF(OR(T316="unsuitable",T316="retired",X316="no"),"—",IF(J316="","unrated",IF(AND(X316="full",J316&gt;=Settings!$C$5,OR(O316="untested",O316&gt;=Settings!$C$6)),"A",IF(AND(OR(X316="full",X316="reduced"),J316&gt;=Settings!$C$7,OR(O316="untested",O316&gt;=Settings!$C$8)),"B","C")))))</f>
        <v/>
      </c>
      <c r="Z316" s="11" t="str">
        <f aca="false">IF(C316="","",IF(P316&lt;&gt;"",P316,Y316))</f>
        <v/>
      </c>
    </row>
    <row r="317" customFormat="false" ht="15" hidden="false" customHeight="false" outlineLevel="0" collapsed="false">
      <c r="A317" s="9"/>
      <c r="B317" s="10" t="str">
        <f aca="false">IF(A317="","",IFERROR(INDEX(Parks!$A$2:$A$255,MATCH(A317,Parks!$B$2:$B$255,0)),"?"))</f>
        <v/>
      </c>
      <c r="C317" s="9"/>
      <c r="D317" s="10" t="str">
        <f aca="false">IF(C317="","",IF(SUMPRODUCT(--ISNUMBER(SEARCH({"Nets","Wicket","Diamond","Softball","T-ball","Baseball","Netball","Tennis","Bocce","Pentaque","Petanque","Skate","Car Park","Pond","Bridle","Amphitheatre","Perimeter","Passive"},C317)))&gt;0,"no",IF(SUMPRODUCT(--ISNUMBER(SEARCH({"Cricket","Junior","Mini","Summer Football","Small"},C317)))&gt;0,"reduced",IF(SUMPRODUCT(--ISNUMBER(SEARCH({"Rugby","Football","League","Touch","Gaelic","Australian","Lacrosse","General Sport","Training Area","Ultimate"},C317)))&gt;0,"full","unknown"))))</f>
        <v/>
      </c>
      <c r="E317" s="9"/>
      <c r="F317" s="9"/>
      <c r="G317" s="9"/>
      <c r="H317" s="9"/>
      <c r="I317" s="12"/>
      <c r="J317" s="9"/>
      <c r="K317" s="9"/>
      <c r="L317" s="9"/>
      <c r="M317" s="9"/>
      <c r="N317" s="9"/>
      <c r="O317" s="13" t="str">
        <f aca="false">IF(C317="","",IF(N(M317)+N(N317)&lt;Settings!$C$9,"untested",M317/(M317+N317)))</f>
        <v/>
      </c>
      <c r="P317" s="9"/>
      <c r="Q317" s="9"/>
      <c r="R317" s="9"/>
      <c r="S317" s="12"/>
      <c r="T317" s="9"/>
      <c r="U317" s="9"/>
      <c r="V317" s="9"/>
      <c r="W317" s="10" t="str">
        <f aca="false">IF(C317="","",IF(OR(G317="training",G317="full"),"Yes",IF(G317="none","No","?")))</f>
        <v/>
      </c>
      <c r="X317" s="10" t="str">
        <f aca="false">IF(C317="","",IF(OR(E317="",E317="unknown"),D317,E317))</f>
        <v/>
      </c>
      <c r="Y317" s="10" t="str">
        <f aca="false">IF(C317="","",IF(OR(T317="unsuitable",T317="retired",X317="no"),"—",IF(J317="","unrated",IF(AND(X317="full",J317&gt;=Settings!$C$5,OR(O317="untested",O317&gt;=Settings!$C$6)),"A",IF(AND(OR(X317="full",X317="reduced"),J317&gt;=Settings!$C$7,OR(O317="untested",O317&gt;=Settings!$C$8)),"B","C")))))</f>
        <v/>
      </c>
      <c r="Z317" s="11" t="str">
        <f aca="false">IF(C317="","",IF(P317&lt;&gt;"",P317,Y317))</f>
        <v/>
      </c>
    </row>
    <row r="318" customFormat="false" ht="15" hidden="false" customHeight="false" outlineLevel="0" collapsed="false">
      <c r="A318" s="9"/>
      <c r="B318" s="10" t="str">
        <f aca="false">IF(A318="","",IFERROR(INDEX(Parks!$A$2:$A$255,MATCH(A318,Parks!$B$2:$B$255,0)),"?"))</f>
        <v/>
      </c>
      <c r="C318" s="9"/>
      <c r="D318" s="10" t="str">
        <f aca="false">IF(C318="","",IF(SUMPRODUCT(--ISNUMBER(SEARCH({"Nets","Wicket","Diamond","Softball","T-ball","Baseball","Netball","Tennis","Bocce","Pentaque","Petanque","Skate","Car Park","Pond","Bridle","Amphitheatre","Perimeter","Passive"},C318)))&gt;0,"no",IF(SUMPRODUCT(--ISNUMBER(SEARCH({"Cricket","Junior","Mini","Summer Football","Small"},C318)))&gt;0,"reduced",IF(SUMPRODUCT(--ISNUMBER(SEARCH({"Rugby","Football","League","Touch","Gaelic","Australian","Lacrosse","General Sport","Training Area","Ultimate"},C318)))&gt;0,"full","unknown"))))</f>
        <v/>
      </c>
      <c r="E318" s="9"/>
      <c r="F318" s="9"/>
      <c r="G318" s="9"/>
      <c r="H318" s="9"/>
      <c r="I318" s="12"/>
      <c r="J318" s="9"/>
      <c r="K318" s="9"/>
      <c r="L318" s="9"/>
      <c r="M318" s="9"/>
      <c r="N318" s="9"/>
      <c r="O318" s="13" t="str">
        <f aca="false">IF(C318="","",IF(N(M318)+N(N318)&lt;Settings!$C$9,"untested",M318/(M318+N318)))</f>
        <v/>
      </c>
      <c r="P318" s="9"/>
      <c r="Q318" s="9"/>
      <c r="R318" s="9"/>
      <c r="S318" s="12"/>
      <c r="T318" s="9"/>
      <c r="U318" s="9"/>
      <c r="V318" s="9"/>
      <c r="W318" s="10" t="str">
        <f aca="false">IF(C318="","",IF(OR(G318="training",G318="full"),"Yes",IF(G318="none","No","?")))</f>
        <v/>
      </c>
      <c r="X318" s="10" t="str">
        <f aca="false">IF(C318="","",IF(OR(E318="",E318="unknown"),D318,E318))</f>
        <v/>
      </c>
      <c r="Y318" s="10" t="str">
        <f aca="false">IF(C318="","",IF(OR(T318="unsuitable",T318="retired",X318="no"),"—",IF(J318="","unrated",IF(AND(X318="full",J318&gt;=Settings!$C$5,OR(O318="untested",O318&gt;=Settings!$C$6)),"A",IF(AND(OR(X318="full",X318="reduced"),J318&gt;=Settings!$C$7,OR(O318="untested",O318&gt;=Settings!$C$8)),"B","C")))))</f>
        <v/>
      </c>
      <c r="Z318" s="11" t="str">
        <f aca="false">IF(C318="","",IF(P318&lt;&gt;"",P318,Y318))</f>
        <v/>
      </c>
    </row>
    <row r="319" customFormat="false" ht="15" hidden="false" customHeight="false" outlineLevel="0" collapsed="false">
      <c r="A319" s="9"/>
      <c r="B319" s="10" t="str">
        <f aca="false">IF(A319="","",IFERROR(INDEX(Parks!$A$2:$A$255,MATCH(A319,Parks!$B$2:$B$255,0)),"?"))</f>
        <v/>
      </c>
      <c r="C319" s="9"/>
      <c r="D319" s="10" t="str">
        <f aca="false">IF(C319="","",IF(SUMPRODUCT(--ISNUMBER(SEARCH({"Nets","Wicket","Diamond","Softball","T-ball","Baseball","Netball","Tennis","Bocce","Pentaque","Petanque","Skate","Car Park","Pond","Bridle","Amphitheatre","Perimeter","Passive"},C319)))&gt;0,"no",IF(SUMPRODUCT(--ISNUMBER(SEARCH({"Cricket","Junior","Mini","Summer Football","Small"},C319)))&gt;0,"reduced",IF(SUMPRODUCT(--ISNUMBER(SEARCH({"Rugby","Football","League","Touch","Gaelic","Australian","Lacrosse","General Sport","Training Area","Ultimate"},C319)))&gt;0,"full","unknown"))))</f>
        <v/>
      </c>
      <c r="E319" s="9"/>
      <c r="F319" s="9"/>
      <c r="G319" s="9"/>
      <c r="H319" s="9"/>
      <c r="I319" s="12"/>
      <c r="J319" s="9"/>
      <c r="K319" s="9"/>
      <c r="L319" s="9"/>
      <c r="M319" s="9"/>
      <c r="N319" s="9"/>
      <c r="O319" s="13" t="str">
        <f aca="false">IF(C319="","",IF(N(M319)+N(N319)&lt;Settings!$C$9,"untested",M319/(M319+N319)))</f>
        <v/>
      </c>
      <c r="P319" s="9"/>
      <c r="Q319" s="9"/>
      <c r="R319" s="9"/>
      <c r="S319" s="12"/>
      <c r="T319" s="9"/>
      <c r="U319" s="9"/>
      <c r="V319" s="9"/>
      <c r="W319" s="10" t="str">
        <f aca="false">IF(C319="","",IF(OR(G319="training",G319="full"),"Yes",IF(G319="none","No","?")))</f>
        <v/>
      </c>
      <c r="X319" s="10" t="str">
        <f aca="false">IF(C319="","",IF(OR(E319="",E319="unknown"),D319,E319))</f>
        <v/>
      </c>
      <c r="Y319" s="10" t="str">
        <f aca="false">IF(C319="","",IF(OR(T319="unsuitable",T319="retired",X319="no"),"—",IF(J319="","unrated",IF(AND(X319="full",J319&gt;=Settings!$C$5,OR(O319="untested",O319&gt;=Settings!$C$6)),"A",IF(AND(OR(X319="full",X319="reduced"),J319&gt;=Settings!$C$7,OR(O319="untested",O319&gt;=Settings!$C$8)),"B","C")))))</f>
        <v/>
      </c>
      <c r="Z319" s="11" t="str">
        <f aca="false">IF(C319="","",IF(P319&lt;&gt;"",P319,Y319))</f>
        <v/>
      </c>
    </row>
    <row r="320" customFormat="false" ht="15" hidden="false" customHeight="false" outlineLevel="0" collapsed="false">
      <c r="A320" s="9"/>
      <c r="B320" s="10" t="str">
        <f aca="false">IF(A320="","",IFERROR(INDEX(Parks!$A$2:$A$255,MATCH(A320,Parks!$B$2:$B$255,0)),"?"))</f>
        <v/>
      </c>
      <c r="C320" s="9"/>
      <c r="D320" s="10" t="str">
        <f aca="false">IF(C320="","",IF(SUMPRODUCT(--ISNUMBER(SEARCH({"Nets","Wicket","Diamond","Softball","T-ball","Baseball","Netball","Tennis","Bocce","Pentaque","Petanque","Skate","Car Park","Pond","Bridle","Amphitheatre","Perimeter","Passive"},C320)))&gt;0,"no",IF(SUMPRODUCT(--ISNUMBER(SEARCH({"Cricket","Junior","Mini","Summer Football","Small"},C320)))&gt;0,"reduced",IF(SUMPRODUCT(--ISNUMBER(SEARCH({"Rugby","Football","League","Touch","Gaelic","Australian","Lacrosse","General Sport","Training Area","Ultimate"},C320)))&gt;0,"full","unknown"))))</f>
        <v/>
      </c>
      <c r="E320" s="9"/>
      <c r="F320" s="9"/>
      <c r="G320" s="9"/>
      <c r="H320" s="9"/>
      <c r="I320" s="12"/>
      <c r="J320" s="9"/>
      <c r="K320" s="9"/>
      <c r="L320" s="9"/>
      <c r="M320" s="9"/>
      <c r="N320" s="9"/>
      <c r="O320" s="13" t="str">
        <f aca="false">IF(C320="","",IF(N(M320)+N(N320)&lt;Settings!$C$9,"untested",M320/(M320+N320)))</f>
        <v/>
      </c>
      <c r="P320" s="9"/>
      <c r="Q320" s="9"/>
      <c r="R320" s="9"/>
      <c r="S320" s="12"/>
      <c r="T320" s="9"/>
      <c r="U320" s="9"/>
      <c r="V320" s="9"/>
      <c r="W320" s="10" t="str">
        <f aca="false">IF(C320="","",IF(OR(G320="training",G320="full"),"Yes",IF(G320="none","No","?")))</f>
        <v/>
      </c>
      <c r="X320" s="10" t="str">
        <f aca="false">IF(C320="","",IF(OR(E320="",E320="unknown"),D320,E320))</f>
        <v/>
      </c>
      <c r="Y320" s="10" t="str">
        <f aca="false">IF(C320="","",IF(OR(T320="unsuitable",T320="retired",X320="no"),"—",IF(J320="","unrated",IF(AND(X320="full",J320&gt;=Settings!$C$5,OR(O320="untested",O320&gt;=Settings!$C$6)),"A",IF(AND(OR(X320="full",X320="reduced"),J320&gt;=Settings!$C$7,OR(O320="untested",O320&gt;=Settings!$C$8)),"B","C")))))</f>
        <v/>
      </c>
      <c r="Z320" s="11" t="str">
        <f aca="false">IF(C320="","",IF(P320&lt;&gt;"",P320,Y320))</f>
        <v/>
      </c>
    </row>
    <row r="321" customFormat="false" ht="15" hidden="false" customHeight="false" outlineLevel="0" collapsed="false">
      <c r="A321" s="9"/>
      <c r="B321" s="10" t="str">
        <f aca="false">IF(A321="","",IFERROR(INDEX(Parks!$A$2:$A$255,MATCH(A321,Parks!$B$2:$B$255,0)),"?"))</f>
        <v/>
      </c>
      <c r="C321" s="9"/>
      <c r="D321" s="10" t="str">
        <f aca="false">IF(C321="","",IF(SUMPRODUCT(--ISNUMBER(SEARCH({"Nets","Wicket","Diamond","Softball","T-ball","Baseball","Netball","Tennis","Bocce","Pentaque","Petanque","Skate","Car Park","Pond","Bridle","Amphitheatre","Perimeter","Passive"},C321)))&gt;0,"no",IF(SUMPRODUCT(--ISNUMBER(SEARCH({"Cricket","Junior","Mini","Summer Football","Small"},C321)))&gt;0,"reduced",IF(SUMPRODUCT(--ISNUMBER(SEARCH({"Rugby","Football","League","Touch","Gaelic","Australian","Lacrosse","General Sport","Training Area","Ultimate"},C321)))&gt;0,"full","unknown"))))</f>
        <v/>
      </c>
      <c r="E321" s="9"/>
      <c r="F321" s="9"/>
      <c r="G321" s="9"/>
      <c r="H321" s="9"/>
      <c r="I321" s="12"/>
      <c r="J321" s="9"/>
      <c r="K321" s="9"/>
      <c r="L321" s="9"/>
      <c r="M321" s="9"/>
      <c r="N321" s="9"/>
      <c r="O321" s="13" t="str">
        <f aca="false">IF(C321="","",IF(N(M321)+N(N321)&lt;Settings!$C$9,"untested",M321/(M321+N321)))</f>
        <v/>
      </c>
      <c r="P321" s="9"/>
      <c r="Q321" s="9"/>
      <c r="R321" s="9"/>
      <c r="S321" s="12"/>
      <c r="T321" s="9"/>
      <c r="U321" s="9"/>
      <c r="V321" s="9"/>
      <c r="W321" s="10" t="str">
        <f aca="false">IF(C321="","",IF(OR(G321="training",G321="full"),"Yes",IF(G321="none","No","?")))</f>
        <v/>
      </c>
      <c r="X321" s="10" t="str">
        <f aca="false">IF(C321="","",IF(OR(E321="",E321="unknown"),D321,E321))</f>
        <v/>
      </c>
      <c r="Y321" s="10" t="str">
        <f aca="false">IF(C321="","",IF(OR(T321="unsuitable",T321="retired",X321="no"),"—",IF(J321="","unrated",IF(AND(X321="full",J321&gt;=Settings!$C$5,OR(O321="untested",O321&gt;=Settings!$C$6)),"A",IF(AND(OR(X321="full",X321="reduced"),J321&gt;=Settings!$C$7,OR(O321="untested",O321&gt;=Settings!$C$8)),"B","C")))))</f>
        <v/>
      </c>
      <c r="Z321" s="11" t="str">
        <f aca="false">IF(C321="","",IF(P321&lt;&gt;"",P321,Y321))</f>
        <v/>
      </c>
    </row>
    <row r="322" customFormat="false" ht="15" hidden="false" customHeight="false" outlineLevel="0" collapsed="false">
      <c r="A322" s="9"/>
      <c r="B322" s="10" t="str">
        <f aca="false">IF(A322="","",IFERROR(INDEX(Parks!$A$2:$A$255,MATCH(A322,Parks!$B$2:$B$255,0)),"?"))</f>
        <v/>
      </c>
      <c r="C322" s="9"/>
      <c r="D322" s="10" t="str">
        <f aca="false">IF(C322="","",IF(SUMPRODUCT(--ISNUMBER(SEARCH({"Nets","Wicket","Diamond","Softball","T-ball","Baseball","Netball","Tennis","Bocce","Pentaque","Petanque","Skate","Car Park","Pond","Bridle","Amphitheatre","Perimeter","Passive"},C322)))&gt;0,"no",IF(SUMPRODUCT(--ISNUMBER(SEARCH({"Cricket","Junior","Mini","Summer Football","Small"},C322)))&gt;0,"reduced",IF(SUMPRODUCT(--ISNUMBER(SEARCH({"Rugby","Football","League","Touch","Gaelic","Australian","Lacrosse","General Sport","Training Area","Ultimate"},C322)))&gt;0,"full","unknown"))))</f>
        <v/>
      </c>
      <c r="E322" s="9"/>
      <c r="F322" s="9"/>
      <c r="G322" s="9"/>
      <c r="H322" s="9"/>
      <c r="I322" s="12"/>
      <c r="J322" s="9"/>
      <c r="K322" s="9"/>
      <c r="L322" s="9"/>
      <c r="M322" s="9"/>
      <c r="N322" s="9"/>
      <c r="O322" s="13" t="str">
        <f aca="false">IF(C322="","",IF(N(M322)+N(N322)&lt;Settings!$C$9,"untested",M322/(M322+N322)))</f>
        <v/>
      </c>
      <c r="P322" s="9"/>
      <c r="Q322" s="9"/>
      <c r="R322" s="9"/>
      <c r="S322" s="12"/>
      <c r="T322" s="9"/>
      <c r="U322" s="9"/>
      <c r="V322" s="9"/>
      <c r="W322" s="10" t="str">
        <f aca="false">IF(C322="","",IF(OR(G322="training",G322="full"),"Yes",IF(G322="none","No","?")))</f>
        <v/>
      </c>
      <c r="X322" s="10" t="str">
        <f aca="false">IF(C322="","",IF(OR(E322="",E322="unknown"),D322,E322))</f>
        <v/>
      </c>
      <c r="Y322" s="10" t="str">
        <f aca="false">IF(C322="","",IF(OR(T322="unsuitable",T322="retired",X322="no"),"—",IF(J322="","unrated",IF(AND(X322="full",J322&gt;=Settings!$C$5,OR(O322="untested",O322&gt;=Settings!$C$6)),"A",IF(AND(OR(X322="full",X322="reduced"),J322&gt;=Settings!$C$7,OR(O322="untested",O322&gt;=Settings!$C$8)),"B","C")))))</f>
        <v/>
      </c>
      <c r="Z322" s="11" t="str">
        <f aca="false">IF(C322="","",IF(P322&lt;&gt;"",P322,Y322))</f>
        <v/>
      </c>
    </row>
    <row r="323" customFormat="false" ht="15" hidden="false" customHeight="false" outlineLevel="0" collapsed="false">
      <c r="A323" s="9"/>
      <c r="B323" s="10" t="str">
        <f aca="false">IF(A323="","",IFERROR(INDEX(Parks!$A$2:$A$255,MATCH(A323,Parks!$B$2:$B$255,0)),"?"))</f>
        <v/>
      </c>
      <c r="C323" s="9"/>
      <c r="D323" s="10" t="str">
        <f aca="false">IF(C323="","",IF(SUMPRODUCT(--ISNUMBER(SEARCH({"Nets","Wicket","Diamond","Softball","T-ball","Baseball","Netball","Tennis","Bocce","Pentaque","Petanque","Skate","Car Park","Pond","Bridle","Amphitheatre","Perimeter","Passive"},C323)))&gt;0,"no",IF(SUMPRODUCT(--ISNUMBER(SEARCH({"Cricket","Junior","Mini","Summer Football","Small"},C323)))&gt;0,"reduced",IF(SUMPRODUCT(--ISNUMBER(SEARCH({"Rugby","Football","League","Touch","Gaelic","Australian","Lacrosse","General Sport","Training Area","Ultimate"},C323)))&gt;0,"full","unknown"))))</f>
        <v/>
      </c>
      <c r="E323" s="9"/>
      <c r="F323" s="9"/>
      <c r="G323" s="9"/>
      <c r="H323" s="9"/>
      <c r="I323" s="12"/>
      <c r="J323" s="9"/>
      <c r="K323" s="9"/>
      <c r="L323" s="9"/>
      <c r="M323" s="9"/>
      <c r="N323" s="9"/>
      <c r="O323" s="13" t="str">
        <f aca="false">IF(C323="","",IF(N(M323)+N(N323)&lt;Settings!$C$9,"untested",M323/(M323+N323)))</f>
        <v/>
      </c>
      <c r="P323" s="9"/>
      <c r="Q323" s="9"/>
      <c r="R323" s="9"/>
      <c r="S323" s="12"/>
      <c r="T323" s="9"/>
      <c r="U323" s="9"/>
      <c r="V323" s="9"/>
      <c r="W323" s="10" t="str">
        <f aca="false">IF(C323="","",IF(OR(G323="training",G323="full"),"Yes",IF(G323="none","No","?")))</f>
        <v/>
      </c>
      <c r="X323" s="10" t="str">
        <f aca="false">IF(C323="","",IF(OR(E323="",E323="unknown"),D323,E323))</f>
        <v/>
      </c>
      <c r="Y323" s="10" t="str">
        <f aca="false">IF(C323="","",IF(OR(T323="unsuitable",T323="retired",X323="no"),"—",IF(J323="","unrated",IF(AND(X323="full",J323&gt;=Settings!$C$5,OR(O323="untested",O323&gt;=Settings!$C$6)),"A",IF(AND(OR(X323="full",X323="reduced"),J323&gt;=Settings!$C$7,OR(O323="untested",O323&gt;=Settings!$C$8)),"B","C")))))</f>
        <v/>
      </c>
      <c r="Z323" s="11" t="str">
        <f aca="false">IF(C323="","",IF(P323&lt;&gt;"",P323,Y323))</f>
        <v/>
      </c>
    </row>
    <row r="324" customFormat="false" ht="15" hidden="false" customHeight="false" outlineLevel="0" collapsed="false">
      <c r="A324" s="9"/>
      <c r="B324" s="10" t="str">
        <f aca="false">IF(A324="","",IFERROR(INDEX(Parks!$A$2:$A$255,MATCH(A324,Parks!$B$2:$B$255,0)),"?"))</f>
        <v/>
      </c>
      <c r="C324" s="9"/>
      <c r="D324" s="10" t="str">
        <f aca="false">IF(C324="","",IF(SUMPRODUCT(--ISNUMBER(SEARCH({"Nets","Wicket","Diamond","Softball","T-ball","Baseball","Netball","Tennis","Bocce","Pentaque","Petanque","Skate","Car Park","Pond","Bridle","Amphitheatre","Perimeter","Passive"},C324)))&gt;0,"no",IF(SUMPRODUCT(--ISNUMBER(SEARCH({"Cricket","Junior","Mini","Summer Football","Small"},C324)))&gt;0,"reduced",IF(SUMPRODUCT(--ISNUMBER(SEARCH({"Rugby","Football","League","Touch","Gaelic","Australian","Lacrosse","General Sport","Training Area","Ultimate"},C324)))&gt;0,"full","unknown"))))</f>
        <v/>
      </c>
      <c r="E324" s="9"/>
      <c r="F324" s="9"/>
      <c r="G324" s="9"/>
      <c r="H324" s="9"/>
      <c r="I324" s="12"/>
      <c r="J324" s="9"/>
      <c r="K324" s="9"/>
      <c r="L324" s="9"/>
      <c r="M324" s="9"/>
      <c r="N324" s="9"/>
      <c r="O324" s="13" t="str">
        <f aca="false">IF(C324="","",IF(N(M324)+N(N324)&lt;Settings!$C$9,"untested",M324/(M324+N324)))</f>
        <v/>
      </c>
      <c r="P324" s="9"/>
      <c r="Q324" s="9"/>
      <c r="R324" s="9"/>
      <c r="S324" s="12"/>
      <c r="T324" s="9"/>
      <c r="U324" s="9"/>
      <c r="V324" s="9"/>
      <c r="W324" s="10" t="str">
        <f aca="false">IF(C324="","",IF(OR(G324="training",G324="full"),"Yes",IF(G324="none","No","?")))</f>
        <v/>
      </c>
      <c r="X324" s="10" t="str">
        <f aca="false">IF(C324="","",IF(OR(E324="",E324="unknown"),D324,E324))</f>
        <v/>
      </c>
      <c r="Y324" s="10" t="str">
        <f aca="false">IF(C324="","",IF(OR(T324="unsuitable",T324="retired",X324="no"),"—",IF(J324="","unrated",IF(AND(X324="full",J324&gt;=Settings!$C$5,OR(O324="untested",O324&gt;=Settings!$C$6)),"A",IF(AND(OR(X324="full",X324="reduced"),J324&gt;=Settings!$C$7,OR(O324="untested",O324&gt;=Settings!$C$8)),"B","C")))))</f>
        <v/>
      </c>
      <c r="Z324" s="11" t="str">
        <f aca="false">IF(C324="","",IF(P324&lt;&gt;"",P324,Y324))</f>
        <v/>
      </c>
    </row>
    <row r="325" customFormat="false" ht="15" hidden="false" customHeight="false" outlineLevel="0" collapsed="false">
      <c r="A325" s="9"/>
      <c r="B325" s="10" t="str">
        <f aca="false">IF(A325="","",IFERROR(INDEX(Parks!$A$2:$A$255,MATCH(A325,Parks!$B$2:$B$255,0)),"?"))</f>
        <v/>
      </c>
      <c r="C325" s="9"/>
      <c r="D325" s="10" t="str">
        <f aca="false">IF(C325="","",IF(SUMPRODUCT(--ISNUMBER(SEARCH({"Nets","Wicket","Diamond","Softball","T-ball","Baseball","Netball","Tennis","Bocce","Pentaque","Petanque","Skate","Car Park","Pond","Bridle","Amphitheatre","Perimeter","Passive"},C325)))&gt;0,"no",IF(SUMPRODUCT(--ISNUMBER(SEARCH({"Cricket","Junior","Mini","Summer Football","Small"},C325)))&gt;0,"reduced",IF(SUMPRODUCT(--ISNUMBER(SEARCH({"Rugby","Football","League","Touch","Gaelic","Australian","Lacrosse","General Sport","Training Area","Ultimate"},C325)))&gt;0,"full","unknown"))))</f>
        <v/>
      </c>
      <c r="E325" s="9"/>
      <c r="F325" s="9"/>
      <c r="G325" s="9"/>
      <c r="H325" s="9"/>
      <c r="I325" s="12"/>
      <c r="J325" s="9"/>
      <c r="K325" s="9"/>
      <c r="L325" s="9"/>
      <c r="M325" s="9"/>
      <c r="N325" s="9"/>
      <c r="O325" s="13" t="str">
        <f aca="false">IF(C325="","",IF(N(M325)+N(N325)&lt;Settings!$C$9,"untested",M325/(M325+N325)))</f>
        <v/>
      </c>
      <c r="P325" s="9"/>
      <c r="Q325" s="9"/>
      <c r="R325" s="9"/>
      <c r="S325" s="12"/>
      <c r="T325" s="9"/>
      <c r="U325" s="9"/>
      <c r="V325" s="9"/>
      <c r="W325" s="10" t="str">
        <f aca="false">IF(C325="","",IF(OR(G325="training",G325="full"),"Yes",IF(G325="none","No","?")))</f>
        <v/>
      </c>
      <c r="X325" s="10" t="str">
        <f aca="false">IF(C325="","",IF(OR(E325="",E325="unknown"),D325,E325))</f>
        <v/>
      </c>
      <c r="Y325" s="10" t="str">
        <f aca="false">IF(C325="","",IF(OR(T325="unsuitable",T325="retired",X325="no"),"—",IF(J325="","unrated",IF(AND(X325="full",J325&gt;=Settings!$C$5,OR(O325="untested",O325&gt;=Settings!$C$6)),"A",IF(AND(OR(X325="full",X325="reduced"),J325&gt;=Settings!$C$7,OR(O325="untested",O325&gt;=Settings!$C$8)),"B","C")))))</f>
        <v/>
      </c>
      <c r="Z325" s="11" t="str">
        <f aca="false">IF(C325="","",IF(P325&lt;&gt;"",P325,Y325))</f>
        <v/>
      </c>
    </row>
    <row r="326" customFormat="false" ht="15" hidden="false" customHeight="false" outlineLevel="0" collapsed="false">
      <c r="A326" s="9"/>
      <c r="B326" s="10" t="str">
        <f aca="false">IF(A326="","",IFERROR(INDEX(Parks!$A$2:$A$255,MATCH(A326,Parks!$B$2:$B$255,0)),"?"))</f>
        <v/>
      </c>
      <c r="C326" s="9"/>
      <c r="D326" s="10" t="str">
        <f aca="false">IF(C326="","",IF(SUMPRODUCT(--ISNUMBER(SEARCH({"Nets","Wicket","Diamond","Softball","T-ball","Baseball","Netball","Tennis","Bocce","Pentaque","Petanque","Skate","Car Park","Pond","Bridle","Amphitheatre","Perimeter","Passive"},C326)))&gt;0,"no",IF(SUMPRODUCT(--ISNUMBER(SEARCH({"Cricket","Junior","Mini","Summer Football","Small"},C326)))&gt;0,"reduced",IF(SUMPRODUCT(--ISNUMBER(SEARCH({"Rugby","Football","League","Touch","Gaelic","Australian","Lacrosse","General Sport","Training Area","Ultimate"},C326)))&gt;0,"full","unknown"))))</f>
        <v/>
      </c>
      <c r="E326" s="9"/>
      <c r="F326" s="9"/>
      <c r="G326" s="9"/>
      <c r="H326" s="9"/>
      <c r="I326" s="12"/>
      <c r="J326" s="9"/>
      <c r="K326" s="9"/>
      <c r="L326" s="9"/>
      <c r="M326" s="9"/>
      <c r="N326" s="9"/>
      <c r="O326" s="13" t="str">
        <f aca="false">IF(C326="","",IF(N(M326)+N(N326)&lt;Settings!$C$9,"untested",M326/(M326+N326)))</f>
        <v/>
      </c>
      <c r="P326" s="9"/>
      <c r="Q326" s="9"/>
      <c r="R326" s="9"/>
      <c r="S326" s="12"/>
      <c r="T326" s="9"/>
      <c r="U326" s="9"/>
      <c r="V326" s="9"/>
      <c r="W326" s="10" t="str">
        <f aca="false">IF(C326="","",IF(OR(G326="training",G326="full"),"Yes",IF(G326="none","No","?")))</f>
        <v/>
      </c>
      <c r="X326" s="10" t="str">
        <f aca="false">IF(C326="","",IF(OR(E326="",E326="unknown"),D326,E326))</f>
        <v/>
      </c>
      <c r="Y326" s="10" t="str">
        <f aca="false">IF(C326="","",IF(OR(T326="unsuitable",T326="retired",X326="no"),"—",IF(J326="","unrated",IF(AND(X326="full",J326&gt;=Settings!$C$5,OR(O326="untested",O326&gt;=Settings!$C$6)),"A",IF(AND(OR(X326="full",X326="reduced"),J326&gt;=Settings!$C$7,OR(O326="untested",O326&gt;=Settings!$C$8)),"B","C")))))</f>
        <v/>
      </c>
      <c r="Z326" s="11" t="str">
        <f aca="false">IF(C326="","",IF(P326&lt;&gt;"",P326,Y326))</f>
        <v/>
      </c>
    </row>
    <row r="327" customFormat="false" ht="15" hidden="false" customHeight="false" outlineLevel="0" collapsed="false">
      <c r="A327" s="9"/>
      <c r="B327" s="10" t="str">
        <f aca="false">IF(A327="","",IFERROR(INDEX(Parks!$A$2:$A$255,MATCH(A327,Parks!$B$2:$B$255,0)),"?"))</f>
        <v/>
      </c>
      <c r="C327" s="9"/>
      <c r="D327" s="10" t="str">
        <f aca="false">IF(C327="","",IF(SUMPRODUCT(--ISNUMBER(SEARCH({"Nets","Wicket","Diamond","Softball","T-ball","Baseball","Netball","Tennis","Bocce","Pentaque","Petanque","Skate","Car Park","Pond","Bridle","Amphitheatre","Perimeter","Passive"},C327)))&gt;0,"no",IF(SUMPRODUCT(--ISNUMBER(SEARCH({"Cricket","Junior","Mini","Summer Football","Small"},C327)))&gt;0,"reduced",IF(SUMPRODUCT(--ISNUMBER(SEARCH({"Rugby","Football","League","Touch","Gaelic","Australian","Lacrosse","General Sport","Training Area","Ultimate"},C327)))&gt;0,"full","unknown"))))</f>
        <v/>
      </c>
      <c r="E327" s="9"/>
      <c r="F327" s="9"/>
      <c r="G327" s="9"/>
      <c r="H327" s="9"/>
      <c r="I327" s="12"/>
      <c r="J327" s="9"/>
      <c r="K327" s="9"/>
      <c r="L327" s="9"/>
      <c r="M327" s="9"/>
      <c r="N327" s="9"/>
      <c r="O327" s="13" t="str">
        <f aca="false">IF(C327="","",IF(N(M327)+N(N327)&lt;Settings!$C$9,"untested",M327/(M327+N327)))</f>
        <v/>
      </c>
      <c r="P327" s="9"/>
      <c r="Q327" s="9"/>
      <c r="R327" s="9"/>
      <c r="S327" s="12"/>
      <c r="T327" s="9"/>
      <c r="U327" s="9"/>
      <c r="V327" s="9"/>
      <c r="W327" s="10" t="str">
        <f aca="false">IF(C327="","",IF(OR(G327="training",G327="full"),"Yes",IF(G327="none","No","?")))</f>
        <v/>
      </c>
      <c r="X327" s="10" t="str">
        <f aca="false">IF(C327="","",IF(OR(E327="",E327="unknown"),D327,E327))</f>
        <v/>
      </c>
      <c r="Y327" s="10" t="str">
        <f aca="false">IF(C327="","",IF(OR(T327="unsuitable",T327="retired",X327="no"),"—",IF(J327="","unrated",IF(AND(X327="full",J327&gt;=Settings!$C$5,OR(O327="untested",O327&gt;=Settings!$C$6)),"A",IF(AND(OR(X327="full",X327="reduced"),J327&gt;=Settings!$C$7,OR(O327="untested",O327&gt;=Settings!$C$8)),"B","C")))))</f>
        <v/>
      </c>
      <c r="Z327" s="11" t="str">
        <f aca="false">IF(C327="","",IF(P327&lt;&gt;"",P327,Y327))</f>
        <v/>
      </c>
    </row>
    <row r="328" customFormat="false" ht="15" hidden="false" customHeight="false" outlineLevel="0" collapsed="false">
      <c r="A328" s="9"/>
      <c r="B328" s="10" t="str">
        <f aca="false">IF(A328="","",IFERROR(INDEX(Parks!$A$2:$A$255,MATCH(A328,Parks!$B$2:$B$255,0)),"?"))</f>
        <v/>
      </c>
      <c r="C328" s="9"/>
      <c r="D328" s="10" t="str">
        <f aca="false">IF(C328="","",IF(SUMPRODUCT(--ISNUMBER(SEARCH({"Nets","Wicket","Diamond","Softball","T-ball","Baseball","Netball","Tennis","Bocce","Pentaque","Petanque","Skate","Car Park","Pond","Bridle","Amphitheatre","Perimeter","Passive"},C328)))&gt;0,"no",IF(SUMPRODUCT(--ISNUMBER(SEARCH({"Cricket","Junior","Mini","Summer Football","Small"},C328)))&gt;0,"reduced",IF(SUMPRODUCT(--ISNUMBER(SEARCH({"Rugby","Football","League","Touch","Gaelic","Australian","Lacrosse","General Sport","Training Area","Ultimate"},C328)))&gt;0,"full","unknown"))))</f>
        <v/>
      </c>
      <c r="E328" s="9"/>
      <c r="F328" s="9"/>
      <c r="G328" s="9"/>
      <c r="H328" s="9"/>
      <c r="I328" s="12"/>
      <c r="J328" s="9"/>
      <c r="K328" s="9"/>
      <c r="L328" s="9"/>
      <c r="M328" s="9"/>
      <c r="N328" s="9"/>
      <c r="O328" s="13" t="str">
        <f aca="false">IF(C328="","",IF(N(M328)+N(N328)&lt;Settings!$C$9,"untested",M328/(M328+N328)))</f>
        <v/>
      </c>
      <c r="P328" s="9"/>
      <c r="Q328" s="9"/>
      <c r="R328" s="9"/>
      <c r="S328" s="12"/>
      <c r="T328" s="9"/>
      <c r="U328" s="9"/>
      <c r="V328" s="9"/>
      <c r="W328" s="10" t="str">
        <f aca="false">IF(C328="","",IF(OR(G328="training",G328="full"),"Yes",IF(G328="none","No","?")))</f>
        <v/>
      </c>
      <c r="X328" s="10" t="str">
        <f aca="false">IF(C328="","",IF(OR(E328="",E328="unknown"),D328,E328))</f>
        <v/>
      </c>
      <c r="Y328" s="10" t="str">
        <f aca="false">IF(C328="","",IF(OR(T328="unsuitable",T328="retired",X328="no"),"—",IF(J328="","unrated",IF(AND(X328="full",J328&gt;=Settings!$C$5,OR(O328="untested",O328&gt;=Settings!$C$6)),"A",IF(AND(OR(X328="full",X328="reduced"),J328&gt;=Settings!$C$7,OR(O328="untested",O328&gt;=Settings!$C$8)),"B","C")))))</f>
        <v/>
      </c>
      <c r="Z328" s="11" t="str">
        <f aca="false">IF(C328="","",IF(P328&lt;&gt;"",P328,Y328))</f>
        <v/>
      </c>
    </row>
    <row r="329" customFormat="false" ht="15" hidden="false" customHeight="false" outlineLevel="0" collapsed="false">
      <c r="A329" s="9"/>
      <c r="B329" s="10" t="str">
        <f aca="false">IF(A329="","",IFERROR(INDEX(Parks!$A$2:$A$255,MATCH(A329,Parks!$B$2:$B$255,0)),"?"))</f>
        <v/>
      </c>
      <c r="C329" s="9"/>
      <c r="D329" s="10" t="str">
        <f aca="false">IF(C329="","",IF(SUMPRODUCT(--ISNUMBER(SEARCH({"Nets","Wicket","Diamond","Softball","T-ball","Baseball","Netball","Tennis","Bocce","Pentaque","Petanque","Skate","Car Park","Pond","Bridle","Amphitheatre","Perimeter","Passive"},C329)))&gt;0,"no",IF(SUMPRODUCT(--ISNUMBER(SEARCH({"Cricket","Junior","Mini","Summer Football","Small"},C329)))&gt;0,"reduced",IF(SUMPRODUCT(--ISNUMBER(SEARCH({"Rugby","Football","League","Touch","Gaelic","Australian","Lacrosse","General Sport","Training Area","Ultimate"},C329)))&gt;0,"full","unknown"))))</f>
        <v/>
      </c>
      <c r="E329" s="9"/>
      <c r="F329" s="9"/>
      <c r="G329" s="9"/>
      <c r="H329" s="9"/>
      <c r="I329" s="12"/>
      <c r="J329" s="9"/>
      <c r="K329" s="9"/>
      <c r="L329" s="9"/>
      <c r="M329" s="9"/>
      <c r="N329" s="9"/>
      <c r="O329" s="13" t="str">
        <f aca="false">IF(C329="","",IF(N(M329)+N(N329)&lt;Settings!$C$9,"untested",M329/(M329+N329)))</f>
        <v/>
      </c>
      <c r="P329" s="9"/>
      <c r="Q329" s="9"/>
      <c r="R329" s="9"/>
      <c r="S329" s="12"/>
      <c r="T329" s="9"/>
      <c r="U329" s="9"/>
      <c r="V329" s="9"/>
      <c r="W329" s="10" t="str">
        <f aca="false">IF(C329="","",IF(OR(G329="training",G329="full"),"Yes",IF(G329="none","No","?")))</f>
        <v/>
      </c>
      <c r="X329" s="10" t="str">
        <f aca="false">IF(C329="","",IF(OR(E329="",E329="unknown"),D329,E329))</f>
        <v/>
      </c>
      <c r="Y329" s="10" t="str">
        <f aca="false">IF(C329="","",IF(OR(T329="unsuitable",T329="retired",X329="no"),"—",IF(J329="","unrated",IF(AND(X329="full",J329&gt;=Settings!$C$5,OR(O329="untested",O329&gt;=Settings!$C$6)),"A",IF(AND(OR(X329="full",X329="reduced"),J329&gt;=Settings!$C$7,OR(O329="untested",O329&gt;=Settings!$C$8)),"B","C")))))</f>
        <v/>
      </c>
      <c r="Z329" s="11" t="str">
        <f aca="false">IF(C329="","",IF(P329&lt;&gt;"",P329,Y329))</f>
        <v/>
      </c>
    </row>
    <row r="330" customFormat="false" ht="15" hidden="false" customHeight="false" outlineLevel="0" collapsed="false">
      <c r="A330" s="9"/>
      <c r="B330" s="10" t="str">
        <f aca="false">IF(A330="","",IFERROR(INDEX(Parks!$A$2:$A$255,MATCH(A330,Parks!$B$2:$B$255,0)),"?"))</f>
        <v/>
      </c>
      <c r="C330" s="9"/>
      <c r="D330" s="10" t="str">
        <f aca="false">IF(C330="","",IF(SUMPRODUCT(--ISNUMBER(SEARCH({"Nets","Wicket","Diamond","Softball","T-ball","Baseball","Netball","Tennis","Bocce","Pentaque","Petanque","Skate","Car Park","Pond","Bridle","Amphitheatre","Perimeter","Passive"},C330)))&gt;0,"no",IF(SUMPRODUCT(--ISNUMBER(SEARCH({"Cricket","Junior","Mini","Summer Football","Small"},C330)))&gt;0,"reduced",IF(SUMPRODUCT(--ISNUMBER(SEARCH({"Rugby","Football","League","Touch","Gaelic","Australian","Lacrosse","General Sport","Training Area","Ultimate"},C330)))&gt;0,"full","unknown"))))</f>
        <v/>
      </c>
      <c r="E330" s="9"/>
      <c r="F330" s="9"/>
      <c r="G330" s="9"/>
      <c r="H330" s="9"/>
      <c r="I330" s="12"/>
      <c r="J330" s="9"/>
      <c r="K330" s="9"/>
      <c r="L330" s="9"/>
      <c r="M330" s="9"/>
      <c r="N330" s="9"/>
      <c r="O330" s="13" t="str">
        <f aca="false">IF(C330="","",IF(N(M330)+N(N330)&lt;Settings!$C$9,"untested",M330/(M330+N330)))</f>
        <v/>
      </c>
      <c r="P330" s="9"/>
      <c r="Q330" s="9"/>
      <c r="R330" s="9"/>
      <c r="S330" s="12"/>
      <c r="T330" s="9"/>
      <c r="U330" s="9"/>
      <c r="V330" s="9"/>
      <c r="W330" s="10" t="str">
        <f aca="false">IF(C330="","",IF(OR(G330="training",G330="full"),"Yes",IF(G330="none","No","?")))</f>
        <v/>
      </c>
      <c r="X330" s="10" t="str">
        <f aca="false">IF(C330="","",IF(OR(E330="",E330="unknown"),D330,E330))</f>
        <v/>
      </c>
      <c r="Y330" s="10" t="str">
        <f aca="false">IF(C330="","",IF(OR(T330="unsuitable",T330="retired",X330="no"),"—",IF(J330="","unrated",IF(AND(X330="full",J330&gt;=Settings!$C$5,OR(O330="untested",O330&gt;=Settings!$C$6)),"A",IF(AND(OR(X330="full",X330="reduced"),J330&gt;=Settings!$C$7,OR(O330="untested",O330&gt;=Settings!$C$8)),"B","C")))))</f>
        <v/>
      </c>
      <c r="Z330" s="11" t="str">
        <f aca="false">IF(C330="","",IF(P330&lt;&gt;"",P330,Y330))</f>
        <v/>
      </c>
    </row>
    <row r="331" customFormat="false" ht="15" hidden="false" customHeight="false" outlineLevel="0" collapsed="false">
      <c r="A331" s="9"/>
      <c r="B331" s="10" t="str">
        <f aca="false">IF(A331="","",IFERROR(INDEX(Parks!$A$2:$A$255,MATCH(A331,Parks!$B$2:$B$255,0)),"?"))</f>
        <v/>
      </c>
      <c r="C331" s="9"/>
      <c r="D331" s="10" t="str">
        <f aca="false">IF(C331="","",IF(SUMPRODUCT(--ISNUMBER(SEARCH({"Nets","Wicket","Diamond","Softball","T-ball","Baseball","Netball","Tennis","Bocce","Pentaque","Petanque","Skate","Car Park","Pond","Bridle","Amphitheatre","Perimeter","Passive"},C331)))&gt;0,"no",IF(SUMPRODUCT(--ISNUMBER(SEARCH({"Cricket","Junior","Mini","Summer Football","Small"},C331)))&gt;0,"reduced",IF(SUMPRODUCT(--ISNUMBER(SEARCH({"Rugby","Football","League","Touch","Gaelic","Australian","Lacrosse","General Sport","Training Area","Ultimate"},C331)))&gt;0,"full","unknown"))))</f>
        <v/>
      </c>
      <c r="E331" s="9"/>
      <c r="F331" s="9"/>
      <c r="G331" s="9"/>
      <c r="H331" s="9"/>
      <c r="I331" s="12"/>
      <c r="J331" s="9"/>
      <c r="K331" s="9"/>
      <c r="L331" s="9"/>
      <c r="M331" s="9"/>
      <c r="N331" s="9"/>
      <c r="O331" s="13" t="str">
        <f aca="false">IF(C331="","",IF(N(M331)+N(N331)&lt;Settings!$C$9,"untested",M331/(M331+N331)))</f>
        <v/>
      </c>
      <c r="P331" s="9"/>
      <c r="Q331" s="9"/>
      <c r="R331" s="9"/>
      <c r="S331" s="12"/>
      <c r="T331" s="9"/>
      <c r="U331" s="9"/>
      <c r="V331" s="9"/>
      <c r="W331" s="10" t="str">
        <f aca="false">IF(C331="","",IF(OR(G331="training",G331="full"),"Yes",IF(G331="none","No","?")))</f>
        <v/>
      </c>
      <c r="X331" s="10" t="str">
        <f aca="false">IF(C331="","",IF(OR(E331="",E331="unknown"),D331,E331))</f>
        <v/>
      </c>
      <c r="Y331" s="10" t="str">
        <f aca="false">IF(C331="","",IF(OR(T331="unsuitable",T331="retired",X331="no"),"—",IF(J331="","unrated",IF(AND(X331="full",J331&gt;=Settings!$C$5,OR(O331="untested",O331&gt;=Settings!$C$6)),"A",IF(AND(OR(X331="full",X331="reduced"),J331&gt;=Settings!$C$7,OR(O331="untested",O331&gt;=Settings!$C$8)),"B","C")))))</f>
        <v/>
      </c>
      <c r="Z331" s="11" t="str">
        <f aca="false">IF(C331="","",IF(P331&lt;&gt;"",P331,Y331))</f>
        <v/>
      </c>
    </row>
    <row r="332" customFormat="false" ht="15" hidden="false" customHeight="false" outlineLevel="0" collapsed="false">
      <c r="A332" s="9"/>
      <c r="B332" s="10" t="str">
        <f aca="false">IF(A332="","",IFERROR(INDEX(Parks!$A$2:$A$255,MATCH(A332,Parks!$B$2:$B$255,0)),"?"))</f>
        <v/>
      </c>
      <c r="C332" s="9"/>
      <c r="D332" s="10" t="str">
        <f aca="false">IF(C332="","",IF(SUMPRODUCT(--ISNUMBER(SEARCH({"Nets","Wicket","Diamond","Softball","T-ball","Baseball","Netball","Tennis","Bocce","Pentaque","Petanque","Skate","Car Park","Pond","Bridle","Amphitheatre","Perimeter","Passive"},C332)))&gt;0,"no",IF(SUMPRODUCT(--ISNUMBER(SEARCH({"Cricket","Junior","Mini","Summer Football","Small"},C332)))&gt;0,"reduced",IF(SUMPRODUCT(--ISNUMBER(SEARCH({"Rugby","Football","League","Touch","Gaelic","Australian","Lacrosse","General Sport","Training Area","Ultimate"},C332)))&gt;0,"full","unknown"))))</f>
        <v/>
      </c>
      <c r="E332" s="9"/>
      <c r="F332" s="9"/>
      <c r="G332" s="9"/>
      <c r="H332" s="9"/>
      <c r="I332" s="12"/>
      <c r="J332" s="9"/>
      <c r="K332" s="9"/>
      <c r="L332" s="9"/>
      <c r="M332" s="9"/>
      <c r="N332" s="9"/>
      <c r="O332" s="13" t="str">
        <f aca="false">IF(C332="","",IF(N(M332)+N(N332)&lt;Settings!$C$9,"untested",M332/(M332+N332)))</f>
        <v/>
      </c>
      <c r="P332" s="9"/>
      <c r="Q332" s="9"/>
      <c r="R332" s="9"/>
      <c r="S332" s="12"/>
      <c r="T332" s="9"/>
      <c r="U332" s="9"/>
      <c r="V332" s="9"/>
      <c r="W332" s="10" t="str">
        <f aca="false">IF(C332="","",IF(OR(G332="training",G332="full"),"Yes",IF(G332="none","No","?")))</f>
        <v/>
      </c>
      <c r="X332" s="10" t="str">
        <f aca="false">IF(C332="","",IF(OR(E332="",E332="unknown"),D332,E332))</f>
        <v/>
      </c>
      <c r="Y332" s="10" t="str">
        <f aca="false">IF(C332="","",IF(OR(T332="unsuitable",T332="retired",X332="no"),"—",IF(J332="","unrated",IF(AND(X332="full",J332&gt;=Settings!$C$5,OR(O332="untested",O332&gt;=Settings!$C$6)),"A",IF(AND(OR(X332="full",X332="reduced"),J332&gt;=Settings!$C$7,OR(O332="untested",O332&gt;=Settings!$C$8)),"B","C")))))</f>
        <v/>
      </c>
      <c r="Z332" s="11" t="str">
        <f aca="false">IF(C332="","",IF(P332&lt;&gt;"",P332,Y332))</f>
        <v/>
      </c>
    </row>
    <row r="333" customFormat="false" ht="15" hidden="false" customHeight="false" outlineLevel="0" collapsed="false">
      <c r="A333" s="9"/>
      <c r="B333" s="10" t="str">
        <f aca="false">IF(A333="","",IFERROR(INDEX(Parks!$A$2:$A$255,MATCH(A333,Parks!$B$2:$B$255,0)),"?"))</f>
        <v/>
      </c>
      <c r="C333" s="9"/>
      <c r="D333" s="10" t="str">
        <f aca="false">IF(C333="","",IF(SUMPRODUCT(--ISNUMBER(SEARCH({"Nets","Wicket","Diamond","Softball","T-ball","Baseball","Netball","Tennis","Bocce","Pentaque","Petanque","Skate","Car Park","Pond","Bridle","Amphitheatre","Perimeter","Passive"},C333)))&gt;0,"no",IF(SUMPRODUCT(--ISNUMBER(SEARCH({"Cricket","Junior","Mini","Summer Football","Small"},C333)))&gt;0,"reduced",IF(SUMPRODUCT(--ISNUMBER(SEARCH({"Rugby","Football","League","Touch","Gaelic","Australian","Lacrosse","General Sport","Training Area","Ultimate"},C333)))&gt;0,"full","unknown"))))</f>
        <v/>
      </c>
      <c r="E333" s="9"/>
      <c r="F333" s="9"/>
      <c r="G333" s="9"/>
      <c r="H333" s="9"/>
      <c r="I333" s="12"/>
      <c r="J333" s="9"/>
      <c r="K333" s="9"/>
      <c r="L333" s="9"/>
      <c r="M333" s="9"/>
      <c r="N333" s="9"/>
      <c r="O333" s="13" t="str">
        <f aca="false">IF(C333="","",IF(N(M333)+N(N333)&lt;Settings!$C$9,"untested",M333/(M333+N333)))</f>
        <v/>
      </c>
      <c r="P333" s="9"/>
      <c r="Q333" s="9"/>
      <c r="R333" s="9"/>
      <c r="S333" s="12"/>
      <c r="T333" s="9"/>
      <c r="U333" s="9"/>
      <c r="V333" s="9"/>
      <c r="W333" s="10" t="str">
        <f aca="false">IF(C333="","",IF(OR(G333="training",G333="full"),"Yes",IF(G333="none","No","?")))</f>
        <v/>
      </c>
      <c r="X333" s="10" t="str">
        <f aca="false">IF(C333="","",IF(OR(E333="",E333="unknown"),D333,E333))</f>
        <v/>
      </c>
      <c r="Y333" s="10" t="str">
        <f aca="false">IF(C333="","",IF(OR(T333="unsuitable",T333="retired",X333="no"),"—",IF(J333="","unrated",IF(AND(X333="full",J333&gt;=Settings!$C$5,OR(O333="untested",O333&gt;=Settings!$C$6)),"A",IF(AND(OR(X333="full",X333="reduced"),J333&gt;=Settings!$C$7,OR(O333="untested",O333&gt;=Settings!$C$8)),"B","C")))))</f>
        <v/>
      </c>
      <c r="Z333" s="11" t="str">
        <f aca="false">IF(C333="","",IF(P333&lt;&gt;"",P333,Y333))</f>
        <v/>
      </c>
    </row>
    <row r="334" customFormat="false" ht="15" hidden="false" customHeight="false" outlineLevel="0" collapsed="false">
      <c r="A334" s="9"/>
      <c r="B334" s="10" t="str">
        <f aca="false">IF(A334="","",IFERROR(INDEX(Parks!$A$2:$A$255,MATCH(A334,Parks!$B$2:$B$255,0)),"?"))</f>
        <v/>
      </c>
      <c r="C334" s="9"/>
      <c r="D334" s="10" t="str">
        <f aca="false">IF(C334="","",IF(SUMPRODUCT(--ISNUMBER(SEARCH({"Nets","Wicket","Diamond","Softball","T-ball","Baseball","Netball","Tennis","Bocce","Pentaque","Petanque","Skate","Car Park","Pond","Bridle","Amphitheatre","Perimeter","Passive"},C334)))&gt;0,"no",IF(SUMPRODUCT(--ISNUMBER(SEARCH({"Cricket","Junior","Mini","Summer Football","Small"},C334)))&gt;0,"reduced",IF(SUMPRODUCT(--ISNUMBER(SEARCH({"Rugby","Football","League","Touch","Gaelic","Australian","Lacrosse","General Sport","Training Area","Ultimate"},C334)))&gt;0,"full","unknown"))))</f>
        <v/>
      </c>
      <c r="E334" s="9"/>
      <c r="F334" s="9"/>
      <c r="G334" s="9"/>
      <c r="H334" s="9"/>
      <c r="I334" s="12"/>
      <c r="J334" s="9"/>
      <c r="K334" s="9"/>
      <c r="L334" s="9"/>
      <c r="M334" s="9"/>
      <c r="N334" s="9"/>
      <c r="O334" s="13" t="str">
        <f aca="false">IF(C334="","",IF(N(M334)+N(N334)&lt;Settings!$C$9,"untested",M334/(M334+N334)))</f>
        <v/>
      </c>
      <c r="P334" s="9"/>
      <c r="Q334" s="9"/>
      <c r="R334" s="9"/>
      <c r="S334" s="12"/>
      <c r="T334" s="9"/>
      <c r="U334" s="9"/>
      <c r="V334" s="9"/>
      <c r="W334" s="10" t="str">
        <f aca="false">IF(C334="","",IF(OR(G334="training",G334="full"),"Yes",IF(G334="none","No","?")))</f>
        <v/>
      </c>
      <c r="X334" s="10" t="str">
        <f aca="false">IF(C334="","",IF(OR(E334="",E334="unknown"),D334,E334))</f>
        <v/>
      </c>
      <c r="Y334" s="10" t="str">
        <f aca="false">IF(C334="","",IF(OR(T334="unsuitable",T334="retired",X334="no"),"—",IF(J334="","unrated",IF(AND(X334="full",J334&gt;=Settings!$C$5,OR(O334="untested",O334&gt;=Settings!$C$6)),"A",IF(AND(OR(X334="full",X334="reduced"),J334&gt;=Settings!$C$7,OR(O334="untested",O334&gt;=Settings!$C$8)),"B","C")))))</f>
        <v/>
      </c>
      <c r="Z334" s="11" t="str">
        <f aca="false">IF(C334="","",IF(P334&lt;&gt;"",P334,Y334))</f>
        <v/>
      </c>
    </row>
    <row r="335" customFormat="false" ht="15" hidden="false" customHeight="false" outlineLevel="0" collapsed="false">
      <c r="A335" s="9"/>
      <c r="B335" s="10" t="str">
        <f aca="false">IF(A335="","",IFERROR(INDEX(Parks!$A$2:$A$255,MATCH(A335,Parks!$B$2:$B$255,0)),"?"))</f>
        <v/>
      </c>
      <c r="C335" s="9"/>
      <c r="D335" s="10" t="str">
        <f aca="false">IF(C335="","",IF(SUMPRODUCT(--ISNUMBER(SEARCH({"Nets","Wicket","Diamond","Softball","T-ball","Baseball","Netball","Tennis","Bocce","Pentaque","Petanque","Skate","Car Park","Pond","Bridle","Amphitheatre","Perimeter","Passive"},C335)))&gt;0,"no",IF(SUMPRODUCT(--ISNUMBER(SEARCH({"Cricket","Junior","Mini","Summer Football","Small"},C335)))&gt;0,"reduced",IF(SUMPRODUCT(--ISNUMBER(SEARCH({"Rugby","Football","League","Touch","Gaelic","Australian","Lacrosse","General Sport","Training Area","Ultimate"},C335)))&gt;0,"full","unknown"))))</f>
        <v/>
      </c>
      <c r="E335" s="9"/>
      <c r="F335" s="9"/>
      <c r="G335" s="9"/>
      <c r="H335" s="9"/>
      <c r="I335" s="12"/>
      <c r="J335" s="9"/>
      <c r="K335" s="9"/>
      <c r="L335" s="9"/>
      <c r="M335" s="9"/>
      <c r="N335" s="9"/>
      <c r="O335" s="13" t="str">
        <f aca="false">IF(C335="","",IF(N(M335)+N(N335)&lt;Settings!$C$9,"untested",M335/(M335+N335)))</f>
        <v/>
      </c>
      <c r="P335" s="9"/>
      <c r="Q335" s="9"/>
      <c r="R335" s="9"/>
      <c r="S335" s="12"/>
      <c r="T335" s="9"/>
      <c r="U335" s="9"/>
      <c r="V335" s="9"/>
      <c r="W335" s="10" t="str">
        <f aca="false">IF(C335="","",IF(OR(G335="training",G335="full"),"Yes",IF(G335="none","No","?")))</f>
        <v/>
      </c>
      <c r="X335" s="10" t="str">
        <f aca="false">IF(C335="","",IF(OR(E335="",E335="unknown"),D335,E335))</f>
        <v/>
      </c>
      <c r="Y335" s="10" t="str">
        <f aca="false">IF(C335="","",IF(OR(T335="unsuitable",T335="retired",X335="no"),"—",IF(J335="","unrated",IF(AND(X335="full",J335&gt;=Settings!$C$5,OR(O335="untested",O335&gt;=Settings!$C$6)),"A",IF(AND(OR(X335="full",X335="reduced"),J335&gt;=Settings!$C$7,OR(O335="untested",O335&gt;=Settings!$C$8)),"B","C")))))</f>
        <v/>
      </c>
      <c r="Z335" s="11" t="str">
        <f aca="false">IF(C335="","",IF(P335&lt;&gt;"",P335,Y335))</f>
        <v/>
      </c>
    </row>
    <row r="336" customFormat="false" ht="15" hidden="false" customHeight="false" outlineLevel="0" collapsed="false">
      <c r="A336" s="9"/>
      <c r="B336" s="10" t="str">
        <f aca="false">IF(A336="","",IFERROR(INDEX(Parks!$A$2:$A$255,MATCH(A336,Parks!$B$2:$B$255,0)),"?"))</f>
        <v/>
      </c>
      <c r="C336" s="9"/>
      <c r="D336" s="10" t="str">
        <f aca="false">IF(C336="","",IF(SUMPRODUCT(--ISNUMBER(SEARCH({"Nets","Wicket","Diamond","Softball","T-ball","Baseball","Netball","Tennis","Bocce","Pentaque","Petanque","Skate","Car Park","Pond","Bridle","Amphitheatre","Perimeter","Passive"},C336)))&gt;0,"no",IF(SUMPRODUCT(--ISNUMBER(SEARCH({"Cricket","Junior","Mini","Summer Football","Small"},C336)))&gt;0,"reduced",IF(SUMPRODUCT(--ISNUMBER(SEARCH({"Rugby","Football","League","Touch","Gaelic","Australian","Lacrosse","General Sport","Training Area","Ultimate"},C336)))&gt;0,"full","unknown"))))</f>
        <v/>
      </c>
      <c r="E336" s="9"/>
      <c r="F336" s="9"/>
      <c r="G336" s="9"/>
      <c r="H336" s="9"/>
      <c r="I336" s="12"/>
      <c r="J336" s="9"/>
      <c r="K336" s="9"/>
      <c r="L336" s="9"/>
      <c r="M336" s="9"/>
      <c r="N336" s="9"/>
      <c r="O336" s="13" t="str">
        <f aca="false">IF(C336="","",IF(N(M336)+N(N336)&lt;Settings!$C$9,"untested",M336/(M336+N336)))</f>
        <v/>
      </c>
      <c r="P336" s="9"/>
      <c r="Q336" s="9"/>
      <c r="R336" s="9"/>
      <c r="S336" s="12"/>
      <c r="T336" s="9"/>
      <c r="U336" s="9"/>
      <c r="V336" s="9"/>
      <c r="W336" s="10" t="str">
        <f aca="false">IF(C336="","",IF(OR(G336="training",G336="full"),"Yes",IF(G336="none","No","?")))</f>
        <v/>
      </c>
      <c r="X336" s="10" t="str">
        <f aca="false">IF(C336="","",IF(OR(E336="",E336="unknown"),D336,E336))</f>
        <v/>
      </c>
      <c r="Y336" s="10" t="str">
        <f aca="false">IF(C336="","",IF(OR(T336="unsuitable",T336="retired",X336="no"),"—",IF(J336="","unrated",IF(AND(X336="full",J336&gt;=Settings!$C$5,OR(O336="untested",O336&gt;=Settings!$C$6)),"A",IF(AND(OR(X336="full",X336="reduced"),J336&gt;=Settings!$C$7,OR(O336="untested",O336&gt;=Settings!$C$8)),"B","C")))))</f>
        <v/>
      </c>
      <c r="Z336" s="11" t="str">
        <f aca="false">IF(C336="","",IF(P336&lt;&gt;"",P336,Y336))</f>
        <v/>
      </c>
    </row>
    <row r="337" customFormat="false" ht="15" hidden="false" customHeight="false" outlineLevel="0" collapsed="false">
      <c r="A337" s="9"/>
      <c r="B337" s="10" t="str">
        <f aca="false">IF(A337="","",IFERROR(INDEX(Parks!$A$2:$A$255,MATCH(A337,Parks!$B$2:$B$255,0)),"?"))</f>
        <v/>
      </c>
      <c r="C337" s="9"/>
      <c r="D337" s="10" t="str">
        <f aca="false">IF(C337="","",IF(SUMPRODUCT(--ISNUMBER(SEARCH({"Nets","Wicket","Diamond","Softball","T-ball","Baseball","Netball","Tennis","Bocce","Pentaque","Petanque","Skate","Car Park","Pond","Bridle","Amphitheatre","Perimeter","Passive"},C337)))&gt;0,"no",IF(SUMPRODUCT(--ISNUMBER(SEARCH({"Cricket","Junior","Mini","Summer Football","Small"},C337)))&gt;0,"reduced",IF(SUMPRODUCT(--ISNUMBER(SEARCH({"Rugby","Football","League","Touch","Gaelic","Australian","Lacrosse","General Sport","Training Area","Ultimate"},C337)))&gt;0,"full","unknown"))))</f>
        <v/>
      </c>
      <c r="E337" s="9"/>
      <c r="F337" s="9"/>
      <c r="G337" s="9"/>
      <c r="H337" s="9"/>
      <c r="I337" s="12"/>
      <c r="J337" s="9"/>
      <c r="K337" s="9"/>
      <c r="L337" s="9"/>
      <c r="M337" s="9"/>
      <c r="N337" s="9"/>
      <c r="O337" s="13" t="str">
        <f aca="false">IF(C337="","",IF(N(M337)+N(N337)&lt;Settings!$C$9,"untested",M337/(M337+N337)))</f>
        <v/>
      </c>
      <c r="P337" s="9"/>
      <c r="Q337" s="9"/>
      <c r="R337" s="9"/>
      <c r="S337" s="12"/>
      <c r="T337" s="9"/>
      <c r="U337" s="9"/>
      <c r="V337" s="9"/>
      <c r="W337" s="10" t="str">
        <f aca="false">IF(C337="","",IF(OR(G337="training",G337="full"),"Yes",IF(G337="none","No","?")))</f>
        <v/>
      </c>
      <c r="X337" s="10" t="str">
        <f aca="false">IF(C337="","",IF(OR(E337="",E337="unknown"),D337,E337))</f>
        <v/>
      </c>
      <c r="Y337" s="10" t="str">
        <f aca="false">IF(C337="","",IF(OR(T337="unsuitable",T337="retired",X337="no"),"—",IF(J337="","unrated",IF(AND(X337="full",J337&gt;=Settings!$C$5,OR(O337="untested",O337&gt;=Settings!$C$6)),"A",IF(AND(OR(X337="full",X337="reduced"),J337&gt;=Settings!$C$7,OR(O337="untested",O337&gt;=Settings!$C$8)),"B","C")))))</f>
        <v/>
      </c>
      <c r="Z337" s="11" t="str">
        <f aca="false">IF(C337="","",IF(P337&lt;&gt;"",P337,Y337))</f>
        <v/>
      </c>
    </row>
    <row r="338" customFormat="false" ht="15" hidden="false" customHeight="false" outlineLevel="0" collapsed="false">
      <c r="A338" s="9"/>
      <c r="B338" s="10" t="str">
        <f aca="false">IF(A338="","",IFERROR(INDEX(Parks!$A$2:$A$255,MATCH(A338,Parks!$B$2:$B$255,0)),"?"))</f>
        <v/>
      </c>
      <c r="C338" s="9"/>
      <c r="D338" s="10" t="str">
        <f aca="false">IF(C338="","",IF(SUMPRODUCT(--ISNUMBER(SEARCH({"Nets","Wicket","Diamond","Softball","T-ball","Baseball","Netball","Tennis","Bocce","Pentaque","Petanque","Skate","Car Park","Pond","Bridle","Amphitheatre","Perimeter","Passive"},C338)))&gt;0,"no",IF(SUMPRODUCT(--ISNUMBER(SEARCH({"Cricket","Junior","Mini","Summer Football","Small"},C338)))&gt;0,"reduced",IF(SUMPRODUCT(--ISNUMBER(SEARCH({"Rugby","Football","League","Touch","Gaelic","Australian","Lacrosse","General Sport","Training Area","Ultimate"},C338)))&gt;0,"full","unknown"))))</f>
        <v/>
      </c>
      <c r="E338" s="9"/>
      <c r="F338" s="9"/>
      <c r="G338" s="9"/>
      <c r="H338" s="9"/>
      <c r="I338" s="12"/>
      <c r="J338" s="9"/>
      <c r="K338" s="9"/>
      <c r="L338" s="9"/>
      <c r="M338" s="9"/>
      <c r="N338" s="9"/>
      <c r="O338" s="13" t="str">
        <f aca="false">IF(C338="","",IF(N(M338)+N(N338)&lt;Settings!$C$9,"untested",M338/(M338+N338)))</f>
        <v/>
      </c>
      <c r="P338" s="9"/>
      <c r="Q338" s="9"/>
      <c r="R338" s="9"/>
      <c r="S338" s="12"/>
      <c r="T338" s="9"/>
      <c r="U338" s="9"/>
      <c r="V338" s="9"/>
      <c r="W338" s="10" t="str">
        <f aca="false">IF(C338="","",IF(OR(G338="training",G338="full"),"Yes",IF(G338="none","No","?")))</f>
        <v/>
      </c>
      <c r="X338" s="10" t="str">
        <f aca="false">IF(C338="","",IF(OR(E338="",E338="unknown"),D338,E338))</f>
        <v/>
      </c>
      <c r="Y338" s="10" t="str">
        <f aca="false">IF(C338="","",IF(OR(T338="unsuitable",T338="retired",X338="no"),"—",IF(J338="","unrated",IF(AND(X338="full",J338&gt;=Settings!$C$5,OR(O338="untested",O338&gt;=Settings!$C$6)),"A",IF(AND(OR(X338="full",X338="reduced"),J338&gt;=Settings!$C$7,OR(O338="untested",O338&gt;=Settings!$C$8)),"B","C")))))</f>
        <v/>
      </c>
      <c r="Z338" s="11" t="str">
        <f aca="false">IF(C338="","",IF(P338&lt;&gt;"",P338,Y338))</f>
        <v/>
      </c>
    </row>
    <row r="339" customFormat="false" ht="15" hidden="false" customHeight="false" outlineLevel="0" collapsed="false">
      <c r="A339" s="9"/>
      <c r="B339" s="10" t="str">
        <f aca="false">IF(A339="","",IFERROR(INDEX(Parks!$A$2:$A$255,MATCH(A339,Parks!$B$2:$B$255,0)),"?"))</f>
        <v/>
      </c>
      <c r="C339" s="9"/>
      <c r="D339" s="10" t="str">
        <f aca="false">IF(C339="","",IF(SUMPRODUCT(--ISNUMBER(SEARCH({"Nets","Wicket","Diamond","Softball","T-ball","Baseball","Netball","Tennis","Bocce","Pentaque","Petanque","Skate","Car Park","Pond","Bridle","Amphitheatre","Perimeter","Passive"},C339)))&gt;0,"no",IF(SUMPRODUCT(--ISNUMBER(SEARCH({"Cricket","Junior","Mini","Summer Football","Small"},C339)))&gt;0,"reduced",IF(SUMPRODUCT(--ISNUMBER(SEARCH({"Rugby","Football","League","Touch","Gaelic","Australian","Lacrosse","General Sport","Training Area","Ultimate"},C339)))&gt;0,"full","unknown"))))</f>
        <v/>
      </c>
      <c r="E339" s="9"/>
      <c r="F339" s="9"/>
      <c r="G339" s="9"/>
      <c r="H339" s="9"/>
      <c r="I339" s="12"/>
      <c r="J339" s="9"/>
      <c r="K339" s="9"/>
      <c r="L339" s="9"/>
      <c r="M339" s="9"/>
      <c r="N339" s="9"/>
      <c r="O339" s="13" t="str">
        <f aca="false">IF(C339="","",IF(N(M339)+N(N339)&lt;Settings!$C$9,"untested",M339/(M339+N339)))</f>
        <v/>
      </c>
      <c r="P339" s="9"/>
      <c r="Q339" s="9"/>
      <c r="R339" s="9"/>
      <c r="S339" s="12"/>
      <c r="T339" s="9"/>
      <c r="U339" s="9"/>
      <c r="V339" s="9"/>
      <c r="W339" s="10" t="str">
        <f aca="false">IF(C339="","",IF(OR(G339="training",G339="full"),"Yes",IF(G339="none","No","?")))</f>
        <v/>
      </c>
      <c r="X339" s="10" t="str">
        <f aca="false">IF(C339="","",IF(OR(E339="",E339="unknown"),D339,E339))</f>
        <v/>
      </c>
      <c r="Y339" s="10" t="str">
        <f aca="false">IF(C339="","",IF(OR(T339="unsuitable",T339="retired",X339="no"),"—",IF(J339="","unrated",IF(AND(X339="full",J339&gt;=Settings!$C$5,OR(O339="untested",O339&gt;=Settings!$C$6)),"A",IF(AND(OR(X339="full",X339="reduced"),J339&gt;=Settings!$C$7,OR(O339="untested",O339&gt;=Settings!$C$8)),"B","C")))))</f>
        <v/>
      </c>
      <c r="Z339" s="11" t="str">
        <f aca="false">IF(C339="","",IF(P339&lt;&gt;"",P339,Y339))</f>
        <v/>
      </c>
    </row>
    <row r="340" customFormat="false" ht="15" hidden="false" customHeight="false" outlineLevel="0" collapsed="false">
      <c r="A340" s="9"/>
      <c r="B340" s="10" t="str">
        <f aca="false">IF(A340="","",IFERROR(INDEX(Parks!$A$2:$A$255,MATCH(A340,Parks!$B$2:$B$255,0)),"?"))</f>
        <v/>
      </c>
      <c r="C340" s="9"/>
      <c r="D340" s="10" t="str">
        <f aca="false">IF(C340="","",IF(SUMPRODUCT(--ISNUMBER(SEARCH({"Nets","Wicket","Diamond","Softball","T-ball","Baseball","Netball","Tennis","Bocce","Pentaque","Petanque","Skate","Car Park","Pond","Bridle","Amphitheatre","Perimeter","Passive"},C340)))&gt;0,"no",IF(SUMPRODUCT(--ISNUMBER(SEARCH({"Cricket","Junior","Mini","Summer Football","Small"},C340)))&gt;0,"reduced",IF(SUMPRODUCT(--ISNUMBER(SEARCH({"Rugby","Football","League","Touch","Gaelic","Australian","Lacrosse","General Sport","Training Area","Ultimate"},C340)))&gt;0,"full","unknown"))))</f>
        <v/>
      </c>
      <c r="E340" s="9"/>
      <c r="F340" s="9"/>
      <c r="G340" s="9"/>
      <c r="H340" s="9"/>
      <c r="I340" s="12"/>
      <c r="J340" s="9"/>
      <c r="K340" s="9"/>
      <c r="L340" s="9"/>
      <c r="M340" s="9"/>
      <c r="N340" s="9"/>
      <c r="O340" s="13" t="str">
        <f aca="false">IF(C340="","",IF(N(M340)+N(N340)&lt;Settings!$C$9,"untested",M340/(M340+N340)))</f>
        <v/>
      </c>
      <c r="P340" s="9"/>
      <c r="Q340" s="9"/>
      <c r="R340" s="9"/>
      <c r="S340" s="12"/>
      <c r="T340" s="9"/>
      <c r="U340" s="9"/>
      <c r="V340" s="9"/>
      <c r="W340" s="10" t="str">
        <f aca="false">IF(C340="","",IF(OR(G340="training",G340="full"),"Yes",IF(G340="none","No","?")))</f>
        <v/>
      </c>
      <c r="X340" s="10" t="str">
        <f aca="false">IF(C340="","",IF(OR(E340="",E340="unknown"),D340,E340))</f>
        <v/>
      </c>
      <c r="Y340" s="10" t="str">
        <f aca="false">IF(C340="","",IF(OR(T340="unsuitable",T340="retired",X340="no"),"—",IF(J340="","unrated",IF(AND(X340="full",J340&gt;=Settings!$C$5,OR(O340="untested",O340&gt;=Settings!$C$6)),"A",IF(AND(OR(X340="full",X340="reduced"),J340&gt;=Settings!$C$7,OR(O340="untested",O340&gt;=Settings!$C$8)),"B","C")))))</f>
        <v/>
      </c>
      <c r="Z340" s="11" t="str">
        <f aca="false">IF(C340="","",IF(P340&lt;&gt;"",P340,Y340))</f>
        <v/>
      </c>
    </row>
    <row r="341" customFormat="false" ht="15" hidden="false" customHeight="false" outlineLevel="0" collapsed="false">
      <c r="A341" s="9"/>
      <c r="B341" s="10" t="str">
        <f aca="false">IF(A341="","",IFERROR(INDEX(Parks!$A$2:$A$255,MATCH(A341,Parks!$B$2:$B$255,0)),"?"))</f>
        <v/>
      </c>
      <c r="C341" s="9"/>
      <c r="D341" s="10" t="str">
        <f aca="false">IF(C341="","",IF(SUMPRODUCT(--ISNUMBER(SEARCH({"Nets","Wicket","Diamond","Softball","T-ball","Baseball","Netball","Tennis","Bocce","Pentaque","Petanque","Skate","Car Park","Pond","Bridle","Amphitheatre","Perimeter","Passive"},C341)))&gt;0,"no",IF(SUMPRODUCT(--ISNUMBER(SEARCH({"Cricket","Junior","Mini","Summer Football","Small"},C341)))&gt;0,"reduced",IF(SUMPRODUCT(--ISNUMBER(SEARCH({"Rugby","Football","League","Touch","Gaelic","Australian","Lacrosse","General Sport","Training Area","Ultimate"},C341)))&gt;0,"full","unknown"))))</f>
        <v/>
      </c>
      <c r="E341" s="9"/>
      <c r="F341" s="9"/>
      <c r="G341" s="9"/>
      <c r="H341" s="9"/>
      <c r="I341" s="12"/>
      <c r="J341" s="9"/>
      <c r="K341" s="9"/>
      <c r="L341" s="9"/>
      <c r="M341" s="9"/>
      <c r="N341" s="9"/>
      <c r="O341" s="13" t="str">
        <f aca="false">IF(C341="","",IF(N(M341)+N(N341)&lt;Settings!$C$9,"untested",M341/(M341+N341)))</f>
        <v/>
      </c>
      <c r="P341" s="9"/>
      <c r="Q341" s="9"/>
      <c r="R341" s="9"/>
      <c r="S341" s="12"/>
      <c r="T341" s="9"/>
      <c r="U341" s="9"/>
      <c r="V341" s="9"/>
      <c r="W341" s="10" t="str">
        <f aca="false">IF(C341="","",IF(OR(G341="training",G341="full"),"Yes",IF(G341="none","No","?")))</f>
        <v/>
      </c>
      <c r="X341" s="10" t="str">
        <f aca="false">IF(C341="","",IF(OR(E341="",E341="unknown"),D341,E341))</f>
        <v/>
      </c>
      <c r="Y341" s="10" t="str">
        <f aca="false">IF(C341="","",IF(OR(T341="unsuitable",T341="retired",X341="no"),"—",IF(J341="","unrated",IF(AND(X341="full",J341&gt;=Settings!$C$5,OR(O341="untested",O341&gt;=Settings!$C$6)),"A",IF(AND(OR(X341="full",X341="reduced"),J341&gt;=Settings!$C$7,OR(O341="untested",O341&gt;=Settings!$C$8)),"B","C")))))</f>
        <v/>
      </c>
      <c r="Z341" s="11" t="str">
        <f aca="false">IF(C341="","",IF(P341&lt;&gt;"",P341,Y341))</f>
        <v/>
      </c>
    </row>
    <row r="342" customFormat="false" ht="15" hidden="false" customHeight="false" outlineLevel="0" collapsed="false">
      <c r="A342" s="9"/>
      <c r="B342" s="10" t="str">
        <f aca="false">IF(A342="","",IFERROR(INDEX(Parks!$A$2:$A$255,MATCH(A342,Parks!$B$2:$B$255,0)),"?"))</f>
        <v/>
      </c>
      <c r="C342" s="9"/>
      <c r="D342" s="10" t="str">
        <f aca="false">IF(C342="","",IF(SUMPRODUCT(--ISNUMBER(SEARCH({"Nets","Wicket","Diamond","Softball","T-ball","Baseball","Netball","Tennis","Bocce","Pentaque","Petanque","Skate","Car Park","Pond","Bridle","Amphitheatre","Perimeter","Passive"},C342)))&gt;0,"no",IF(SUMPRODUCT(--ISNUMBER(SEARCH({"Cricket","Junior","Mini","Summer Football","Small"},C342)))&gt;0,"reduced",IF(SUMPRODUCT(--ISNUMBER(SEARCH({"Rugby","Football","League","Touch","Gaelic","Australian","Lacrosse","General Sport","Training Area","Ultimate"},C342)))&gt;0,"full","unknown"))))</f>
        <v/>
      </c>
      <c r="E342" s="9"/>
      <c r="F342" s="9"/>
      <c r="G342" s="9"/>
      <c r="H342" s="9"/>
      <c r="I342" s="12"/>
      <c r="J342" s="9"/>
      <c r="K342" s="9"/>
      <c r="L342" s="9"/>
      <c r="M342" s="9"/>
      <c r="N342" s="9"/>
      <c r="O342" s="13" t="str">
        <f aca="false">IF(C342="","",IF(N(M342)+N(N342)&lt;Settings!$C$9,"untested",M342/(M342+N342)))</f>
        <v/>
      </c>
      <c r="P342" s="9"/>
      <c r="Q342" s="9"/>
      <c r="R342" s="9"/>
      <c r="S342" s="12"/>
      <c r="T342" s="9"/>
      <c r="U342" s="9"/>
      <c r="V342" s="9"/>
      <c r="W342" s="10" t="str">
        <f aca="false">IF(C342="","",IF(OR(G342="training",G342="full"),"Yes",IF(G342="none","No","?")))</f>
        <v/>
      </c>
      <c r="X342" s="10" t="str">
        <f aca="false">IF(C342="","",IF(OR(E342="",E342="unknown"),D342,E342))</f>
        <v/>
      </c>
      <c r="Y342" s="10" t="str">
        <f aca="false">IF(C342="","",IF(OR(T342="unsuitable",T342="retired",X342="no"),"—",IF(J342="","unrated",IF(AND(X342="full",J342&gt;=Settings!$C$5,OR(O342="untested",O342&gt;=Settings!$C$6)),"A",IF(AND(OR(X342="full",X342="reduced"),J342&gt;=Settings!$C$7,OR(O342="untested",O342&gt;=Settings!$C$8)),"B","C")))))</f>
        <v/>
      </c>
      <c r="Z342" s="11" t="str">
        <f aca="false">IF(C342="","",IF(P342&lt;&gt;"",P342,Y342))</f>
        <v/>
      </c>
    </row>
    <row r="343" customFormat="false" ht="15" hidden="false" customHeight="false" outlineLevel="0" collapsed="false">
      <c r="A343" s="9"/>
      <c r="B343" s="10" t="str">
        <f aca="false">IF(A343="","",IFERROR(INDEX(Parks!$A$2:$A$255,MATCH(A343,Parks!$B$2:$B$255,0)),"?"))</f>
        <v/>
      </c>
      <c r="C343" s="9"/>
      <c r="D343" s="10" t="str">
        <f aca="false">IF(C343="","",IF(SUMPRODUCT(--ISNUMBER(SEARCH({"Nets","Wicket","Diamond","Softball","T-ball","Baseball","Netball","Tennis","Bocce","Pentaque","Petanque","Skate","Car Park","Pond","Bridle","Amphitheatre","Perimeter","Passive"},C343)))&gt;0,"no",IF(SUMPRODUCT(--ISNUMBER(SEARCH({"Cricket","Junior","Mini","Summer Football","Small"},C343)))&gt;0,"reduced",IF(SUMPRODUCT(--ISNUMBER(SEARCH({"Rugby","Football","League","Touch","Gaelic","Australian","Lacrosse","General Sport","Training Area","Ultimate"},C343)))&gt;0,"full","unknown"))))</f>
        <v/>
      </c>
      <c r="E343" s="9"/>
      <c r="F343" s="9"/>
      <c r="G343" s="9"/>
      <c r="H343" s="9"/>
      <c r="I343" s="12"/>
      <c r="J343" s="9"/>
      <c r="K343" s="9"/>
      <c r="L343" s="9"/>
      <c r="M343" s="9"/>
      <c r="N343" s="9"/>
      <c r="O343" s="13" t="str">
        <f aca="false">IF(C343="","",IF(N(M343)+N(N343)&lt;Settings!$C$9,"untested",M343/(M343+N343)))</f>
        <v/>
      </c>
      <c r="P343" s="9"/>
      <c r="Q343" s="9"/>
      <c r="R343" s="9"/>
      <c r="S343" s="12"/>
      <c r="T343" s="9"/>
      <c r="U343" s="9"/>
      <c r="V343" s="9"/>
      <c r="W343" s="10" t="str">
        <f aca="false">IF(C343="","",IF(OR(G343="training",G343="full"),"Yes",IF(G343="none","No","?")))</f>
        <v/>
      </c>
      <c r="X343" s="10" t="str">
        <f aca="false">IF(C343="","",IF(OR(E343="",E343="unknown"),D343,E343))</f>
        <v/>
      </c>
      <c r="Y343" s="10" t="str">
        <f aca="false">IF(C343="","",IF(OR(T343="unsuitable",T343="retired",X343="no"),"—",IF(J343="","unrated",IF(AND(X343="full",J343&gt;=Settings!$C$5,OR(O343="untested",O343&gt;=Settings!$C$6)),"A",IF(AND(OR(X343="full",X343="reduced"),J343&gt;=Settings!$C$7,OR(O343="untested",O343&gt;=Settings!$C$8)),"B","C")))))</f>
        <v/>
      </c>
      <c r="Z343" s="11" t="str">
        <f aca="false">IF(C343="","",IF(P343&lt;&gt;"",P343,Y343))</f>
        <v/>
      </c>
    </row>
    <row r="344" customFormat="false" ht="15" hidden="false" customHeight="false" outlineLevel="0" collapsed="false">
      <c r="A344" s="9"/>
      <c r="B344" s="10" t="str">
        <f aca="false">IF(A344="","",IFERROR(INDEX(Parks!$A$2:$A$255,MATCH(A344,Parks!$B$2:$B$255,0)),"?"))</f>
        <v/>
      </c>
      <c r="C344" s="9"/>
      <c r="D344" s="10" t="str">
        <f aca="false">IF(C344="","",IF(SUMPRODUCT(--ISNUMBER(SEARCH({"Nets","Wicket","Diamond","Softball","T-ball","Baseball","Netball","Tennis","Bocce","Pentaque","Petanque","Skate","Car Park","Pond","Bridle","Amphitheatre","Perimeter","Passive"},C344)))&gt;0,"no",IF(SUMPRODUCT(--ISNUMBER(SEARCH({"Cricket","Junior","Mini","Summer Football","Small"},C344)))&gt;0,"reduced",IF(SUMPRODUCT(--ISNUMBER(SEARCH({"Rugby","Football","League","Touch","Gaelic","Australian","Lacrosse","General Sport","Training Area","Ultimate"},C344)))&gt;0,"full","unknown"))))</f>
        <v/>
      </c>
      <c r="E344" s="9"/>
      <c r="F344" s="9"/>
      <c r="G344" s="9"/>
      <c r="H344" s="9"/>
      <c r="I344" s="12"/>
      <c r="J344" s="9"/>
      <c r="K344" s="9"/>
      <c r="L344" s="9"/>
      <c r="M344" s="9"/>
      <c r="N344" s="9"/>
      <c r="O344" s="13" t="str">
        <f aca="false">IF(C344="","",IF(N(M344)+N(N344)&lt;Settings!$C$9,"untested",M344/(M344+N344)))</f>
        <v/>
      </c>
      <c r="P344" s="9"/>
      <c r="Q344" s="9"/>
      <c r="R344" s="9"/>
      <c r="S344" s="12"/>
      <c r="T344" s="9"/>
      <c r="U344" s="9"/>
      <c r="V344" s="9"/>
      <c r="W344" s="10" t="str">
        <f aca="false">IF(C344="","",IF(OR(G344="training",G344="full"),"Yes",IF(G344="none","No","?")))</f>
        <v/>
      </c>
      <c r="X344" s="10" t="str">
        <f aca="false">IF(C344="","",IF(OR(E344="",E344="unknown"),D344,E344))</f>
        <v/>
      </c>
      <c r="Y344" s="10" t="str">
        <f aca="false">IF(C344="","",IF(OR(T344="unsuitable",T344="retired",X344="no"),"—",IF(J344="","unrated",IF(AND(X344="full",J344&gt;=Settings!$C$5,OR(O344="untested",O344&gt;=Settings!$C$6)),"A",IF(AND(OR(X344="full",X344="reduced"),J344&gt;=Settings!$C$7,OR(O344="untested",O344&gt;=Settings!$C$8)),"B","C")))))</f>
        <v/>
      </c>
      <c r="Z344" s="11" t="str">
        <f aca="false">IF(C344="","",IF(P344&lt;&gt;"",P344,Y344))</f>
        <v/>
      </c>
    </row>
    <row r="345" customFormat="false" ht="15" hidden="false" customHeight="false" outlineLevel="0" collapsed="false">
      <c r="A345" s="9"/>
      <c r="B345" s="10" t="str">
        <f aca="false">IF(A345="","",IFERROR(INDEX(Parks!$A$2:$A$255,MATCH(A345,Parks!$B$2:$B$255,0)),"?"))</f>
        <v/>
      </c>
      <c r="C345" s="9"/>
      <c r="D345" s="10" t="str">
        <f aca="false">IF(C345="","",IF(SUMPRODUCT(--ISNUMBER(SEARCH({"Nets","Wicket","Diamond","Softball","T-ball","Baseball","Netball","Tennis","Bocce","Pentaque","Petanque","Skate","Car Park","Pond","Bridle","Amphitheatre","Perimeter","Passive"},C345)))&gt;0,"no",IF(SUMPRODUCT(--ISNUMBER(SEARCH({"Cricket","Junior","Mini","Summer Football","Small"},C345)))&gt;0,"reduced",IF(SUMPRODUCT(--ISNUMBER(SEARCH({"Rugby","Football","League","Touch","Gaelic","Australian","Lacrosse","General Sport","Training Area","Ultimate"},C345)))&gt;0,"full","unknown"))))</f>
        <v/>
      </c>
      <c r="E345" s="9"/>
      <c r="F345" s="9"/>
      <c r="G345" s="9"/>
      <c r="H345" s="9"/>
      <c r="I345" s="12"/>
      <c r="J345" s="9"/>
      <c r="K345" s="9"/>
      <c r="L345" s="9"/>
      <c r="M345" s="9"/>
      <c r="N345" s="9"/>
      <c r="O345" s="13" t="str">
        <f aca="false">IF(C345="","",IF(N(M345)+N(N345)&lt;Settings!$C$9,"untested",M345/(M345+N345)))</f>
        <v/>
      </c>
      <c r="P345" s="9"/>
      <c r="Q345" s="9"/>
      <c r="R345" s="9"/>
      <c r="S345" s="12"/>
      <c r="T345" s="9"/>
      <c r="U345" s="9"/>
      <c r="V345" s="9"/>
      <c r="W345" s="10" t="str">
        <f aca="false">IF(C345="","",IF(OR(G345="training",G345="full"),"Yes",IF(G345="none","No","?")))</f>
        <v/>
      </c>
      <c r="X345" s="10" t="str">
        <f aca="false">IF(C345="","",IF(OR(E345="",E345="unknown"),D345,E345))</f>
        <v/>
      </c>
      <c r="Y345" s="10" t="str">
        <f aca="false">IF(C345="","",IF(OR(T345="unsuitable",T345="retired",X345="no"),"—",IF(J345="","unrated",IF(AND(X345="full",J345&gt;=Settings!$C$5,OR(O345="untested",O345&gt;=Settings!$C$6)),"A",IF(AND(OR(X345="full",X345="reduced"),J345&gt;=Settings!$C$7,OR(O345="untested",O345&gt;=Settings!$C$8)),"B","C")))))</f>
        <v/>
      </c>
      <c r="Z345" s="11" t="str">
        <f aca="false">IF(C345="","",IF(P345&lt;&gt;"",P345,Y345))</f>
        <v/>
      </c>
    </row>
    <row r="346" customFormat="false" ht="15" hidden="false" customHeight="false" outlineLevel="0" collapsed="false">
      <c r="A346" s="9"/>
      <c r="B346" s="10" t="str">
        <f aca="false">IF(A346="","",IFERROR(INDEX(Parks!$A$2:$A$255,MATCH(A346,Parks!$B$2:$B$255,0)),"?"))</f>
        <v/>
      </c>
      <c r="C346" s="9"/>
      <c r="D346" s="10" t="str">
        <f aca="false">IF(C346="","",IF(SUMPRODUCT(--ISNUMBER(SEARCH({"Nets","Wicket","Diamond","Softball","T-ball","Baseball","Netball","Tennis","Bocce","Pentaque","Petanque","Skate","Car Park","Pond","Bridle","Amphitheatre","Perimeter","Passive"},C346)))&gt;0,"no",IF(SUMPRODUCT(--ISNUMBER(SEARCH({"Cricket","Junior","Mini","Summer Football","Small"},C346)))&gt;0,"reduced",IF(SUMPRODUCT(--ISNUMBER(SEARCH({"Rugby","Football","League","Touch","Gaelic","Australian","Lacrosse","General Sport","Training Area","Ultimate"},C346)))&gt;0,"full","unknown"))))</f>
        <v/>
      </c>
      <c r="E346" s="9"/>
      <c r="F346" s="9"/>
      <c r="G346" s="9"/>
      <c r="H346" s="9"/>
      <c r="I346" s="12"/>
      <c r="J346" s="9"/>
      <c r="K346" s="9"/>
      <c r="L346" s="9"/>
      <c r="M346" s="9"/>
      <c r="N346" s="9"/>
      <c r="O346" s="13" t="str">
        <f aca="false">IF(C346="","",IF(N(M346)+N(N346)&lt;Settings!$C$9,"untested",M346/(M346+N346)))</f>
        <v/>
      </c>
      <c r="P346" s="9"/>
      <c r="Q346" s="9"/>
      <c r="R346" s="9"/>
      <c r="S346" s="12"/>
      <c r="T346" s="9"/>
      <c r="U346" s="9"/>
      <c r="V346" s="9"/>
      <c r="W346" s="10" t="str">
        <f aca="false">IF(C346="","",IF(OR(G346="training",G346="full"),"Yes",IF(G346="none","No","?")))</f>
        <v/>
      </c>
      <c r="X346" s="10" t="str">
        <f aca="false">IF(C346="","",IF(OR(E346="",E346="unknown"),D346,E346))</f>
        <v/>
      </c>
      <c r="Y346" s="10" t="str">
        <f aca="false">IF(C346="","",IF(OR(T346="unsuitable",T346="retired",X346="no"),"—",IF(J346="","unrated",IF(AND(X346="full",J346&gt;=Settings!$C$5,OR(O346="untested",O346&gt;=Settings!$C$6)),"A",IF(AND(OR(X346="full",X346="reduced"),J346&gt;=Settings!$C$7,OR(O346="untested",O346&gt;=Settings!$C$8)),"B","C")))))</f>
        <v/>
      </c>
      <c r="Z346" s="11" t="str">
        <f aca="false">IF(C346="","",IF(P346&lt;&gt;"",P346,Y346))</f>
        <v/>
      </c>
    </row>
    <row r="347" customFormat="false" ht="15" hidden="false" customHeight="false" outlineLevel="0" collapsed="false">
      <c r="A347" s="9"/>
      <c r="B347" s="10" t="str">
        <f aca="false">IF(A347="","",IFERROR(INDEX(Parks!$A$2:$A$255,MATCH(A347,Parks!$B$2:$B$255,0)),"?"))</f>
        <v/>
      </c>
      <c r="C347" s="9"/>
      <c r="D347" s="10" t="str">
        <f aca="false">IF(C347="","",IF(SUMPRODUCT(--ISNUMBER(SEARCH({"Nets","Wicket","Diamond","Softball","T-ball","Baseball","Netball","Tennis","Bocce","Pentaque","Petanque","Skate","Car Park","Pond","Bridle","Amphitheatre","Perimeter","Passive"},C347)))&gt;0,"no",IF(SUMPRODUCT(--ISNUMBER(SEARCH({"Cricket","Junior","Mini","Summer Football","Small"},C347)))&gt;0,"reduced",IF(SUMPRODUCT(--ISNUMBER(SEARCH({"Rugby","Football","League","Touch","Gaelic","Australian","Lacrosse","General Sport","Training Area","Ultimate"},C347)))&gt;0,"full","unknown"))))</f>
        <v/>
      </c>
      <c r="E347" s="9"/>
      <c r="F347" s="9"/>
      <c r="G347" s="9"/>
      <c r="H347" s="9"/>
      <c r="I347" s="12"/>
      <c r="J347" s="9"/>
      <c r="K347" s="9"/>
      <c r="L347" s="9"/>
      <c r="M347" s="9"/>
      <c r="N347" s="9"/>
      <c r="O347" s="13" t="str">
        <f aca="false">IF(C347="","",IF(N(M347)+N(N347)&lt;Settings!$C$9,"untested",M347/(M347+N347)))</f>
        <v/>
      </c>
      <c r="P347" s="9"/>
      <c r="Q347" s="9"/>
      <c r="R347" s="9"/>
      <c r="S347" s="12"/>
      <c r="T347" s="9"/>
      <c r="U347" s="9"/>
      <c r="V347" s="9"/>
      <c r="W347" s="10" t="str">
        <f aca="false">IF(C347="","",IF(OR(G347="training",G347="full"),"Yes",IF(G347="none","No","?")))</f>
        <v/>
      </c>
      <c r="X347" s="10" t="str">
        <f aca="false">IF(C347="","",IF(OR(E347="",E347="unknown"),D347,E347))</f>
        <v/>
      </c>
      <c r="Y347" s="10" t="str">
        <f aca="false">IF(C347="","",IF(OR(T347="unsuitable",T347="retired",X347="no"),"—",IF(J347="","unrated",IF(AND(X347="full",J347&gt;=Settings!$C$5,OR(O347="untested",O347&gt;=Settings!$C$6)),"A",IF(AND(OR(X347="full",X347="reduced"),J347&gt;=Settings!$C$7,OR(O347="untested",O347&gt;=Settings!$C$8)),"B","C")))))</f>
        <v/>
      </c>
      <c r="Z347" s="11" t="str">
        <f aca="false">IF(C347="","",IF(P347&lt;&gt;"",P347,Y347))</f>
        <v/>
      </c>
    </row>
    <row r="348" customFormat="false" ht="15" hidden="false" customHeight="false" outlineLevel="0" collapsed="false">
      <c r="A348" s="9"/>
      <c r="B348" s="10" t="str">
        <f aca="false">IF(A348="","",IFERROR(INDEX(Parks!$A$2:$A$255,MATCH(A348,Parks!$B$2:$B$255,0)),"?"))</f>
        <v/>
      </c>
      <c r="C348" s="9"/>
      <c r="D348" s="10" t="str">
        <f aca="false">IF(C348="","",IF(SUMPRODUCT(--ISNUMBER(SEARCH({"Nets","Wicket","Diamond","Softball","T-ball","Baseball","Netball","Tennis","Bocce","Pentaque","Petanque","Skate","Car Park","Pond","Bridle","Amphitheatre","Perimeter","Passive"},C348)))&gt;0,"no",IF(SUMPRODUCT(--ISNUMBER(SEARCH({"Cricket","Junior","Mini","Summer Football","Small"},C348)))&gt;0,"reduced",IF(SUMPRODUCT(--ISNUMBER(SEARCH({"Rugby","Football","League","Touch","Gaelic","Australian","Lacrosse","General Sport","Training Area","Ultimate"},C348)))&gt;0,"full","unknown"))))</f>
        <v/>
      </c>
      <c r="E348" s="9"/>
      <c r="F348" s="9"/>
      <c r="G348" s="9"/>
      <c r="H348" s="9"/>
      <c r="I348" s="12"/>
      <c r="J348" s="9"/>
      <c r="K348" s="9"/>
      <c r="L348" s="9"/>
      <c r="M348" s="9"/>
      <c r="N348" s="9"/>
      <c r="O348" s="13" t="str">
        <f aca="false">IF(C348="","",IF(N(M348)+N(N348)&lt;Settings!$C$9,"untested",M348/(M348+N348)))</f>
        <v/>
      </c>
      <c r="P348" s="9"/>
      <c r="Q348" s="9"/>
      <c r="R348" s="9"/>
      <c r="S348" s="12"/>
      <c r="T348" s="9"/>
      <c r="U348" s="9"/>
      <c r="V348" s="9"/>
      <c r="W348" s="10" t="str">
        <f aca="false">IF(C348="","",IF(OR(G348="training",G348="full"),"Yes",IF(G348="none","No","?")))</f>
        <v/>
      </c>
      <c r="X348" s="10" t="str">
        <f aca="false">IF(C348="","",IF(OR(E348="",E348="unknown"),D348,E348))</f>
        <v/>
      </c>
      <c r="Y348" s="10" t="str">
        <f aca="false">IF(C348="","",IF(OR(T348="unsuitable",T348="retired",X348="no"),"—",IF(J348="","unrated",IF(AND(X348="full",J348&gt;=Settings!$C$5,OR(O348="untested",O348&gt;=Settings!$C$6)),"A",IF(AND(OR(X348="full",X348="reduced"),J348&gt;=Settings!$C$7,OR(O348="untested",O348&gt;=Settings!$C$8)),"B","C")))))</f>
        <v/>
      </c>
      <c r="Z348" s="11" t="str">
        <f aca="false">IF(C348="","",IF(P348&lt;&gt;"",P348,Y348))</f>
        <v/>
      </c>
    </row>
    <row r="349" customFormat="false" ht="15" hidden="false" customHeight="false" outlineLevel="0" collapsed="false">
      <c r="A349" s="9"/>
      <c r="B349" s="10" t="str">
        <f aca="false">IF(A349="","",IFERROR(INDEX(Parks!$A$2:$A$255,MATCH(A349,Parks!$B$2:$B$255,0)),"?"))</f>
        <v/>
      </c>
      <c r="C349" s="9"/>
      <c r="D349" s="10" t="str">
        <f aca="false">IF(C349="","",IF(SUMPRODUCT(--ISNUMBER(SEARCH({"Nets","Wicket","Diamond","Softball","T-ball","Baseball","Netball","Tennis","Bocce","Pentaque","Petanque","Skate","Car Park","Pond","Bridle","Amphitheatre","Perimeter","Passive"},C349)))&gt;0,"no",IF(SUMPRODUCT(--ISNUMBER(SEARCH({"Cricket","Junior","Mini","Summer Football","Small"},C349)))&gt;0,"reduced",IF(SUMPRODUCT(--ISNUMBER(SEARCH({"Rugby","Football","League","Touch","Gaelic","Australian","Lacrosse","General Sport","Training Area","Ultimate"},C349)))&gt;0,"full","unknown"))))</f>
        <v/>
      </c>
      <c r="E349" s="9"/>
      <c r="F349" s="9"/>
      <c r="G349" s="9"/>
      <c r="H349" s="9"/>
      <c r="I349" s="12"/>
      <c r="J349" s="9"/>
      <c r="K349" s="9"/>
      <c r="L349" s="9"/>
      <c r="M349" s="9"/>
      <c r="N349" s="9"/>
      <c r="O349" s="13" t="str">
        <f aca="false">IF(C349="","",IF(N(M349)+N(N349)&lt;Settings!$C$9,"untested",M349/(M349+N349)))</f>
        <v/>
      </c>
      <c r="P349" s="9"/>
      <c r="Q349" s="9"/>
      <c r="R349" s="9"/>
      <c r="S349" s="12"/>
      <c r="T349" s="9"/>
      <c r="U349" s="9"/>
      <c r="V349" s="9"/>
      <c r="W349" s="10" t="str">
        <f aca="false">IF(C349="","",IF(OR(G349="training",G349="full"),"Yes",IF(G349="none","No","?")))</f>
        <v/>
      </c>
      <c r="X349" s="10" t="str">
        <f aca="false">IF(C349="","",IF(OR(E349="",E349="unknown"),D349,E349))</f>
        <v/>
      </c>
      <c r="Y349" s="10" t="str">
        <f aca="false">IF(C349="","",IF(OR(T349="unsuitable",T349="retired",X349="no"),"—",IF(J349="","unrated",IF(AND(X349="full",J349&gt;=Settings!$C$5,OR(O349="untested",O349&gt;=Settings!$C$6)),"A",IF(AND(OR(X349="full",X349="reduced"),J349&gt;=Settings!$C$7,OR(O349="untested",O349&gt;=Settings!$C$8)),"B","C")))))</f>
        <v/>
      </c>
      <c r="Z349" s="11" t="str">
        <f aca="false">IF(C349="","",IF(P349&lt;&gt;"",P349,Y349))</f>
        <v/>
      </c>
    </row>
    <row r="350" customFormat="false" ht="15" hidden="false" customHeight="false" outlineLevel="0" collapsed="false">
      <c r="A350" s="9"/>
      <c r="B350" s="10" t="str">
        <f aca="false">IF(A350="","",IFERROR(INDEX(Parks!$A$2:$A$255,MATCH(A350,Parks!$B$2:$B$255,0)),"?"))</f>
        <v/>
      </c>
      <c r="C350" s="9"/>
      <c r="D350" s="10" t="str">
        <f aca="false">IF(C350="","",IF(SUMPRODUCT(--ISNUMBER(SEARCH({"Nets","Wicket","Diamond","Softball","T-ball","Baseball","Netball","Tennis","Bocce","Pentaque","Petanque","Skate","Car Park","Pond","Bridle","Amphitheatre","Perimeter","Passive"},C350)))&gt;0,"no",IF(SUMPRODUCT(--ISNUMBER(SEARCH({"Cricket","Junior","Mini","Summer Football","Small"},C350)))&gt;0,"reduced",IF(SUMPRODUCT(--ISNUMBER(SEARCH({"Rugby","Football","League","Touch","Gaelic","Australian","Lacrosse","General Sport","Training Area","Ultimate"},C350)))&gt;0,"full","unknown"))))</f>
        <v/>
      </c>
      <c r="E350" s="9"/>
      <c r="F350" s="9"/>
      <c r="G350" s="9"/>
      <c r="H350" s="9"/>
      <c r="I350" s="12"/>
      <c r="J350" s="9"/>
      <c r="K350" s="9"/>
      <c r="L350" s="9"/>
      <c r="M350" s="9"/>
      <c r="N350" s="9"/>
      <c r="O350" s="13" t="str">
        <f aca="false">IF(C350="","",IF(N(M350)+N(N350)&lt;Settings!$C$9,"untested",M350/(M350+N350)))</f>
        <v/>
      </c>
      <c r="P350" s="9"/>
      <c r="Q350" s="9"/>
      <c r="R350" s="9"/>
      <c r="S350" s="12"/>
      <c r="T350" s="9"/>
      <c r="U350" s="9"/>
      <c r="V350" s="9"/>
      <c r="W350" s="10" t="str">
        <f aca="false">IF(C350="","",IF(OR(G350="training",G350="full"),"Yes",IF(G350="none","No","?")))</f>
        <v/>
      </c>
      <c r="X350" s="10" t="str">
        <f aca="false">IF(C350="","",IF(OR(E350="",E350="unknown"),D350,E350))</f>
        <v/>
      </c>
      <c r="Y350" s="10" t="str">
        <f aca="false">IF(C350="","",IF(OR(T350="unsuitable",T350="retired",X350="no"),"—",IF(J350="","unrated",IF(AND(X350="full",J350&gt;=Settings!$C$5,OR(O350="untested",O350&gt;=Settings!$C$6)),"A",IF(AND(OR(X350="full",X350="reduced"),J350&gt;=Settings!$C$7,OR(O350="untested",O350&gt;=Settings!$C$8)),"B","C")))))</f>
        <v/>
      </c>
      <c r="Z350" s="11" t="str">
        <f aca="false">IF(C350="","",IF(P350&lt;&gt;"",P350,Y350))</f>
        <v/>
      </c>
    </row>
    <row r="351" customFormat="false" ht="15" hidden="false" customHeight="false" outlineLevel="0" collapsed="false">
      <c r="A351" s="9"/>
      <c r="B351" s="10" t="str">
        <f aca="false">IF(A351="","",IFERROR(INDEX(Parks!$A$2:$A$255,MATCH(A351,Parks!$B$2:$B$255,0)),"?"))</f>
        <v/>
      </c>
      <c r="C351" s="9"/>
      <c r="D351" s="10" t="str">
        <f aca="false">IF(C351="","",IF(SUMPRODUCT(--ISNUMBER(SEARCH({"Nets","Wicket","Diamond","Softball","T-ball","Baseball","Netball","Tennis","Bocce","Pentaque","Petanque","Skate","Car Park","Pond","Bridle","Amphitheatre","Perimeter","Passive"},C351)))&gt;0,"no",IF(SUMPRODUCT(--ISNUMBER(SEARCH({"Cricket","Junior","Mini","Summer Football","Small"},C351)))&gt;0,"reduced",IF(SUMPRODUCT(--ISNUMBER(SEARCH({"Rugby","Football","League","Touch","Gaelic","Australian","Lacrosse","General Sport","Training Area","Ultimate"},C351)))&gt;0,"full","unknown"))))</f>
        <v/>
      </c>
      <c r="E351" s="9"/>
      <c r="F351" s="9"/>
      <c r="G351" s="9"/>
      <c r="H351" s="9"/>
      <c r="I351" s="12"/>
      <c r="J351" s="9"/>
      <c r="K351" s="9"/>
      <c r="L351" s="9"/>
      <c r="M351" s="9"/>
      <c r="N351" s="9"/>
      <c r="O351" s="13" t="str">
        <f aca="false">IF(C351="","",IF(N(M351)+N(N351)&lt;Settings!$C$9,"untested",M351/(M351+N351)))</f>
        <v/>
      </c>
      <c r="P351" s="9"/>
      <c r="Q351" s="9"/>
      <c r="R351" s="9"/>
      <c r="S351" s="12"/>
      <c r="T351" s="9"/>
      <c r="U351" s="9"/>
      <c r="V351" s="9"/>
      <c r="W351" s="10" t="str">
        <f aca="false">IF(C351="","",IF(OR(G351="training",G351="full"),"Yes",IF(G351="none","No","?")))</f>
        <v/>
      </c>
      <c r="X351" s="10" t="str">
        <f aca="false">IF(C351="","",IF(OR(E351="",E351="unknown"),D351,E351))</f>
        <v/>
      </c>
      <c r="Y351" s="10" t="str">
        <f aca="false">IF(C351="","",IF(OR(T351="unsuitable",T351="retired",X351="no"),"—",IF(J351="","unrated",IF(AND(X351="full",J351&gt;=Settings!$C$5,OR(O351="untested",O351&gt;=Settings!$C$6)),"A",IF(AND(OR(X351="full",X351="reduced"),J351&gt;=Settings!$C$7,OR(O351="untested",O351&gt;=Settings!$C$8)),"B","C")))))</f>
        <v/>
      </c>
      <c r="Z351" s="11" t="str">
        <f aca="false">IF(C351="","",IF(P351&lt;&gt;"",P351,Y351))</f>
        <v/>
      </c>
    </row>
    <row r="352" customFormat="false" ht="15" hidden="false" customHeight="false" outlineLevel="0" collapsed="false">
      <c r="A352" s="9"/>
      <c r="B352" s="10" t="str">
        <f aca="false">IF(A352="","",IFERROR(INDEX(Parks!$A$2:$A$255,MATCH(A352,Parks!$B$2:$B$255,0)),"?"))</f>
        <v/>
      </c>
      <c r="C352" s="9"/>
      <c r="D352" s="10" t="str">
        <f aca="false">IF(C352="","",IF(SUMPRODUCT(--ISNUMBER(SEARCH({"Nets","Wicket","Diamond","Softball","T-ball","Baseball","Netball","Tennis","Bocce","Pentaque","Petanque","Skate","Car Park","Pond","Bridle","Amphitheatre","Perimeter","Passive"},C352)))&gt;0,"no",IF(SUMPRODUCT(--ISNUMBER(SEARCH({"Cricket","Junior","Mini","Summer Football","Small"},C352)))&gt;0,"reduced",IF(SUMPRODUCT(--ISNUMBER(SEARCH({"Rugby","Football","League","Touch","Gaelic","Australian","Lacrosse","General Sport","Training Area","Ultimate"},C352)))&gt;0,"full","unknown"))))</f>
        <v/>
      </c>
      <c r="E352" s="9"/>
      <c r="F352" s="9"/>
      <c r="G352" s="9"/>
      <c r="H352" s="9"/>
      <c r="I352" s="12"/>
      <c r="J352" s="9"/>
      <c r="K352" s="9"/>
      <c r="L352" s="9"/>
      <c r="M352" s="9"/>
      <c r="N352" s="9"/>
      <c r="O352" s="13" t="str">
        <f aca="false">IF(C352="","",IF(N(M352)+N(N352)&lt;Settings!$C$9,"untested",M352/(M352+N352)))</f>
        <v/>
      </c>
      <c r="P352" s="9"/>
      <c r="Q352" s="9"/>
      <c r="R352" s="9"/>
      <c r="S352" s="12"/>
      <c r="T352" s="9"/>
      <c r="U352" s="9"/>
      <c r="V352" s="9"/>
      <c r="W352" s="10" t="str">
        <f aca="false">IF(C352="","",IF(OR(G352="training",G352="full"),"Yes",IF(G352="none","No","?")))</f>
        <v/>
      </c>
      <c r="X352" s="10" t="str">
        <f aca="false">IF(C352="","",IF(OR(E352="",E352="unknown"),D352,E352))</f>
        <v/>
      </c>
      <c r="Y352" s="10" t="str">
        <f aca="false">IF(C352="","",IF(OR(T352="unsuitable",T352="retired",X352="no"),"—",IF(J352="","unrated",IF(AND(X352="full",J352&gt;=Settings!$C$5,OR(O352="untested",O352&gt;=Settings!$C$6)),"A",IF(AND(OR(X352="full",X352="reduced"),J352&gt;=Settings!$C$7,OR(O352="untested",O352&gt;=Settings!$C$8)),"B","C")))))</f>
        <v/>
      </c>
      <c r="Z352" s="11" t="str">
        <f aca="false">IF(C352="","",IF(P352&lt;&gt;"",P352,Y352))</f>
        <v/>
      </c>
    </row>
    <row r="353" customFormat="false" ht="15" hidden="false" customHeight="false" outlineLevel="0" collapsed="false">
      <c r="A353" s="9"/>
      <c r="B353" s="10" t="str">
        <f aca="false">IF(A353="","",IFERROR(INDEX(Parks!$A$2:$A$255,MATCH(A353,Parks!$B$2:$B$255,0)),"?"))</f>
        <v/>
      </c>
      <c r="C353" s="9"/>
      <c r="D353" s="10" t="str">
        <f aca="false">IF(C353="","",IF(SUMPRODUCT(--ISNUMBER(SEARCH({"Nets","Wicket","Diamond","Softball","T-ball","Baseball","Netball","Tennis","Bocce","Pentaque","Petanque","Skate","Car Park","Pond","Bridle","Amphitheatre","Perimeter","Passive"},C353)))&gt;0,"no",IF(SUMPRODUCT(--ISNUMBER(SEARCH({"Cricket","Junior","Mini","Summer Football","Small"},C353)))&gt;0,"reduced",IF(SUMPRODUCT(--ISNUMBER(SEARCH({"Rugby","Football","League","Touch","Gaelic","Australian","Lacrosse","General Sport","Training Area","Ultimate"},C353)))&gt;0,"full","unknown"))))</f>
        <v/>
      </c>
      <c r="E353" s="9"/>
      <c r="F353" s="9"/>
      <c r="G353" s="9"/>
      <c r="H353" s="9"/>
      <c r="I353" s="12"/>
      <c r="J353" s="9"/>
      <c r="K353" s="9"/>
      <c r="L353" s="9"/>
      <c r="M353" s="9"/>
      <c r="N353" s="9"/>
      <c r="O353" s="13" t="str">
        <f aca="false">IF(C353="","",IF(N(M353)+N(N353)&lt;Settings!$C$9,"untested",M353/(M353+N353)))</f>
        <v/>
      </c>
      <c r="P353" s="9"/>
      <c r="Q353" s="9"/>
      <c r="R353" s="9"/>
      <c r="S353" s="12"/>
      <c r="T353" s="9"/>
      <c r="U353" s="9"/>
      <c r="V353" s="9"/>
      <c r="W353" s="10" t="str">
        <f aca="false">IF(C353="","",IF(OR(G353="training",G353="full"),"Yes",IF(G353="none","No","?")))</f>
        <v/>
      </c>
      <c r="X353" s="10" t="str">
        <f aca="false">IF(C353="","",IF(OR(E353="",E353="unknown"),D353,E353))</f>
        <v/>
      </c>
      <c r="Y353" s="10" t="str">
        <f aca="false">IF(C353="","",IF(OR(T353="unsuitable",T353="retired",X353="no"),"—",IF(J353="","unrated",IF(AND(X353="full",J353&gt;=Settings!$C$5,OR(O353="untested",O353&gt;=Settings!$C$6)),"A",IF(AND(OR(X353="full",X353="reduced"),J353&gt;=Settings!$C$7,OR(O353="untested",O353&gt;=Settings!$C$8)),"B","C")))))</f>
        <v/>
      </c>
      <c r="Z353" s="11" t="str">
        <f aca="false">IF(C353="","",IF(P353&lt;&gt;"",P353,Y353))</f>
        <v/>
      </c>
    </row>
    <row r="354" customFormat="false" ht="15" hidden="false" customHeight="false" outlineLevel="0" collapsed="false">
      <c r="A354" s="9"/>
      <c r="B354" s="10" t="str">
        <f aca="false">IF(A354="","",IFERROR(INDEX(Parks!$A$2:$A$255,MATCH(A354,Parks!$B$2:$B$255,0)),"?"))</f>
        <v/>
      </c>
      <c r="C354" s="9"/>
      <c r="D354" s="10" t="str">
        <f aca="false">IF(C354="","",IF(SUMPRODUCT(--ISNUMBER(SEARCH({"Nets","Wicket","Diamond","Softball","T-ball","Baseball","Netball","Tennis","Bocce","Pentaque","Petanque","Skate","Car Park","Pond","Bridle","Amphitheatre","Perimeter","Passive"},C354)))&gt;0,"no",IF(SUMPRODUCT(--ISNUMBER(SEARCH({"Cricket","Junior","Mini","Summer Football","Small"},C354)))&gt;0,"reduced",IF(SUMPRODUCT(--ISNUMBER(SEARCH({"Rugby","Football","League","Touch","Gaelic","Australian","Lacrosse","General Sport","Training Area","Ultimate"},C354)))&gt;0,"full","unknown"))))</f>
        <v/>
      </c>
      <c r="E354" s="9"/>
      <c r="F354" s="9"/>
      <c r="G354" s="9"/>
      <c r="H354" s="9"/>
      <c r="I354" s="12"/>
      <c r="J354" s="9"/>
      <c r="K354" s="9"/>
      <c r="L354" s="9"/>
      <c r="M354" s="9"/>
      <c r="N354" s="9"/>
      <c r="O354" s="13" t="str">
        <f aca="false">IF(C354="","",IF(N(M354)+N(N354)&lt;Settings!$C$9,"untested",M354/(M354+N354)))</f>
        <v/>
      </c>
      <c r="P354" s="9"/>
      <c r="Q354" s="9"/>
      <c r="R354" s="9"/>
      <c r="S354" s="12"/>
      <c r="T354" s="9"/>
      <c r="U354" s="9"/>
      <c r="V354" s="9"/>
      <c r="W354" s="10" t="str">
        <f aca="false">IF(C354="","",IF(OR(G354="training",G354="full"),"Yes",IF(G354="none","No","?")))</f>
        <v/>
      </c>
      <c r="X354" s="10" t="str">
        <f aca="false">IF(C354="","",IF(OR(E354="",E354="unknown"),D354,E354))</f>
        <v/>
      </c>
      <c r="Y354" s="10" t="str">
        <f aca="false">IF(C354="","",IF(OR(T354="unsuitable",T354="retired",X354="no"),"—",IF(J354="","unrated",IF(AND(X354="full",J354&gt;=Settings!$C$5,OR(O354="untested",O354&gt;=Settings!$C$6)),"A",IF(AND(OR(X354="full",X354="reduced"),J354&gt;=Settings!$C$7,OR(O354="untested",O354&gt;=Settings!$C$8)),"B","C")))))</f>
        <v/>
      </c>
      <c r="Z354" s="11" t="str">
        <f aca="false">IF(C354="","",IF(P354&lt;&gt;"",P354,Y354))</f>
        <v/>
      </c>
    </row>
    <row r="355" customFormat="false" ht="15" hidden="false" customHeight="false" outlineLevel="0" collapsed="false">
      <c r="A355" s="9"/>
      <c r="B355" s="10" t="str">
        <f aca="false">IF(A355="","",IFERROR(INDEX(Parks!$A$2:$A$255,MATCH(A355,Parks!$B$2:$B$255,0)),"?"))</f>
        <v/>
      </c>
      <c r="C355" s="9"/>
      <c r="D355" s="10" t="str">
        <f aca="false">IF(C355="","",IF(SUMPRODUCT(--ISNUMBER(SEARCH({"Nets","Wicket","Diamond","Softball","T-ball","Baseball","Netball","Tennis","Bocce","Pentaque","Petanque","Skate","Car Park","Pond","Bridle","Amphitheatre","Perimeter","Passive"},C355)))&gt;0,"no",IF(SUMPRODUCT(--ISNUMBER(SEARCH({"Cricket","Junior","Mini","Summer Football","Small"},C355)))&gt;0,"reduced",IF(SUMPRODUCT(--ISNUMBER(SEARCH({"Rugby","Football","League","Touch","Gaelic","Australian","Lacrosse","General Sport","Training Area","Ultimate"},C355)))&gt;0,"full","unknown"))))</f>
        <v/>
      </c>
      <c r="E355" s="9"/>
      <c r="F355" s="9"/>
      <c r="G355" s="9"/>
      <c r="H355" s="9"/>
      <c r="I355" s="12"/>
      <c r="J355" s="9"/>
      <c r="K355" s="9"/>
      <c r="L355" s="9"/>
      <c r="M355" s="9"/>
      <c r="N355" s="9"/>
      <c r="O355" s="13" t="str">
        <f aca="false">IF(C355="","",IF(N(M355)+N(N355)&lt;Settings!$C$9,"untested",M355/(M355+N355)))</f>
        <v/>
      </c>
      <c r="P355" s="9"/>
      <c r="Q355" s="9"/>
      <c r="R355" s="9"/>
      <c r="S355" s="12"/>
      <c r="T355" s="9"/>
      <c r="U355" s="9"/>
      <c r="V355" s="9"/>
      <c r="W355" s="10" t="str">
        <f aca="false">IF(C355="","",IF(OR(G355="training",G355="full"),"Yes",IF(G355="none","No","?")))</f>
        <v/>
      </c>
      <c r="X355" s="10" t="str">
        <f aca="false">IF(C355="","",IF(OR(E355="",E355="unknown"),D355,E355))</f>
        <v/>
      </c>
      <c r="Y355" s="10" t="str">
        <f aca="false">IF(C355="","",IF(OR(T355="unsuitable",T355="retired",X355="no"),"—",IF(J355="","unrated",IF(AND(X355="full",J355&gt;=Settings!$C$5,OR(O355="untested",O355&gt;=Settings!$C$6)),"A",IF(AND(OR(X355="full",X355="reduced"),J355&gt;=Settings!$C$7,OR(O355="untested",O355&gt;=Settings!$C$8)),"B","C")))))</f>
        <v/>
      </c>
      <c r="Z355" s="11" t="str">
        <f aca="false">IF(C355="","",IF(P355&lt;&gt;"",P355,Y355))</f>
        <v/>
      </c>
    </row>
    <row r="356" customFormat="false" ht="15" hidden="false" customHeight="false" outlineLevel="0" collapsed="false">
      <c r="A356" s="9"/>
      <c r="B356" s="10" t="str">
        <f aca="false">IF(A356="","",IFERROR(INDEX(Parks!$A$2:$A$255,MATCH(A356,Parks!$B$2:$B$255,0)),"?"))</f>
        <v/>
      </c>
      <c r="C356" s="9"/>
      <c r="D356" s="10" t="str">
        <f aca="false">IF(C356="","",IF(SUMPRODUCT(--ISNUMBER(SEARCH({"Nets","Wicket","Diamond","Softball","T-ball","Baseball","Netball","Tennis","Bocce","Pentaque","Petanque","Skate","Car Park","Pond","Bridle","Amphitheatre","Perimeter","Passive"},C356)))&gt;0,"no",IF(SUMPRODUCT(--ISNUMBER(SEARCH({"Cricket","Junior","Mini","Summer Football","Small"},C356)))&gt;0,"reduced",IF(SUMPRODUCT(--ISNUMBER(SEARCH({"Rugby","Football","League","Touch","Gaelic","Australian","Lacrosse","General Sport","Training Area","Ultimate"},C356)))&gt;0,"full","unknown"))))</f>
        <v/>
      </c>
      <c r="E356" s="9"/>
      <c r="F356" s="9"/>
      <c r="G356" s="9"/>
      <c r="H356" s="9"/>
      <c r="I356" s="12"/>
      <c r="J356" s="9"/>
      <c r="K356" s="9"/>
      <c r="L356" s="9"/>
      <c r="M356" s="9"/>
      <c r="N356" s="9"/>
      <c r="O356" s="13" t="str">
        <f aca="false">IF(C356="","",IF(N(M356)+N(N356)&lt;Settings!$C$9,"untested",M356/(M356+N356)))</f>
        <v/>
      </c>
      <c r="P356" s="9"/>
      <c r="Q356" s="9"/>
      <c r="R356" s="9"/>
      <c r="S356" s="12"/>
      <c r="T356" s="9"/>
      <c r="U356" s="9"/>
      <c r="V356" s="9"/>
      <c r="W356" s="10" t="str">
        <f aca="false">IF(C356="","",IF(OR(G356="training",G356="full"),"Yes",IF(G356="none","No","?")))</f>
        <v/>
      </c>
      <c r="X356" s="10" t="str">
        <f aca="false">IF(C356="","",IF(OR(E356="",E356="unknown"),D356,E356))</f>
        <v/>
      </c>
      <c r="Y356" s="10" t="str">
        <f aca="false">IF(C356="","",IF(OR(T356="unsuitable",T356="retired",X356="no"),"—",IF(J356="","unrated",IF(AND(X356="full",J356&gt;=Settings!$C$5,OR(O356="untested",O356&gt;=Settings!$C$6)),"A",IF(AND(OR(X356="full",X356="reduced"),J356&gt;=Settings!$C$7,OR(O356="untested",O356&gt;=Settings!$C$8)),"B","C")))))</f>
        <v/>
      </c>
      <c r="Z356" s="11" t="str">
        <f aca="false">IF(C356="","",IF(P356&lt;&gt;"",P356,Y356))</f>
        <v/>
      </c>
    </row>
    <row r="357" customFormat="false" ht="15" hidden="false" customHeight="false" outlineLevel="0" collapsed="false">
      <c r="A357" s="9"/>
      <c r="B357" s="10" t="str">
        <f aca="false">IF(A357="","",IFERROR(INDEX(Parks!$A$2:$A$255,MATCH(A357,Parks!$B$2:$B$255,0)),"?"))</f>
        <v/>
      </c>
      <c r="C357" s="9"/>
      <c r="D357" s="10" t="str">
        <f aca="false">IF(C357="","",IF(SUMPRODUCT(--ISNUMBER(SEARCH({"Nets","Wicket","Diamond","Softball","T-ball","Baseball","Netball","Tennis","Bocce","Pentaque","Petanque","Skate","Car Park","Pond","Bridle","Amphitheatre","Perimeter","Passive"},C357)))&gt;0,"no",IF(SUMPRODUCT(--ISNUMBER(SEARCH({"Cricket","Junior","Mini","Summer Football","Small"},C357)))&gt;0,"reduced",IF(SUMPRODUCT(--ISNUMBER(SEARCH({"Rugby","Football","League","Touch","Gaelic","Australian","Lacrosse","General Sport","Training Area","Ultimate"},C357)))&gt;0,"full","unknown"))))</f>
        <v/>
      </c>
      <c r="E357" s="9"/>
      <c r="F357" s="9"/>
      <c r="G357" s="9"/>
      <c r="H357" s="9"/>
      <c r="I357" s="12"/>
      <c r="J357" s="9"/>
      <c r="K357" s="9"/>
      <c r="L357" s="9"/>
      <c r="M357" s="9"/>
      <c r="N357" s="9"/>
      <c r="O357" s="13" t="str">
        <f aca="false">IF(C357="","",IF(N(M357)+N(N357)&lt;Settings!$C$9,"untested",M357/(M357+N357)))</f>
        <v/>
      </c>
      <c r="P357" s="9"/>
      <c r="Q357" s="9"/>
      <c r="R357" s="9"/>
      <c r="S357" s="12"/>
      <c r="T357" s="9"/>
      <c r="U357" s="9"/>
      <c r="V357" s="9"/>
      <c r="W357" s="10" t="str">
        <f aca="false">IF(C357="","",IF(OR(G357="training",G357="full"),"Yes",IF(G357="none","No","?")))</f>
        <v/>
      </c>
      <c r="X357" s="10" t="str">
        <f aca="false">IF(C357="","",IF(OR(E357="",E357="unknown"),D357,E357))</f>
        <v/>
      </c>
      <c r="Y357" s="10" t="str">
        <f aca="false">IF(C357="","",IF(OR(T357="unsuitable",T357="retired",X357="no"),"—",IF(J357="","unrated",IF(AND(X357="full",J357&gt;=Settings!$C$5,OR(O357="untested",O357&gt;=Settings!$C$6)),"A",IF(AND(OR(X357="full",X357="reduced"),J357&gt;=Settings!$C$7,OR(O357="untested",O357&gt;=Settings!$C$8)),"B","C")))))</f>
        <v/>
      </c>
      <c r="Z357" s="11" t="str">
        <f aca="false">IF(C357="","",IF(P357&lt;&gt;"",P357,Y357))</f>
        <v/>
      </c>
    </row>
    <row r="358" customFormat="false" ht="15" hidden="false" customHeight="false" outlineLevel="0" collapsed="false">
      <c r="A358" s="9"/>
      <c r="B358" s="10" t="str">
        <f aca="false">IF(A358="","",IFERROR(INDEX(Parks!$A$2:$A$255,MATCH(A358,Parks!$B$2:$B$255,0)),"?"))</f>
        <v/>
      </c>
      <c r="C358" s="9"/>
      <c r="D358" s="10" t="str">
        <f aca="false">IF(C358="","",IF(SUMPRODUCT(--ISNUMBER(SEARCH({"Nets","Wicket","Diamond","Softball","T-ball","Baseball","Netball","Tennis","Bocce","Pentaque","Petanque","Skate","Car Park","Pond","Bridle","Amphitheatre","Perimeter","Passive"},C358)))&gt;0,"no",IF(SUMPRODUCT(--ISNUMBER(SEARCH({"Cricket","Junior","Mini","Summer Football","Small"},C358)))&gt;0,"reduced",IF(SUMPRODUCT(--ISNUMBER(SEARCH({"Rugby","Football","League","Touch","Gaelic","Australian","Lacrosse","General Sport","Training Area","Ultimate"},C358)))&gt;0,"full","unknown"))))</f>
        <v/>
      </c>
      <c r="E358" s="9"/>
      <c r="F358" s="9"/>
      <c r="G358" s="9"/>
      <c r="H358" s="9"/>
      <c r="I358" s="12"/>
      <c r="J358" s="9"/>
      <c r="K358" s="9"/>
      <c r="L358" s="9"/>
      <c r="M358" s="9"/>
      <c r="N358" s="9"/>
      <c r="O358" s="13" t="str">
        <f aca="false">IF(C358="","",IF(N(M358)+N(N358)&lt;Settings!$C$9,"untested",M358/(M358+N358)))</f>
        <v/>
      </c>
      <c r="P358" s="9"/>
      <c r="Q358" s="9"/>
      <c r="R358" s="9"/>
      <c r="S358" s="12"/>
      <c r="T358" s="9"/>
      <c r="U358" s="9"/>
      <c r="V358" s="9"/>
      <c r="W358" s="10" t="str">
        <f aca="false">IF(C358="","",IF(OR(G358="training",G358="full"),"Yes",IF(G358="none","No","?")))</f>
        <v/>
      </c>
      <c r="X358" s="10" t="str">
        <f aca="false">IF(C358="","",IF(OR(E358="",E358="unknown"),D358,E358))</f>
        <v/>
      </c>
      <c r="Y358" s="10" t="str">
        <f aca="false">IF(C358="","",IF(OR(T358="unsuitable",T358="retired",X358="no"),"—",IF(J358="","unrated",IF(AND(X358="full",J358&gt;=Settings!$C$5,OR(O358="untested",O358&gt;=Settings!$C$6)),"A",IF(AND(OR(X358="full",X358="reduced"),J358&gt;=Settings!$C$7,OR(O358="untested",O358&gt;=Settings!$C$8)),"B","C")))))</f>
        <v/>
      </c>
      <c r="Z358" s="11" t="str">
        <f aca="false">IF(C358="","",IF(P358&lt;&gt;"",P358,Y358))</f>
        <v/>
      </c>
    </row>
    <row r="359" customFormat="false" ht="15" hidden="false" customHeight="false" outlineLevel="0" collapsed="false">
      <c r="A359" s="9"/>
      <c r="B359" s="10" t="str">
        <f aca="false">IF(A359="","",IFERROR(INDEX(Parks!$A$2:$A$255,MATCH(A359,Parks!$B$2:$B$255,0)),"?"))</f>
        <v/>
      </c>
      <c r="C359" s="9"/>
      <c r="D359" s="10" t="str">
        <f aca="false">IF(C359="","",IF(SUMPRODUCT(--ISNUMBER(SEARCH({"Nets","Wicket","Diamond","Softball","T-ball","Baseball","Netball","Tennis","Bocce","Pentaque","Petanque","Skate","Car Park","Pond","Bridle","Amphitheatre","Perimeter","Passive"},C359)))&gt;0,"no",IF(SUMPRODUCT(--ISNUMBER(SEARCH({"Cricket","Junior","Mini","Summer Football","Small"},C359)))&gt;0,"reduced",IF(SUMPRODUCT(--ISNUMBER(SEARCH({"Rugby","Football","League","Touch","Gaelic","Australian","Lacrosse","General Sport","Training Area","Ultimate"},C359)))&gt;0,"full","unknown"))))</f>
        <v/>
      </c>
      <c r="E359" s="9"/>
      <c r="F359" s="9"/>
      <c r="G359" s="9"/>
      <c r="H359" s="9"/>
      <c r="I359" s="12"/>
      <c r="J359" s="9"/>
      <c r="K359" s="9"/>
      <c r="L359" s="9"/>
      <c r="M359" s="9"/>
      <c r="N359" s="9"/>
      <c r="O359" s="13" t="str">
        <f aca="false">IF(C359="","",IF(N(M359)+N(N359)&lt;Settings!$C$9,"untested",M359/(M359+N359)))</f>
        <v/>
      </c>
      <c r="P359" s="9"/>
      <c r="Q359" s="9"/>
      <c r="R359" s="9"/>
      <c r="S359" s="12"/>
      <c r="T359" s="9"/>
      <c r="U359" s="9"/>
      <c r="V359" s="9"/>
      <c r="W359" s="10" t="str">
        <f aca="false">IF(C359="","",IF(OR(G359="training",G359="full"),"Yes",IF(G359="none","No","?")))</f>
        <v/>
      </c>
      <c r="X359" s="10" t="str">
        <f aca="false">IF(C359="","",IF(OR(E359="",E359="unknown"),D359,E359))</f>
        <v/>
      </c>
      <c r="Y359" s="10" t="str">
        <f aca="false">IF(C359="","",IF(OR(T359="unsuitable",T359="retired",X359="no"),"—",IF(J359="","unrated",IF(AND(X359="full",J359&gt;=Settings!$C$5,OR(O359="untested",O359&gt;=Settings!$C$6)),"A",IF(AND(OR(X359="full",X359="reduced"),J359&gt;=Settings!$C$7,OR(O359="untested",O359&gt;=Settings!$C$8)),"B","C")))))</f>
        <v/>
      </c>
      <c r="Z359" s="11" t="str">
        <f aca="false">IF(C359="","",IF(P359&lt;&gt;"",P359,Y359))</f>
        <v/>
      </c>
    </row>
    <row r="360" customFormat="false" ht="15" hidden="false" customHeight="false" outlineLevel="0" collapsed="false">
      <c r="A360" s="9"/>
      <c r="B360" s="10" t="str">
        <f aca="false">IF(A360="","",IFERROR(INDEX(Parks!$A$2:$A$255,MATCH(A360,Parks!$B$2:$B$255,0)),"?"))</f>
        <v/>
      </c>
      <c r="C360" s="9"/>
      <c r="D360" s="10" t="str">
        <f aca="false">IF(C360="","",IF(SUMPRODUCT(--ISNUMBER(SEARCH({"Nets","Wicket","Diamond","Softball","T-ball","Baseball","Netball","Tennis","Bocce","Pentaque","Petanque","Skate","Car Park","Pond","Bridle","Amphitheatre","Perimeter","Passive"},C360)))&gt;0,"no",IF(SUMPRODUCT(--ISNUMBER(SEARCH({"Cricket","Junior","Mini","Summer Football","Small"},C360)))&gt;0,"reduced",IF(SUMPRODUCT(--ISNUMBER(SEARCH({"Rugby","Football","League","Touch","Gaelic","Australian","Lacrosse","General Sport","Training Area","Ultimate"},C360)))&gt;0,"full","unknown"))))</f>
        <v/>
      </c>
      <c r="E360" s="9"/>
      <c r="F360" s="9"/>
      <c r="G360" s="9"/>
      <c r="H360" s="9"/>
      <c r="I360" s="12"/>
      <c r="J360" s="9"/>
      <c r="K360" s="9"/>
      <c r="L360" s="9"/>
      <c r="M360" s="9"/>
      <c r="N360" s="9"/>
      <c r="O360" s="13" t="str">
        <f aca="false">IF(C360="","",IF(N(M360)+N(N360)&lt;Settings!$C$9,"untested",M360/(M360+N360)))</f>
        <v/>
      </c>
      <c r="P360" s="9"/>
      <c r="Q360" s="9"/>
      <c r="R360" s="9"/>
      <c r="S360" s="12"/>
      <c r="T360" s="9"/>
      <c r="U360" s="9"/>
      <c r="V360" s="9"/>
      <c r="W360" s="10" t="str">
        <f aca="false">IF(C360="","",IF(OR(G360="training",G360="full"),"Yes",IF(G360="none","No","?")))</f>
        <v/>
      </c>
      <c r="X360" s="10" t="str">
        <f aca="false">IF(C360="","",IF(OR(E360="",E360="unknown"),D360,E360))</f>
        <v/>
      </c>
      <c r="Y360" s="10" t="str">
        <f aca="false">IF(C360="","",IF(OR(T360="unsuitable",T360="retired",X360="no"),"—",IF(J360="","unrated",IF(AND(X360="full",J360&gt;=Settings!$C$5,OR(O360="untested",O360&gt;=Settings!$C$6)),"A",IF(AND(OR(X360="full",X360="reduced"),J360&gt;=Settings!$C$7,OR(O360="untested",O360&gt;=Settings!$C$8)),"B","C")))))</f>
        <v/>
      </c>
      <c r="Z360" s="11" t="str">
        <f aca="false">IF(C360="","",IF(P360&lt;&gt;"",P360,Y360))</f>
        <v/>
      </c>
    </row>
    <row r="361" customFormat="false" ht="15" hidden="false" customHeight="false" outlineLevel="0" collapsed="false">
      <c r="A361" s="9"/>
      <c r="B361" s="10" t="str">
        <f aca="false">IF(A361="","",IFERROR(INDEX(Parks!$A$2:$A$255,MATCH(A361,Parks!$B$2:$B$255,0)),"?"))</f>
        <v/>
      </c>
      <c r="C361" s="9"/>
      <c r="D361" s="10" t="str">
        <f aca="false">IF(C361="","",IF(SUMPRODUCT(--ISNUMBER(SEARCH({"Nets","Wicket","Diamond","Softball","T-ball","Baseball","Netball","Tennis","Bocce","Pentaque","Petanque","Skate","Car Park","Pond","Bridle","Amphitheatre","Perimeter","Passive"},C361)))&gt;0,"no",IF(SUMPRODUCT(--ISNUMBER(SEARCH({"Cricket","Junior","Mini","Summer Football","Small"},C361)))&gt;0,"reduced",IF(SUMPRODUCT(--ISNUMBER(SEARCH({"Rugby","Football","League","Touch","Gaelic","Australian","Lacrosse","General Sport","Training Area","Ultimate"},C361)))&gt;0,"full","unknown"))))</f>
        <v/>
      </c>
      <c r="E361" s="9"/>
      <c r="F361" s="9"/>
      <c r="G361" s="9"/>
      <c r="H361" s="9"/>
      <c r="I361" s="12"/>
      <c r="J361" s="9"/>
      <c r="K361" s="9"/>
      <c r="L361" s="9"/>
      <c r="M361" s="9"/>
      <c r="N361" s="9"/>
      <c r="O361" s="13" t="str">
        <f aca="false">IF(C361="","",IF(N(M361)+N(N361)&lt;Settings!$C$9,"untested",M361/(M361+N361)))</f>
        <v/>
      </c>
      <c r="P361" s="9"/>
      <c r="Q361" s="9"/>
      <c r="R361" s="9"/>
      <c r="S361" s="12"/>
      <c r="T361" s="9"/>
      <c r="U361" s="9"/>
      <c r="V361" s="9"/>
      <c r="W361" s="10" t="str">
        <f aca="false">IF(C361="","",IF(OR(G361="training",G361="full"),"Yes",IF(G361="none","No","?")))</f>
        <v/>
      </c>
      <c r="X361" s="10" t="str">
        <f aca="false">IF(C361="","",IF(OR(E361="",E361="unknown"),D361,E361))</f>
        <v/>
      </c>
      <c r="Y361" s="10" t="str">
        <f aca="false">IF(C361="","",IF(OR(T361="unsuitable",T361="retired",X361="no"),"—",IF(J361="","unrated",IF(AND(X361="full",J361&gt;=Settings!$C$5,OR(O361="untested",O361&gt;=Settings!$C$6)),"A",IF(AND(OR(X361="full",X361="reduced"),J361&gt;=Settings!$C$7,OR(O361="untested",O361&gt;=Settings!$C$8)),"B","C")))))</f>
        <v/>
      </c>
      <c r="Z361" s="11" t="str">
        <f aca="false">IF(C361="","",IF(P361&lt;&gt;"",P361,Y361))</f>
        <v/>
      </c>
    </row>
    <row r="362" customFormat="false" ht="15" hidden="false" customHeight="false" outlineLevel="0" collapsed="false">
      <c r="A362" s="9"/>
      <c r="B362" s="10" t="str">
        <f aca="false">IF(A362="","",IFERROR(INDEX(Parks!$A$2:$A$255,MATCH(A362,Parks!$B$2:$B$255,0)),"?"))</f>
        <v/>
      </c>
      <c r="C362" s="9"/>
      <c r="D362" s="10" t="str">
        <f aca="false">IF(C362="","",IF(SUMPRODUCT(--ISNUMBER(SEARCH({"Nets","Wicket","Diamond","Softball","T-ball","Baseball","Netball","Tennis","Bocce","Pentaque","Petanque","Skate","Car Park","Pond","Bridle","Amphitheatre","Perimeter","Passive"},C362)))&gt;0,"no",IF(SUMPRODUCT(--ISNUMBER(SEARCH({"Cricket","Junior","Mini","Summer Football","Small"},C362)))&gt;0,"reduced",IF(SUMPRODUCT(--ISNUMBER(SEARCH({"Rugby","Football","League","Touch","Gaelic","Australian","Lacrosse","General Sport","Training Area","Ultimate"},C362)))&gt;0,"full","unknown"))))</f>
        <v/>
      </c>
      <c r="E362" s="9"/>
      <c r="F362" s="9"/>
      <c r="G362" s="9"/>
      <c r="H362" s="9"/>
      <c r="I362" s="12"/>
      <c r="J362" s="9"/>
      <c r="K362" s="9"/>
      <c r="L362" s="9"/>
      <c r="M362" s="9"/>
      <c r="N362" s="9"/>
      <c r="O362" s="13" t="str">
        <f aca="false">IF(C362="","",IF(N(M362)+N(N362)&lt;Settings!$C$9,"untested",M362/(M362+N362)))</f>
        <v/>
      </c>
      <c r="P362" s="9"/>
      <c r="Q362" s="9"/>
      <c r="R362" s="9"/>
      <c r="S362" s="12"/>
      <c r="T362" s="9"/>
      <c r="U362" s="9"/>
      <c r="V362" s="9"/>
      <c r="W362" s="10" t="str">
        <f aca="false">IF(C362="","",IF(OR(G362="training",G362="full"),"Yes",IF(G362="none","No","?")))</f>
        <v/>
      </c>
      <c r="X362" s="10" t="str">
        <f aca="false">IF(C362="","",IF(OR(E362="",E362="unknown"),D362,E362))</f>
        <v/>
      </c>
      <c r="Y362" s="10" t="str">
        <f aca="false">IF(C362="","",IF(OR(T362="unsuitable",T362="retired",X362="no"),"—",IF(J362="","unrated",IF(AND(X362="full",J362&gt;=Settings!$C$5,OR(O362="untested",O362&gt;=Settings!$C$6)),"A",IF(AND(OR(X362="full",X362="reduced"),J362&gt;=Settings!$C$7,OR(O362="untested",O362&gt;=Settings!$C$8)),"B","C")))))</f>
        <v/>
      </c>
      <c r="Z362" s="11" t="str">
        <f aca="false">IF(C362="","",IF(P362&lt;&gt;"",P362,Y362))</f>
        <v/>
      </c>
    </row>
    <row r="363" customFormat="false" ht="15" hidden="false" customHeight="false" outlineLevel="0" collapsed="false">
      <c r="A363" s="9"/>
      <c r="B363" s="10" t="str">
        <f aca="false">IF(A363="","",IFERROR(INDEX(Parks!$A$2:$A$255,MATCH(A363,Parks!$B$2:$B$255,0)),"?"))</f>
        <v/>
      </c>
      <c r="C363" s="9"/>
      <c r="D363" s="10" t="str">
        <f aca="false">IF(C363="","",IF(SUMPRODUCT(--ISNUMBER(SEARCH({"Nets","Wicket","Diamond","Softball","T-ball","Baseball","Netball","Tennis","Bocce","Pentaque","Petanque","Skate","Car Park","Pond","Bridle","Amphitheatre","Perimeter","Passive"},C363)))&gt;0,"no",IF(SUMPRODUCT(--ISNUMBER(SEARCH({"Cricket","Junior","Mini","Summer Football","Small"},C363)))&gt;0,"reduced",IF(SUMPRODUCT(--ISNUMBER(SEARCH({"Rugby","Football","League","Touch","Gaelic","Australian","Lacrosse","General Sport","Training Area","Ultimate"},C363)))&gt;0,"full","unknown"))))</f>
        <v/>
      </c>
      <c r="E363" s="9"/>
      <c r="F363" s="9"/>
      <c r="G363" s="9"/>
      <c r="H363" s="9"/>
      <c r="I363" s="12"/>
      <c r="J363" s="9"/>
      <c r="K363" s="9"/>
      <c r="L363" s="9"/>
      <c r="M363" s="9"/>
      <c r="N363" s="9"/>
      <c r="O363" s="13" t="str">
        <f aca="false">IF(C363="","",IF(N(M363)+N(N363)&lt;Settings!$C$9,"untested",M363/(M363+N363)))</f>
        <v/>
      </c>
      <c r="P363" s="9"/>
      <c r="Q363" s="9"/>
      <c r="R363" s="9"/>
      <c r="S363" s="12"/>
      <c r="T363" s="9"/>
      <c r="U363" s="9"/>
      <c r="V363" s="9"/>
      <c r="W363" s="10" t="str">
        <f aca="false">IF(C363="","",IF(OR(G363="training",G363="full"),"Yes",IF(G363="none","No","?")))</f>
        <v/>
      </c>
      <c r="X363" s="10" t="str">
        <f aca="false">IF(C363="","",IF(OR(E363="",E363="unknown"),D363,E363))</f>
        <v/>
      </c>
      <c r="Y363" s="10" t="str">
        <f aca="false">IF(C363="","",IF(OR(T363="unsuitable",T363="retired",X363="no"),"—",IF(J363="","unrated",IF(AND(X363="full",J363&gt;=Settings!$C$5,OR(O363="untested",O363&gt;=Settings!$C$6)),"A",IF(AND(OR(X363="full",X363="reduced"),J363&gt;=Settings!$C$7,OR(O363="untested",O363&gt;=Settings!$C$8)),"B","C")))))</f>
        <v/>
      </c>
      <c r="Z363" s="11" t="str">
        <f aca="false">IF(C363="","",IF(P363&lt;&gt;"",P363,Y363))</f>
        <v/>
      </c>
    </row>
    <row r="364" customFormat="false" ht="15" hidden="false" customHeight="false" outlineLevel="0" collapsed="false">
      <c r="A364" s="9"/>
      <c r="B364" s="10" t="str">
        <f aca="false">IF(A364="","",IFERROR(INDEX(Parks!$A$2:$A$255,MATCH(A364,Parks!$B$2:$B$255,0)),"?"))</f>
        <v/>
      </c>
      <c r="C364" s="9"/>
      <c r="D364" s="10" t="str">
        <f aca="false">IF(C364="","",IF(SUMPRODUCT(--ISNUMBER(SEARCH({"Nets","Wicket","Diamond","Softball","T-ball","Baseball","Netball","Tennis","Bocce","Pentaque","Petanque","Skate","Car Park","Pond","Bridle","Amphitheatre","Perimeter","Passive"},C364)))&gt;0,"no",IF(SUMPRODUCT(--ISNUMBER(SEARCH({"Cricket","Junior","Mini","Summer Football","Small"},C364)))&gt;0,"reduced",IF(SUMPRODUCT(--ISNUMBER(SEARCH({"Rugby","Football","League","Touch","Gaelic","Australian","Lacrosse","General Sport","Training Area","Ultimate"},C364)))&gt;0,"full","unknown"))))</f>
        <v/>
      </c>
      <c r="E364" s="9"/>
      <c r="F364" s="9"/>
      <c r="G364" s="9"/>
      <c r="H364" s="9"/>
      <c r="I364" s="12"/>
      <c r="J364" s="9"/>
      <c r="K364" s="9"/>
      <c r="L364" s="9"/>
      <c r="M364" s="9"/>
      <c r="N364" s="9"/>
      <c r="O364" s="13" t="str">
        <f aca="false">IF(C364="","",IF(N(M364)+N(N364)&lt;Settings!$C$9,"untested",M364/(M364+N364)))</f>
        <v/>
      </c>
      <c r="P364" s="9"/>
      <c r="Q364" s="9"/>
      <c r="R364" s="9"/>
      <c r="S364" s="12"/>
      <c r="T364" s="9"/>
      <c r="U364" s="9"/>
      <c r="V364" s="9"/>
      <c r="W364" s="10" t="str">
        <f aca="false">IF(C364="","",IF(OR(G364="training",G364="full"),"Yes",IF(G364="none","No","?")))</f>
        <v/>
      </c>
      <c r="X364" s="10" t="str">
        <f aca="false">IF(C364="","",IF(OR(E364="",E364="unknown"),D364,E364))</f>
        <v/>
      </c>
      <c r="Y364" s="10" t="str">
        <f aca="false">IF(C364="","",IF(OR(T364="unsuitable",T364="retired",X364="no"),"—",IF(J364="","unrated",IF(AND(X364="full",J364&gt;=Settings!$C$5,OR(O364="untested",O364&gt;=Settings!$C$6)),"A",IF(AND(OR(X364="full",X364="reduced"),J364&gt;=Settings!$C$7,OR(O364="untested",O364&gt;=Settings!$C$8)),"B","C")))))</f>
        <v/>
      </c>
      <c r="Z364" s="11" t="str">
        <f aca="false">IF(C364="","",IF(P364&lt;&gt;"",P364,Y364))</f>
        <v/>
      </c>
    </row>
    <row r="365" customFormat="false" ht="15" hidden="false" customHeight="false" outlineLevel="0" collapsed="false">
      <c r="A365" s="9"/>
      <c r="B365" s="10" t="str">
        <f aca="false">IF(A365="","",IFERROR(INDEX(Parks!$A$2:$A$255,MATCH(A365,Parks!$B$2:$B$255,0)),"?"))</f>
        <v/>
      </c>
      <c r="C365" s="9"/>
      <c r="D365" s="10" t="str">
        <f aca="false">IF(C365="","",IF(SUMPRODUCT(--ISNUMBER(SEARCH({"Nets","Wicket","Diamond","Softball","T-ball","Baseball","Netball","Tennis","Bocce","Pentaque","Petanque","Skate","Car Park","Pond","Bridle","Amphitheatre","Perimeter","Passive"},C365)))&gt;0,"no",IF(SUMPRODUCT(--ISNUMBER(SEARCH({"Cricket","Junior","Mini","Summer Football","Small"},C365)))&gt;0,"reduced",IF(SUMPRODUCT(--ISNUMBER(SEARCH({"Rugby","Football","League","Touch","Gaelic","Australian","Lacrosse","General Sport","Training Area","Ultimate"},C365)))&gt;0,"full","unknown"))))</f>
        <v/>
      </c>
      <c r="E365" s="9"/>
      <c r="F365" s="9"/>
      <c r="G365" s="9"/>
      <c r="H365" s="9"/>
      <c r="I365" s="12"/>
      <c r="J365" s="9"/>
      <c r="K365" s="9"/>
      <c r="L365" s="9"/>
      <c r="M365" s="9"/>
      <c r="N365" s="9"/>
      <c r="O365" s="13" t="str">
        <f aca="false">IF(C365="","",IF(N(M365)+N(N365)&lt;Settings!$C$9,"untested",M365/(M365+N365)))</f>
        <v/>
      </c>
      <c r="P365" s="9"/>
      <c r="Q365" s="9"/>
      <c r="R365" s="9"/>
      <c r="S365" s="12"/>
      <c r="T365" s="9"/>
      <c r="U365" s="9"/>
      <c r="V365" s="9"/>
      <c r="W365" s="10" t="str">
        <f aca="false">IF(C365="","",IF(OR(G365="training",G365="full"),"Yes",IF(G365="none","No","?")))</f>
        <v/>
      </c>
      <c r="X365" s="10" t="str">
        <f aca="false">IF(C365="","",IF(OR(E365="",E365="unknown"),D365,E365))</f>
        <v/>
      </c>
      <c r="Y365" s="10" t="str">
        <f aca="false">IF(C365="","",IF(OR(T365="unsuitable",T365="retired",X365="no"),"—",IF(J365="","unrated",IF(AND(X365="full",J365&gt;=Settings!$C$5,OR(O365="untested",O365&gt;=Settings!$C$6)),"A",IF(AND(OR(X365="full",X365="reduced"),J365&gt;=Settings!$C$7,OR(O365="untested",O365&gt;=Settings!$C$8)),"B","C")))))</f>
        <v/>
      </c>
      <c r="Z365" s="11" t="str">
        <f aca="false">IF(C365="","",IF(P365&lt;&gt;"",P365,Y365))</f>
        <v/>
      </c>
    </row>
    <row r="366" customFormat="false" ht="15" hidden="false" customHeight="false" outlineLevel="0" collapsed="false">
      <c r="A366" s="9"/>
      <c r="B366" s="10" t="str">
        <f aca="false">IF(A366="","",IFERROR(INDEX(Parks!$A$2:$A$255,MATCH(A366,Parks!$B$2:$B$255,0)),"?"))</f>
        <v/>
      </c>
      <c r="C366" s="9"/>
      <c r="D366" s="10" t="str">
        <f aca="false">IF(C366="","",IF(SUMPRODUCT(--ISNUMBER(SEARCH({"Nets","Wicket","Diamond","Softball","T-ball","Baseball","Netball","Tennis","Bocce","Pentaque","Petanque","Skate","Car Park","Pond","Bridle","Amphitheatre","Perimeter","Passive"},C366)))&gt;0,"no",IF(SUMPRODUCT(--ISNUMBER(SEARCH({"Cricket","Junior","Mini","Summer Football","Small"},C366)))&gt;0,"reduced",IF(SUMPRODUCT(--ISNUMBER(SEARCH({"Rugby","Football","League","Touch","Gaelic","Australian","Lacrosse","General Sport","Training Area","Ultimate"},C366)))&gt;0,"full","unknown"))))</f>
        <v/>
      </c>
      <c r="E366" s="9"/>
      <c r="F366" s="9"/>
      <c r="G366" s="9"/>
      <c r="H366" s="9"/>
      <c r="I366" s="12"/>
      <c r="J366" s="9"/>
      <c r="K366" s="9"/>
      <c r="L366" s="9"/>
      <c r="M366" s="9"/>
      <c r="N366" s="9"/>
      <c r="O366" s="13" t="str">
        <f aca="false">IF(C366="","",IF(N(M366)+N(N366)&lt;Settings!$C$9,"untested",M366/(M366+N366)))</f>
        <v/>
      </c>
      <c r="P366" s="9"/>
      <c r="Q366" s="9"/>
      <c r="R366" s="9"/>
      <c r="S366" s="12"/>
      <c r="T366" s="9"/>
      <c r="U366" s="9"/>
      <c r="V366" s="9"/>
      <c r="W366" s="10" t="str">
        <f aca="false">IF(C366="","",IF(OR(G366="training",G366="full"),"Yes",IF(G366="none","No","?")))</f>
        <v/>
      </c>
      <c r="X366" s="10" t="str">
        <f aca="false">IF(C366="","",IF(OR(E366="",E366="unknown"),D366,E366))</f>
        <v/>
      </c>
      <c r="Y366" s="10" t="str">
        <f aca="false">IF(C366="","",IF(OR(T366="unsuitable",T366="retired",X366="no"),"—",IF(J366="","unrated",IF(AND(X366="full",J366&gt;=Settings!$C$5,OR(O366="untested",O366&gt;=Settings!$C$6)),"A",IF(AND(OR(X366="full",X366="reduced"),J366&gt;=Settings!$C$7,OR(O366="untested",O366&gt;=Settings!$C$8)),"B","C")))))</f>
        <v/>
      </c>
      <c r="Z366" s="11" t="str">
        <f aca="false">IF(C366="","",IF(P366&lt;&gt;"",P366,Y366))</f>
        <v/>
      </c>
    </row>
    <row r="367" customFormat="false" ht="15" hidden="false" customHeight="false" outlineLevel="0" collapsed="false">
      <c r="A367" s="9"/>
      <c r="B367" s="10" t="str">
        <f aca="false">IF(A367="","",IFERROR(INDEX(Parks!$A$2:$A$255,MATCH(A367,Parks!$B$2:$B$255,0)),"?"))</f>
        <v/>
      </c>
      <c r="C367" s="9"/>
      <c r="D367" s="10" t="str">
        <f aca="false">IF(C367="","",IF(SUMPRODUCT(--ISNUMBER(SEARCH({"Nets","Wicket","Diamond","Softball","T-ball","Baseball","Netball","Tennis","Bocce","Pentaque","Petanque","Skate","Car Park","Pond","Bridle","Amphitheatre","Perimeter","Passive"},C367)))&gt;0,"no",IF(SUMPRODUCT(--ISNUMBER(SEARCH({"Cricket","Junior","Mini","Summer Football","Small"},C367)))&gt;0,"reduced",IF(SUMPRODUCT(--ISNUMBER(SEARCH({"Rugby","Football","League","Touch","Gaelic","Australian","Lacrosse","General Sport","Training Area","Ultimate"},C367)))&gt;0,"full","unknown"))))</f>
        <v/>
      </c>
      <c r="E367" s="9"/>
      <c r="F367" s="9"/>
      <c r="G367" s="9"/>
      <c r="H367" s="9"/>
      <c r="I367" s="12"/>
      <c r="J367" s="9"/>
      <c r="K367" s="9"/>
      <c r="L367" s="9"/>
      <c r="M367" s="9"/>
      <c r="N367" s="9"/>
      <c r="O367" s="13" t="str">
        <f aca="false">IF(C367="","",IF(N(M367)+N(N367)&lt;Settings!$C$9,"untested",M367/(M367+N367)))</f>
        <v/>
      </c>
      <c r="P367" s="9"/>
      <c r="Q367" s="9"/>
      <c r="R367" s="9"/>
      <c r="S367" s="12"/>
      <c r="T367" s="9"/>
      <c r="U367" s="9"/>
      <c r="V367" s="9"/>
      <c r="W367" s="10" t="str">
        <f aca="false">IF(C367="","",IF(OR(G367="training",G367="full"),"Yes",IF(G367="none","No","?")))</f>
        <v/>
      </c>
      <c r="X367" s="10" t="str">
        <f aca="false">IF(C367="","",IF(OR(E367="",E367="unknown"),D367,E367))</f>
        <v/>
      </c>
      <c r="Y367" s="10" t="str">
        <f aca="false">IF(C367="","",IF(OR(T367="unsuitable",T367="retired",X367="no"),"—",IF(J367="","unrated",IF(AND(X367="full",J367&gt;=Settings!$C$5,OR(O367="untested",O367&gt;=Settings!$C$6)),"A",IF(AND(OR(X367="full",X367="reduced"),J367&gt;=Settings!$C$7,OR(O367="untested",O367&gt;=Settings!$C$8)),"B","C")))))</f>
        <v/>
      </c>
      <c r="Z367" s="11" t="str">
        <f aca="false">IF(C367="","",IF(P367&lt;&gt;"",P367,Y367))</f>
        <v/>
      </c>
    </row>
    <row r="368" customFormat="false" ht="15" hidden="false" customHeight="false" outlineLevel="0" collapsed="false">
      <c r="A368" s="9"/>
      <c r="B368" s="10" t="str">
        <f aca="false">IF(A368="","",IFERROR(INDEX(Parks!$A$2:$A$255,MATCH(A368,Parks!$B$2:$B$255,0)),"?"))</f>
        <v/>
      </c>
      <c r="C368" s="9"/>
      <c r="D368" s="10" t="str">
        <f aca="false">IF(C368="","",IF(SUMPRODUCT(--ISNUMBER(SEARCH({"Nets","Wicket","Diamond","Softball","T-ball","Baseball","Netball","Tennis","Bocce","Pentaque","Petanque","Skate","Car Park","Pond","Bridle","Amphitheatre","Perimeter","Passive"},C368)))&gt;0,"no",IF(SUMPRODUCT(--ISNUMBER(SEARCH({"Cricket","Junior","Mini","Summer Football","Small"},C368)))&gt;0,"reduced",IF(SUMPRODUCT(--ISNUMBER(SEARCH({"Rugby","Football","League","Touch","Gaelic","Australian","Lacrosse","General Sport","Training Area","Ultimate"},C368)))&gt;0,"full","unknown"))))</f>
        <v/>
      </c>
      <c r="E368" s="9"/>
      <c r="F368" s="9"/>
      <c r="G368" s="9"/>
      <c r="H368" s="9"/>
      <c r="I368" s="12"/>
      <c r="J368" s="9"/>
      <c r="K368" s="9"/>
      <c r="L368" s="9"/>
      <c r="M368" s="9"/>
      <c r="N368" s="9"/>
      <c r="O368" s="13" t="str">
        <f aca="false">IF(C368="","",IF(N(M368)+N(N368)&lt;Settings!$C$9,"untested",M368/(M368+N368)))</f>
        <v/>
      </c>
      <c r="P368" s="9"/>
      <c r="Q368" s="9"/>
      <c r="R368" s="9"/>
      <c r="S368" s="12"/>
      <c r="T368" s="9"/>
      <c r="U368" s="9"/>
      <c r="V368" s="9"/>
      <c r="W368" s="10" t="str">
        <f aca="false">IF(C368="","",IF(OR(G368="training",G368="full"),"Yes",IF(G368="none","No","?")))</f>
        <v/>
      </c>
      <c r="X368" s="10" t="str">
        <f aca="false">IF(C368="","",IF(OR(E368="",E368="unknown"),D368,E368))</f>
        <v/>
      </c>
      <c r="Y368" s="10" t="str">
        <f aca="false">IF(C368="","",IF(OR(T368="unsuitable",T368="retired",X368="no"),"—",IF(J368="","unrated",IF(AND(X368="full",J368&gt;=Settings!$C$5,OR(O368="untested",O368&gt;=Settings!$C$6)),"A",IF(AND(OR(X368="full",X368="reduced"),J368&gt;=Settings!$C$7,OR(O368="untested",O368&gt;=Settings!$C$8)),"B","C")))))</f>
        <v/>
      </c>
      <c r="Z368" s="11" t="str">
        <f aca="false">IF(C368="","",IF(P368&lt;&gt;"",P368,Y368))</f>
        <v/>
      </c>
    </row>
    <row r="369" customFormat="false" ht="15" hidden="false" customHeight="false" outlineLevel="0" collapsed="false">
      <c r="A369" s="9"/>
      <c r="B369" s="10" t="str">
        <f aca="false">IF(A369="","",IFERROR(INDEX(Parks!$A$2:$A$255,MATCH(A369,Parks!$B$2:$B$255,0)),"?"))</f>
        <v/>
      </c>
      <c r="C369" s="9"/>
      <c r="D369" s="10" t="str">
        <f aca="false">IF(C369="","",IF(SUMPRODUCT(--ISNUMBER(SEARCH({"Nets","Wicket","Diamond","Softball","T-ball","Baseball","Netball","Tennis","Bocce","Pentaque","Petanque","Skate","Car Park","Pond","Bridle","Amphitheatre","Perimeter","Passive"},C369)))&gt;0,"no",IF(SUMPRODUCT(--ISNUMBER(SEARCH({"Cricket","Junior","Mini","Summer Football","Small"},C369)))&gt;0,"reduced",IF(SUMPRODUCT(--ISNUMBER(SEARCH({"Rugby","Football","League","Touch","Gaelic","Australian","Lacrosse","General Sport","Training Area","Ultimate"},C369)))&gt;0,"full","unknown"))))</f>
        <v/>
      </c>
      <c r="E369" s="9"/>
      <c r="F369" s="9"/>
      <c r="G369" s="9"/>
      <c r="H369" s="9"/>
      <c r="I369" s="12"/>
      <c r="J369" s="9"/>
      <c r="K369" s="9"/>
      <c r="L369" s="9"/>
      <c r="M369" s="9"/>
      <c r="N369" s="9"/>
      <c r="O369" s="13" t="str">
        <f aca="false">IF(C369="","",IF(N(M369)+N(N369)&lt;Settings!$C$9,"untested",M369/(M369+N369)))</f>
        <v/>
      </c>
      <c r="P369" s="9"/>
      <c r="Q369" s="9"/>
      <c r="R369" s="9"/>
      <c r="S369" s="12"/>
      <c r="T369" s="9"/>
      <c r="U369" s="9"/>
      <c r="V369" s="9"/>
      <c r="W369" s="10" t="str">
        <f aca="false">IF(C369="","",IF(OR(G369="training",G369="full"),"Yes",IF(G369="none","No","?")))</f>
        <v/>
      </c>
      <c r="X369" s="10" t="str">
        <f aca="false">IF(C369="","",IF(OR(E369="",E369="unknown"),D369,E369))</f>
        <v/>
      </c>
      <c r="Y369" s="10" t="str">
        <f aca="false">IF(C369="","",IF(OR(T369="unsuitable",T369="retired",X369="no"),"—",IF(J369="","unrated",IF(AND(X369="full",J369&gt;=Settings!$C$5,OR(O369="untested",O369&gt;=Settings!$C$6)),"A",IF(AND(OR(X369="full",X369="reduced"),J369&gt;=Settings!$C$7,OR(O369="untested",O369&gt;=Settings!$C$8)),"B","C")))))</f>
        <v/>
      </c>
      <c r="Z369" s="11" t="str">
        <f aca="false">IF(C369="","",IF(P369&lt;&gt;"",P369,Y369))</f>
        <v/>
      </c>
    </row>
    <row r="370" customFormat="false" ht="15" hidden="false" customHeight="false" outlineLevel="0" collapsed="false">
      <c r="A370" s="9"/>
      <c r="B370" s="10" t="str">
        <f aca="false">IF(A370="","",IFERROR(INDEX(Parks!$A$2:$A$255,MATCH(A370,Parks!$B$2:$B$255,0)),"?"))</f>
        <v/>
      </c>
      <c r="C370" s="9"/>
      <c r="D370" s="10" t="str">
        <f aca="false">IF(C370="","",IF(SUMPRODUCT(--ISNUMBER(SEARCH({"Nets","Wicket","Diamond","Softball","T-ball","Baseball","Netball","Tennis","Bocce","Pentaque","Petanque","Skate","Car Park","Pond","Bridle","Amphitheatre","Perimeter","Passive"},C370)))&gt;0,"no",IF(SUMPRODUCT(--ISNUMBER(SEARCH({"Cricket","Junior","Mini","Summer Football","Small"},C370)))&gt;0,"reduced",IF(SUMPRODUCT(--ISNUMBER(SEARCH({"Rugby","Football","League","Touch","Gaelic","Australian","Lacrosse","General Sport","Training Area","Ultimate"},C370)))&gt;0,"full","unknown"))))</f>
        <v/>
      </c>
      <c r="E370" s="9"/>
      <c r="F370" s="9"/>
      <c r="G370" s="9"/>
      <c r="H370" s="9"/>
      <c r="I370" s="12"/>
      <c r="J370" s="9"/>
      <c r="K370" s="9"/>
      <c r="L370" s="9"/>
      <c r="M370" s="9"/>
      <c r="N370" s="9"/>
      <c r="O370" s="13" t="str">
        <f aca="false">IF(C370="","",IF(N(M370)+N(N370)&lt;Settings!$C$9,"untested",M370/(M370+N370)))</f>
        <v/>
      </c>
      <c r="P370" s="9"/>
      <c r="Q370" s="9"/>
      <c r="R370" s="9"/>
      <c r="S370" s="12"/>
      <c r="T370" s="9"/>
      <c r="U370" s="9"/>
      <c r="V370" s="9"/>
      <c r="W370" s="10" t="str">
        <f aca="false">IF(C370="","",IF(OR(G370="training",G370="full"),"Yes",IF(G370="none","No","?")))</f>
        <v/>
      </c>
      <c r="X370" s="10" t="str">
        <f aca="false">IF(C370="","",IF(OR(E370="",E370="unknown"),D370,E370))</f>
        <v/>
      </c>
      <c r="Y370" s="10" t="str">
        <f aca="false">IF(C370="","",IF(OR(T370="unsuitable",T370="retired",X370="no"),"—",IF(J370="","unrated",IF(AND(X370="full",J370&gt;=Settings!$C$5,OR(O370="untested",O370&gt;=Settings!$C$6)),"A",IF(AND(OR(X370="full",X370="reduced"),J370&gt;=Settings!$C$7,OR(O370="untested",O370&gt;=Settings!$C$8)),"B","C")))))</f>
        <v/>
      </c>
      <c r="Z370" s="11" t="str">
        <f aca="false">IF(C370="","",IF(P370&lt;&gt;"",P370,Y370))</f>
        <v/>
      </c>
    </row>
    <row r="371" customFormat="false" ht="15" hidden="false" customHeight="false" outlineLevel="0" collapsed="false">
      <c r="A371" s="9"/>
      <c r="B371" s="10" t="str">
        <f aca="false">IF(A371="","",IFERROR(INDEX(Parks!$A$2:$A$255,MATCH(A371,Parks!$B$2:$B$255,0)),"?"))</f>
        <v/>
      </c>
      <c r="C371" s="9"/>
      <c r="D371" s="10" t="str">
        <f aca="false">IF(C371="","",IF(SUMPRODUCT(--ISNUMBER(SEARCH({"Nets","Wicket","Diamond","Softball","T-ball","Baseball","Netball","Tennis","Bocce","Pentaque","Petanque","Skate","Car Park","Pond","Bridle","Amphitheatre","Perimeter","Passive"},C371)))&gt;0,"no",IF(SUMPRODUCT(--ISNUMBER(SEARCH({"Cricket","Junior","Mini","Summer Football","Small"},C371)))&gt;0,"reduced",IF(SUMPRODUCT(--ISNUMBER(SEARCH({"Rugby","Football","League","Touch","Gaelic","Australian","Lacrosse","General Sport","Training Area","Ultimate"},C371)))&gt;0,"full","unknown"))))</f>
        <v/>
      </c>
      <c r="E371" s="9"/>
      <c r="F371" s="9"/>
      <c r="G371" s="9"/>
      <c r="H371" s="9"/>
      <c r="I371" s="12"/>
      <c r="J371" s="9"/>
      <c r="K371" s="9"/>
      <c r="L371" s="9"/>
      <c r="M371" s="9"/>
      <c r="N371" s="9"/>
      <c r="O371" s="13" t="str">
        <f aca="false">IF(C371="","",IF(N(M371)+N(N371)&lt;Settings!$C$9,"untested",M371/(M371+N371)))</f>
        <v/>
      </c>
      <c r="P371" s="9"/>
      <c r="Q371" s="9"/>
      <c r="R371" s="9"/>
      <c r="S371" s="12"/>
      <c r="T371" s="9"/>
      <c r="U371" s="9"/>
      <c r="V371" s="9"/>
      <c r="W371" s="10" t="str">
        <f aca="false">IF(C371="","",IF(OR(G371="training",G371="full"),"Yes",IF(G371="none","No","?")))</f>
        <v/>
      </c>
      <c r="X371" s="10" t="str">
        <f aca="false">IF(C371="","",IF(OR(E371="",E371="unknown"),D371,E371))</f>
        <v/>
      </c>
      <c r="Y371" s="10" t="str">
        <f aca="false">IF(C371="","",IF(OR(T371="unsuitable",T371="retired",X371="no"),"—",IF(J371="","unrated",IF(AND(X371="full",J371&gt;=Settings!$C$5,OR(O371="untested",O371&gt;=Settings!$C$6)),"A",IF(AND(OR(X371="full",X371="reduced"),J371&gt;=Settings!$C$7,OR(O371="untested",O371&gt;=Settings!$C$8)),"B","C")))))</f>
        <v/>
      </c>
      <c r="Z371" s="11" t="str">
        <f aca="false">IF(C371="","",IF(P371&lt;&gt;"",P371,Y371))</f>
        <v/>
      </c>
    </row>
    <row r="372" customFormat="false" ht="15" hidden="false" customHeight="false" outlineLevel="0" collapsed="false">
      <c r="A372" s="9"/>
      <c r="B372" s="10" t="str">
        <f aca="false">IF(A372="","",IFERROR(INDEX(Parks!$A$2:$A$255,MATCH(A372,Parks!$B$2:$B$255,0)),"?"))</f>
        <v/>
      </c>
      <c r="C372" s="9"/>
      <c r="D372" s="10" t="str">
        <f aca="false">IF(C372="","",IF(SUMPRODUCT(--ISNUMBER(SEARCH({"Nets","Wicket","Diamond","Softball","T-ball","Baseball","Netball","Tennis","Bocce","Pentaque","Petanque","Skate","Car Park","Pond","Bridle","Amphitheatre","Perimeter","Passive"},C372)))&gt;0,"no",IF(SUMPRODUCT(--ISNUMBER(SEARCH({"Cricket","Junior","Mini","Summer Football","Small"},C372)))&gt;0,"reduced",IF(SUMPRODUCT(--ISNUMBER(SEARCH({"Rugby","Football","League","Touch","Gaelic","Australian","Lacrosse","General Sport","Training Area","Ultimate"},C372)))&gt;0,"full","unknown"))))</f>
        <v/>
      </c>
      <c r="E372" s="9"/>
      <c r="F372" s="9"/>
      <c r="G372" s="9"/>
      <c r="H372" s="9"/>
      <c r="I372" s="12"/>
      <c r="J372" s="9"/>
      <c r="K372" s="9"/>
      <c r="L372" s="9"/>
      <c r="M372" s="9"/>
      <c r="N372" s="9"/>
      <c r="O372" s="13" t="str">
        <f aca="false">IF(C372="","",IF(N(M372)+N(N372)&lt;Settings!$C$9,"untested",M372/(M372+N372)))</f>
        <v/>
      </c>
      <c r="P372" s="9"/>
      <c r="Q372" s="9"/>
      <c r="R372" s="9"/>
      <c r="S372" s="12"/>
      <c r="T372" s="9"/>
      <c r="U372" s="9"/>
      <c r="V372" s="9"/>
      <c r="W372" s="10" t="str">
        <f aca="false">IF(C372="","",IF(OR(G372="training",G372="full"),"Yes",IF(G372="none","No","?")))</f>
        <v/>
      </c>
      <c r="X372" s="10" t="str">
        <f aca="false">IF(C372="","",IF(OR(E372="",E372="unknown"),D372,E372))</f>
        <v/>
      </c>
      <c r="Y372" s="10" t="str">
        <f aca="false">IF(C372="","",IF(OR(T372="unsuitable",T372="retired",X372="no"),"—",IF(J372="","unrated",IF(AND(X372="full",J372&gt;=Settings!$C$5,OR(O372="untested",O372&gt;=Settings!$C$6)),"A",IF(AND(OR(X372="full",X372="reduced"),J372&gt;=Settings!$C$7,OR(O372="untested",O372&gt;=Settings!$C$8)),"B","C")))))</f>
        <v/>
      </c>
      <c r="Z372" s="11" t="str">
        <f aca="false">IF(C372="","",IF(P372&lt;&gt;"",P372,Y372))</f>
        <v/>
      </c>
    </row>
    <row r="373" customFormat="false" ht="15" hidden="false" customHeight="false" outlineLevel="0" collapsed="false">
      <c r="A373" s="9"/>
      <c r="B373" s="10" t="str">
        <f aca="false">IF(A373="","",IFERROR(INDEX(Parks!$A$2:$A$255,MATCH(A373,Parks!$B$2:$B$255,0)),"?"))</f>
        <v/>
      </c>
      <c r="C373" s="9"/>
      <c r="D373" s="10" t="str">
        <f aca="false">IF(C373="","",IF(SUMPRODUCT(--ISNUMBER(SEARCH({"Nets","Wicket","Diamond","Softball","T-ball","Baseball","Netball","Tennis","Bocce","Pentaque","Petanque","Skate","Car Park","Pond","Bridle","Amphitheatre","Perimeter","Passive"},C373)))&gt;0,"no",IF(SUMPRODUCT(--ISNUMBER(SEARCH({"Cricket","Junior","Mini","Summer Football","Small"},C373)))&gt;0,"reduced",IF(SUMPRODUCT(--ISNUMBER(SEARCH({"Rugby","Football","League","Touch","Gaelic","Australian","Lacrosse","General Sport","Training Area","Ultimate"},C373)))&gt;0,"full","unknown"))))</f>
        <v/>
      </c>
      <c r="E373" s="9"/>
      <c r="F373" s="9"/>
      <c r="G373" s="9"/>
      <c r="H373" s="9"/>
      <c r="I373" s="12"/>
      <c r="J373" s="9"/>
      <c r="K373" s="9"/>
      <c r="L373" s="9"/>
      <c r="M373" s="9"/>
      <c r="N373" s="9"/>
      <c r="O373" s="13" t="str">
        <f aca="false">IF(C373="","",IF(N(M373)+N(N373)&lt;Settings!$C$9,"untested",M373/(M373+N373)))</f>
        <v/>
      </c>
      <c r="P373" s="9"/>
      <c r="Q373" s="9"/>
      <c r="R373" s="9"/>
      <c r="S373" s="12"/>
      <c r="T373" s="9"/>
      <c r="U373" s="9"/>
      <c r="V373" s="9"/>
      <c r="W373" s="10" t="str">
        <f aca="false">IF(C373="","",IF(OR(G373="training",G373="full"),"Yes",IF(G373="none","No","?")))</f>
        <v/>
      </c>
      <c r="X373" s="10" t="str">
        <f aca="false">IF(C373="","",IF(OR(E373="",E373="unknown"),D373,E373))</f>
        <v/>
      </c>
      <c r="Y373" s="10" t="str">
        <f aca="false">IF(C373="","",IF(OR(T373="unsuitable",T373="retired",X373="no"),"—",IF(J373="","unrated",IF(AND(X373="full",J373&gt;=Settings!$C$5,OR(O373="untested",O373&gt;=Settings!$C$6)),"A",IF(AND(OR(X373="full",X373="reduced"),J373&gt;=Settings!$C$7,OR(O373="untested",O373&gt;=Settings!$C$8)),"B","C")))))</f>
        <v/>
      </c>
      <c r="Z373" s="11" t="str">
        <f aca="false">IF(C373="","",IF(P373&lt;&gt;"",P373,Y373))</f>
        <v/>
      </c>
    </row>
    <row r="374" customFormat="false" ht="15" hidden="false" customHeight="false" outlineLevel="0" collapsed="false">
      <c r="A374" s="9"/>
      <c r="B374" s="10" t="str">
        <f aca="false">IF(A374="","",IFERROR(INDEX(Parks!$A$2:$A$255,MATCH(A374,Parks!$B$2:$B$255,0)),"?"))</f>
        <v/>
      </c>
      <c r="C374" s="9"/>
      <c r="D374" s="10" t="str">
        <f aca="false">IF(C374="","",IF(SUMPRODUCT(--ISNUMBER(SEARCH({"Nets","Wicket","Diamond","Softball","T-ball","Baseball","Netball","Tennis","Bocce","Pentaque","Petanque","Skate","Car Park","Pond","Bridle","Amphitheatre","Perimeter","Passive"},C374)))&gt;0,"no",IF(SUMPRODUCT(--ISNUMBER(SEARCH({"Cricket","Junior","Mini","Summer Football","Small"},C374)))&gt;0,"reduced",IF(SUMPRODUCT(--ISNUMBER(SEARCH({"Rugby","Football","League","Touch","Gaelic","Australian","Lacrosse","General Sport","Training Area","Ultimate"},C374)))&gt;0,"full","unknown"))))</f>
        <v/>
      </c>
      <c r="E374" s="9"/>
      <c r="F374" s="9"/>
      <c r="G374" s="9"/>
      <c r="H374" s="9"/>
      <c r="I374" s="12"/>
      <c r="J374" s="9"/>
      <c r="K374" s="9"/>
      <c r="L374" s="9"/>
      <c r="M374" s="9"/>
      <c r="N374" s="9"/>
      <c r="O374" s="13" t="str">
        <f aca="false">IF(C374="","",IF(N(M374)+N(N374)&lt;Settings!$C$9,"untested",M374/(M374+N374)))</f>
        <v/>
      </c>
      <c r="P374" s="9"/>
      <c r="Q374" s="9"/>
      <c r="R374" s="9"/>
      <c r="S374" s="12"/>
      <c r="T374" s="9"/>
      <c r="U374" s="9"/>
      <c r="V374" s="9"/>
      <c r="W374" s="10" t="str">
        <f aca="false">IF(C374="","",IF(OR(G374="training",G374="full"),"Yes",IF(G374="none","No","?")))</f>
        <v/>
      </c>
      <c r="X374" s="10" t="str">
        <f aca="false">IF(C374="","",IF(OR(E374="",E374="unknown"),D374,E374))</f>
        <v/>
      </c>
      <c r="Y374" s="10" t="str">
        <f aca="false">IF(C374="","",IF(OR(T374="unsuitable",T374="retired",X374="no"),"—",IF(J374="","unrated",IF(AND(X374="full",J374&gt;=Settings!$C$5,OR(O374="untested",O374&gt;=Settings!$C$6)),"A",IF(AND(OR(X374="full",X374="reduced"),J374&gt;=Settings!$C$7,OR(O374="untested",O374&gt;=Settings!$C$8)),"B","C")))))</f>
        <v/>
      </c>
      <c r="Z374" s="11" t="str">
        <f aca="false">IF(C374="","",IF(P374&lt;&gt;"",P374,Y374))</f>
        <v/>
      </c>
    </row>
    <row r="375" customFormat="false" ht="15" hidden="false" customHeight="false" outlineLevel="0" collapsed="false">
      <c r="A375" s="9"/>
      <c r="B375" s="10" t="str">
        <f aca="false">IF(A375="","",IFERROR(INDEX(Parks!$A$2:$A$255,MATCH(A375,Parks!$B$2:$B$255,0)),"?"))</f>
        <v/>
      </c>
      <c r="C375" s="9"/>
      <c r="D375" s="10" t="str">
        <f aca="false">IF(C375="","",IF(SUMPRODUCT(--ISNUMBER(SEARCH({"Nets","Wicket","Diamond","Softball","T-ball","Baseball","Netball","Tennis","Bocce","Pentaque","Petanque","Skate","Car Park","Pond","Bridle","Amphitheatre","Perimeter","Passive"},C375)))&gt;0,"no",IF(SUMPRODUCT(--ISNUMBER(SEARCH({"Cricket","Junior","Mini","Summer Football","Small"},C375)))&gt;0,"reduced",IF(SUMPRODUCT(--ISNUMBER(SEARCH({"Rugby","Football","League","Touch","Gaelic","Australian","Lacrosse","General Sport","Training Area","Ultimate"},C375)))&gt;0,"full","unknown"))))</f>
        <v/>
      </c>
      <c r="E375" s="9"/>
      <c r="F375" s="9"/>
      <c r="G375" s="9"/>
      <c r="H375" s="9"/>
      <c r="I375" s="12"/>
      <c r="J375" s="9"/>
      <c r="K375" s="9"/>
      <c r="L375" s="9"/>
      <c r="M375" s="9"/>
      <c r="N375" s="9"/>
      <c r="O375" s="13" t="str">
        <f aca="false">IF(C375="","",IF(N(M375)+N(N375)&lt;Settings!$C$9,"untested",M375/(M375+N375)))</f>
        <v/>
      </c>
      <c r="P375" s="9"/>
      <c r="Q375" s="9"/>
      <c r="R375" s="9"/>
      <c r="S375" s="12"/>
      <c r="T375" s="9"/>
      <c r="U375" s="9"/>
      <c r="V375" s="9"/>
      <c r="W375" s="10" t="str">
        <f aca="false">IF(C375="","",IF(OR(G375="training",G375="full"),"Yes",IF(G375="none","No","?")))</f>
        <v/>
      </c>
      <c r="X375" s="10" t="str">
        <f aca="false">IF(C375="","",IF(OR(E375="",E375="unknown"),D375,E375))</f>
        <v/>
      </c>
      <c r="Y375" s="10" t="str">
        <f aca="false">IF(C375="","",IF(OR(T375="unsuitable",T375="retired",X375="no"),"—",IF(J375="","unrated",IF(AND(X375="full",J375&gt;=Settings!$C$5,OR(O375="untested",O375&gt;=Settings!$C$6)),"A",IF(AND(OR(X375="full",X375="reduced"),J375&gt;=Settings!$C$7,OR(O375="untested",O375&gt;=Settings!$C$8)),"B","C")))))</f>
        <v/>
      </c>
      <c r="Z375" s="11" t="str">
        <f aca="false">IF(C375="","",IF(P375&lt;&gt;"",P375,Y375))</f>
        <v/>
      </c>
    </row>
    <row r="376" customFormat="false" ht="15" hidden="false" customHeight="false" outlineLevel="0" collapsed="false">
      <c r="A376" s="9"/>
      <c r="B376" s="10" t="str">
        <f aca="false">IF(A376="","",IFERROR(INDEX(Parks!$A$2:$A$255,MATCH(A376,Parks!$B$2:$B$255,0)),"?"))</f>
        <v/>
      </c>
      <c r="C376" s="9"/>
      <c r="D376" s="10" t="str">
        <f aca="false">IF(C376="","",IF(SUMPRODUCT(--ISNUMBER(SEARCH({"Nets","Wicket","Diamond","Softball","T-ball","Baseball","Netball","Tennis","Bocce","Pentaque","Petanque","Skate","Car Park","Pond","Bridle","Amphitheatre","Perimeter","Passive"},C376)))&gt;0,"no",IF(SUMPRODUCT(--ISNUMBER(SEARCH({"Cricket","Junior","Mini","Summer Football","Small"},C376)))&gt;0,"reduced",IF(SUMPRODUCT(--ISNUMBER(SEARCH({"Rugby","Football","League","Touch","Gaelic","Australian","Lacrosse","General Sport","Training Area","Ultimate"},C376)))&gt;0,"full","unknown"))))</f>
        <v/>
      </c>
      <c r="E376" s="9"/>
      <c r="F376" s="9"/>
      <c r="G376" s="9"/>
      <c r="H376" s="9"/>
      <c r="I376" s="12"/>
      <c r="J376" s="9"/>
      <c r="K376" s="9"/>
      <c r="L376" s="9"/>
      <c r="M376" s="9"/>
      <c r="N376" s="9"/>
      <c r="O376" s="13" t="str">
        <f aca="false">IF(C376="","",IF(N(M376)+N(N376)&lt;Settings!$C$9,"untested",M376/(M376+N376)))</f>
        <v/>
      </c>
      <c r="P376" s="9"/>
      <c r="Q376" s="9"/>
      <c r="R376" s="9"/>
      <c r="S376" s="12"/>
      <c r="T376" s="9"/>
      <c r="U376" s="9"/>
      <c r="V376" s="9"/>
      <c r="W376" s="10" t="str">
        <f aca="false">IF(C376="","",IF(OR(G376="training",G376="full"),"Yes",IF(G376="none","No","?")))</f>
        <v/>
      </c>
      <c r="X376" s="10" t="str">
        <f aca="false">IF(C376="","",IF(OR(E376="",E376="unknown"),D376,E376))</f>
        <v/>
      </c>
      <c r="Y376" s="10" t="str">
        <f aca="false">IF(C376="","",IF(OR(T376="unsuitable",T376="retired",X376="no"),"—",IF(J376="","unrated",IF(AND(X376="full",J376&gt;=Settings!$C$5,OR(O376="untested",O376&gt;=Settings!$C$6)),"A",IF(AND(OR(X376="full",X376="reduced"),J376&gt;=Settings!$C$7,OR(O376="untested",O376&gt;=Settings!$C$8)),"B","C")))))</f>
        <v/>
      </c>
      <c r="Z376" s="11" t="str">
        <f aca="false">IF(C376="","",IF(P376&lt;&gt;"",P376,Y376))</f>
        <v/>
      </c>
    </row>
    <row r="377" customFormat="false" ht="15" hidden="false" customHeight="false" outlineLevel="0" collapsed="false">
      <c r="A377" s="9"/>
      <c r="B377" s="10" t="str">
        <f aca="false">IF(A377="","",IFERROR(INDEX(Parks!$A$2:$A$255,MATCH(A377,Parks!$B$2:$B$255,0)),"?"))</f>
        <v/>
      </c>
      <c r="C377" s="9"/>
      <c r="D377" s="10" t="str">
        <f aca="false">IF(C377="","",IF(SUMPRODUCT(--ISNUMBER(SEARCH({"Nets","Wicket","Diamond","Softball","T-ball","Baseball","Netball","Tennis","Bocce","Pentaque","Petanque","Skate","Car Park","Pond","Bridle","Amphitheatre","Perimeter","Passive"},C377)))&gt;0,"no",IF(SUMPRODUCT(--ISNUMBER(SEARCH({"Cricket","Junior","Mini","Summer Football","Small"},C377)))&gt;0,"reduced",IF(SUMPRODUCT(--ISNUMBER(SEARCH({"Rugby","Football","League","Touch","Gaelic","Australian","Lacrosse","General Sport","Training Area","Ultimate"},C377)))&gt;0,"full","unknown"))))</f>
        <v/>
      </c>
      <c r="E377" s="9"/>
      <c r="F377" s="9"/>
      <c r="G377" s="9"/>
      <c r="H377" s="9"/>
      <c r="I377" s="12"/>
      <c r="J377" s="9"/>
      <c r="K377" s="9"/>
      <c r="L377" s="9"/>
      <c r="M377" s="9"/>
      <c r="N377" s="9"/>
      <c r="O377" s="13" t="str">
        <f aca="false">IF(C377="","",IF(N(M377)+N(N377)&lt;Settings!$C$9,"untested",M377/(M377+N377)))</f>
        <v/>
      </c>
      <c r="P377" s="9"/>
      <c r="Q377" s="9"/>
      <c r="R377" s="9"/>
      <c r="S377" s="12"/>
      <c r="T377" s="9"/>
      <c r="U377" s="9"/>
      <c r="V377" s="9"/>
      <c r="W377" s="10" t="str">
        <f aca="false">IF(C377="","",IF(OR(G377="training",G377="full"),"Yes",IF(G377="none","No","?")))</f>
        <v/>
      </c>
      <c r="X377" s="10" t="str">
        <f aca="false">IF(C377="","",IF(OR(E377="",E377="unknown"),D377,E377))</f>
        <v/>
      </c>
      <c r="Y377" s="10" t="str">
        <f aca="false">IF(C377="","",IF(OR(T377="unsuitable",T377="retired",X377="no"),"—",IF(J377="","unrated",IF(AND(X377="full",J377&gt;=Settings!$C$5,OR(O377="untested",O377&gt;=Settings!$C$6)),"A",IF(AND(OR(X377="full",X377="reduced"),J377&gt;=Settings!$C$7,OR(O377="untested",O377&gt;=Settings!$C$8)),"B","C")))))</f>
        <v/>
      </c>
      <c r="Z377" s="11" t="str">
        <f aca="false">IF(C377="","",IF(P377&lt;&gt;"",P377,Y377))</f>
        <v/>
      </c>
    </row>
    <row r="378" customFormat="false" ht="15" hidden="false" customHeight="false" outlineLevel="0" collapsed="false">
      <c r="A378" s="9"/>
      <c r="B378" s="10" t="str">
        <f aca="false">IF(A378="","",IFERROR(INDEX(Parks!$A$2:$A$255,MATCH(A378,Parks!$B$2:$B$255,0)),"?"))</f>
        <v/>
      </c>
      <c r="C378" s="9"/>
      <c r="D378" s="10" t="str">
        <f aca="false">IF(C378="","",IF(SUMPRODUCT(--ISNUMBER(SEARCH({"Nets","Wicket","Diamond","Softball","T-ball","Baseball","Netball","Tennis","Bocce","Pentaque","Petanque","Skate","Car Park","Pond","Bridle","Amphitheatre","Perimeter","Passive"},C378)))&gt;0,"no",IF(SUMPRODUCT(--ISNUMBER(SEARCH({"Cricket","Junior","Mini","Summer Football","Small"},C378)))&gt;0,"reduced",IF(SUMPRODUCT(--ISNUMBER(SEARCH({"Rugby","Football","League","Touch","Gaelic","Australian","Lacrosse","General Sport","Training Area","Ultimate"},C378)))&gt;0,"full","unknown"))))</f>
        <v/>
      </c>
      <c r="E378" s="9"/>
      <c r="F378" s="9"/>
      <c r="G378" s="9"/>
      <c r="H378" s="9"/>
      <c r="I378" s="12"/>
      <c r="J378" s="9"/>
      <c r="K378" s="9"/>
      <c r="L378" s="9"/>
      <c r="M378" s="9"/>
      <c r="N378" s="9"/>
      <c r="O378" s="13" t="str">
        <f aca="false">IF(C378="","",IF(N(M378)+N(N378)&lt;Settings!$C$9,"untested",M378/(M378+N378)))</f>
        <v/>
      </c>
      <c r="P378" s="9"/>
      <c r="Q378" s="9"/>
      <c r="R378" s="9"/>
      <c r="S378" s="12"/>
      <c r="T378" s="9"/>
      <c r="U378" s="9"/>
      <c r="V378" s="9"/>
      <c r="W378" s="10" t="str">
        <f aca="false">IF(C378="","",IF(OR(G378="training",G378="full"),"Yes",IF(G378="none","No","?")))</f>
        <v/>
      </c>
      <c r="X378" s="10" t="str">
        <f aca="false">IF(C378="","",IF(OR(E378="",E378="unknown"),D378,E378))</f>
        <v/>
      </c>
      <c r="Y378" s="10" t="str">
        <f aca="false">IF(C378="","",IF(OR(T378="unsuitable",T378="retired",X378="no"),"—",IF(J378="","unrated",IF(AND(X378="full",J378&gt;=Settings!$C$5,OR(O378="untested",O378&gt;=Settings!$C$6)),"A",IF(AND(OR(X378="full",X378="reduced"),J378&gt;=Settings!$C$7,OR(O378="untested",O378&gt;=Settings!$C$8)),"B","C")))))</f>
        <v/>
      </c>
      <c r="Z378" s="11" t="str">
        <f aca="false">IF(C378="","",IF(P378&lt;&gt;"",P378,Y378))</f>
        <v/>
      </c>
    </row>
    <row r="379" customFormat="false" ht="15" hidden="false" customHeight="false" outlineLevel="0" collapsed="false">
      <c r="A379" s="9"/>
      <c r="B379" s="10" t="str">
        <f aca="false">IF(A379="","",IFERROR(INDEX(Parks!$A$2:$A$255,MATCH(A379,Parks!$B$2:$B$255,0)),"?"))</f>
        <v/>
      </c>
      <c r="C379" s="9"/>
      <c r="D379" s="10" t="str">
        <f aca="false">IF(C379="","",IF(SUMPRODUCT(--ISNUMBER(SEARCH({"Nets","Wicket","Diamond","Softball","T-ball","Baseball","Netball","Tennis","Bocce","Pentaque","Petanque","Skate","Car Park","Pond","Bridle","Amphitheatre","Perimeter","Passive"},C379)))&gt;0,"no",IF(SUMPRODUCT(--ISNUMBER(SEARCH({"Cricket","Junior","Mini","Summer Football","Small"},C379)))&gt;0,"reduced",IF(SUMPRODUCT(--ISNUMBER(SEARCH({"Rugby","Football","League","Touch","Gaelic","Australian","Lacrosse","General Sport","Training Area","Ultimate"},C379)))&gt;0,"full","unknown"))))</f>
        <v/>
      </c>
      <c r="E379" s="9"/>
      <c r="F379" s="9"/>
      <c r="G379" s="9"/>
      <c r="H379" s="9"/>
      <c r="I379" s="12"/>
      <c r="J379" s="9"/>
      <c r="K379" s="9"/>
      <c r="L379" s="9"/>
      <c r="M379" s="9"/>
      <c r="N379" s="9"/>
      <c r="O379" s="13" t="str">
        <f aca="false">IF(C379="","",IF(N(M379)+N(N379)&lt;Settings!$C$9,"untested",M379/(M379+N379)))</f>
        <v/>
      </c>
      <c r="P379" s="9"/>
      <c r="Q379" s="9"/>
      <c r="R379" s="9"/>
      <c r="S379" s="12"/>
      <c r="T379" s="9"/>
      <c r="U379" s="9"/>
      <c r="V379" s="9"/>
      <c r="W379" s="10" t="str">
        <f aca="false">IF(C379="","",IF(OR(G379="training",G379="full"),"Yes",IF(G379="none","No","?")))</f>
        <v/>
      </c>
      <c r="X379" s="10" t="str">
        <f aca="false">IF(C379="","",IF(OR(E379="",E379="unknown"),D379,E379))</f>
        <v/>
      </c>
      <c r="Y379" s="10" t="str">
        <f aca="false">IF(C379="","",IF(OR(T379="unsuitable",T379="retired",X379="no"),"—",IF(J379="","unrated",IF(AND(X379="full",J379&gt;=Settings!$C$5,OR(O379="untested",O379&gt;=Settings!$C$6)),"A",IF(AND(OR(X379="full",X379="reduced"),J379&gt;=Settings!$C$7,OR(O379="untested",O379&gt;=Settings!$C$8)),"B","C")))))</f>
        <v/>
      </c>
      <c r="Z379" s="11" t="str">
        <f aca="false">IF(C379="","",IF(P379&lt;&gt;"",P379,Y379))</f>
        <v/>
      </c>
    </row>
    <row r="380" customFormat="false" ht="15" hidden="false" customHeight="false" outlineLevel="0" collapsed="false">
      <c r="A380" s="9"/>
      <c r="B380" s="10" t="str">
        <f aca="false">IF(A380="","",IFERROR(INDEX(Parks!$A$2:$A$255,MATCH(A380,Parks!$B$2:$B$255,0)),"?"))</f>
        <v/>
      </c>
      <c r="C380" s="9"/>
      <c r="D380" s="10" t="str">
        <f aca="false">IF(C380="","",IF(SUMPRODUCT(--ISNUMBER(SEARCH({"Nets","Wicket","Diamond","Softball","T-ball","Baseball","Netball","Tennis","Bocce","Pentaque","Petanque","Skate","Car Park","Pond","Bridle","Amphitheatre","Perimeter","Passive"},C380)))&gt;0,"no",IF(SUMPRODUCT(--ISNUMBER(SEARCH({"Cricket","Junior","Mini","Summer Football","Small"},C380)))&gt;0,"reduced",IF(SUMPRODUCT(--ISNUMBER(SEARCH({"Rugby","Football","League","Touch","Gaelic","Australian","Lacrosse","General Sport","Training Area","Ultimate"},C380)))&gt;0,"full","unknown"))))</f>
        <v/>
      </c>
      <c r="E380" s="9"/>
      <c r="F380" s="9"/>
      <c r="G380" s="9"/>
      <c r="H380" s="9"/>
      <c r="I380" s="12"/>
      <c r="J380" s="9"/>
      <c r="K380" s="9"/>
      <c r="L380" s="9"/>
      <c r="M380" s="9"/>
      <c r="N380" s="9"/>
      <c r="O380" s="13" t="str">
        <f aca="false">IF(C380="","",IF(N(M380)+N(N380)&lt;Settings!$C$9,"untested",M380/(M380+N380)))</f>
        <v/>
      </c>
      <c r="P380" s="9"/>
      <c r="Q380" s="9"/>
      <c r="R380" s="9"/>
      <c r="S380" s="12"/>
      <c r="T380" s="9"/>
      <c r="U380" s="9"/>
      <c r="V380" s="9"/>
      <c r="W380" s="10" t="str">
        <f aca="false">IF(C380="","",IF(OR(G380="training",G380="full"),"Yes",IF(G380="none","No","?")))</f>
        <v/>
      </c>
      <c r="X380" s="10" t="str">
        <f aca="false">IF(C380="","",IF(OR(E380="",E380="unknown"),D380,E380))</f>
        <v/>
      </c>
      <c r="Y380" s="10" t="str">
        <f aca="false">IF(C380="","",IF(OR(T380="unsuitable",T380="retired",X380="no"),"—",IF(J380="","unrated",IF(AND(X380="full",J380&gt;=Settings!$C$5,OR(O380="untested",O380&gt;=Settings!$C$6)),"A",IF(AND(OR(X380="full",X380="reduced"),J380&gt;=Settings!$C$7,OR(O380="untested",O380&gt;=Settings!$C$8)),"B","C")))))</f>
        <v/>
      </c>
      <c r="Z380" s="11" t="str">
        <f aca="false">IF(C380="","",IF(P380&lt;&gt;"",P380,Y380))</f>
        <v/>
      </c>
    </row>
    <row r="381" customFormat="false" ht="15" hidden="false" customHeight="false" outlineLevel="0" collapsed="false">
      <c r="A381" s="9"/>
      <c r="B381" s="10" t="str">
        <f aca="false">IF(A381="","",IFERROR(INDEX(Parks!$A$2:$A$255,MATCH(A381,Parks!$B$2:$B$255,0)),"?"))</f>
        <v/>
      </c>
      <c r="C381" s="9"/>
      <c r="D381" s="10" t="str">
        <f aca="false">IF(C381="","",IF(SUMPRODUCT(--ISNUMBER(SEARCH({"Nets","Wicket","Diamond","Softball","T-ball","Baseball","Netball","Tennis","Bocce","Pentaque","Petanque","Skate","Car Park","Pond","Bridle","Amphitheatre","Perimeter","Passive"},C381)))&gt;0,"no",IF(SUMPRODUCT(--ISNUMBER(SEARCH({"Cricket","Junior","Mini","Summer Football","Small"},C381)))&gt;0,"reduced",IF(SUMPRODUCT(--ISNUMBER(SEARCH({"Rugby","Football","League","Touch","Gaelic","Australian","Lacrosse","General Sport","Training Area","Ultimate"},C381)))&gt;0,"full","unknown"))))</f>
        <v/>
      </c>
      <c r="E381" s="9"/>
      <c r="F381" s="9"/>
      <c r="G381" s="9"/>
      <c r="H381" s="9"/>
      <c r="I381" s="12"/>
      <c r="J381" s="9"/>
      <c r="K381" s="9"/>
      <c r="L381" s="9"/>
      <c r="M381" s="9"/>
      <c r="N381" s="9"/>
      <c r="O381" s="13" t="str">
        <f aca="false">IF(C381="","",IF(N(M381)+N(N381)&lt;Settings!$C$9,"untested",M381/(M381+N381)))</f>
        <v/>
      </c>
      <c r="P381" s="9"/>
      <c r="Q381" s="9"/>
      <c r="R381" s="9"/>
      <c r="S381" s="12"/>
      <c r="T381" s="9"/>
      <c r="U381" s="9"/>
      <c r="V381" s="9"/>
      <c r="W381" s="10" t="str">
        <f aca="false">IF(C381="","",IF(OR(G381="training",G381="full"),"Yes",IF(G381="none","No","?")))</f>
        <v/>
      </c>
      <c r="X381" s="10" t="str">
        <f aca="false">IF(C381="","",IF(OR(E381="",E381="unknown"),D381,E381))</f>
        <v/>
      </c>
      <c r="Y381" s="10" t="str">
        <f aca="false">IF(C381="","",IF(OR(T381="unsuitable",T381="retired",X381="no"),"—",IF(J381="","unrated",IF(AND(X381="full",J381&gt;=Settings!$C$5,OR(O381="untested",O381&gt;=Settings!$C$6)),"A",IF(AND(OR(X381="full",X381="reduced"),J381&gt;=Settings!$C$7,OR(O381="untested",O381&gt;=Settings!$C$8)),"B","C")))))</f>
        <v/>
      </c>
      <c r="Z381" s="11" t="str">
        <f aca="false">IF(C381="","",IF(P381&lt;&gt;"",P381,Y381))</f>
        <v/>
      </c>
    </row>
    <row r="382" customFormat="false" ht="15" hidden="false" customHeight="false" outlineLevel="0" collapsed="false">
      <c r="A382" s="9"/>
      <c r="B382" s="10" t="str">
        <f aca="false">IF(A382="","",IFERROR(INDEX(Parks!$A$2:$A$255,MATCH(A382,Parks!$B$2:$B$255,0)),"?"))</f>
        <v/>
      </c>
      <c r="C382" s="9"/>
      <c r="D382" s="10" t="str">
        <f aca="false">IF(C382="","",IF(SUMPRODUCT(--ISNUMBER(SEARCH({"Nets","Wicket","Diamond","Softball","T-ball","Baseball","Netball","Tennis","Bocce","Pentaque","Petanque","Skate","Car Park","Pond","Bridle","Amphitheatre","Perimeter","Passive"},C382)))&gt;0,"no",IF(SUMPRODUCT(--ISNUMBER(SEARCH({"Cricket","Junior","Mini","Summer Football","Small"},C382)))&gt;0,"reduced",IF(SUMPRODUCT(--ISNUMBER(SEARCH({"Rugby","Football","League","Touch","Gaelic","Australian","Lacrosse","General Sport","Training Area","Ultimate"},C382)))&gt;0,"full","unknown"))))</f>
        <v/>
      </c>
      <c r="E382" s="9"/>
      <c r="F382" s="9"/>
      <c r="G382" s="9"/>
      <c r="H382" s="9"/>
      <c r="I382" s="12"/>
      <c r="J382" s="9"/>
      <c r="K382" s="9"/>
      <c r="L382" s="9"/>
      <c r="M382" s="9"/>
      <c r="N382" s="9"/>
      <c r="O382" s="13" t="str">
        <f aca="false">IF(C382="","",IF(N(M382)+N(N382)&lt;Settings!$C$9,"untested",M382/(M382+N382)))</f>
        <v/>
      </c>
      <c r="P382" s="9"/>
      <c r="Q382" s="9"/>
      <c r="R382" s="9"/>
      <c r="S382" s="12"/>
      <c r="T382" s="9"/>
      <c r="U382" s="9"/>
      <c r="V382" s="9"/>
      <c r="W382" s="10" t="str">
        <f aca="false">IF(C382="","",IF(OR(G382="training",G382="full"),"Yes",IF(G382="none","No","?")))</f>
        <v/>
      </c>
      <c r="X382" s="10" t="str">
        <f aca="false">IF(C382="","",IF(OR(E382="",E382="unknown"),D382,E382))</f>
        <v/>
      </c>
      <c r="Y382" s="10" t="str">
        <f aca="false">IF(C382="","",IF(OR(T382="unsuitable",T382="retired",X382="no"),"—",IF(J382="","unrated",IF(AND(X382="full",J382&gt;=Settings!$C$5,OR(O382="untested",O382&gt;=Settings!$C$6)),"A",IF(AND(OR(X382="full",X382="reduced"),J382&gt;=Settings!$C$7,OR(O382="untested",O382&gt;=Settings!$C$8)),"B","C")))))</f>
        <v/>
      </c>
      <c r="Z382" s="11" t="str">
        <f aca="false">IF(C382="","",IF(P382&lt;&gt;"",P382,Y382))</f>
        <v/>
      </c>
    </row>
    <row r="383" customFormat="false" ht="15" hidden="false" customHeight="false" outlineLevel="0" collapsed="false">
      <c r="A383" s="9"/>
      <c r="B383" s="10" t="str">
        <f aca="false">IF(A383="","",IFERROR(INDEX(Parks!$A$2:$A$255,MATCH(A383,Parks!$B$2:$B$255,0)),"?"))</f>
        <v/>
      </c>
      <c r="C383" s="9"/>
      <c r="D383" s="10" t="str">
        <f aca="false">IF(C383="","",IF(SUMPRODUCT(--ISNUMBER(SEARCH({"Nets","Wicket","Diamond","Softball","T-ball","Baseball","Netball","Tennis","Bocce","Pentaque","Petanque","Skate","Car Park","Pond","Bridle","Amphitheatre","Perimeter","Passive"},C383)))&gt;0,"no",IF(SUMPRODUCT(--ISNUMBER(SEARCH({"Cricket","Junior","Mini","Summer Football","Small"},C383)))&gt;0,"reduced",IF(SUMPRODUCT(--ISNUMBER(SEARCH({"Rugby","Football","League","Touch","Gaelic","Australian","Lacrosse","General Sport","Training Area","Ultimate"},C383)))&gt;0,"full","unknown"))))</f>
        <v/>
      </c>
      <c r="E383" s="9"/>
      <c r="F383" s="9"/>
      <c r="G383" s="9"/>
      <c r="H383" s="9"/>
      <c r="I383" s="12"/>
      <c r="J383" s="9"/>
      <c r="K383" s="9"/>
      <c r="L383" s="9"/>
      <c r="M383" s="9"/>
      <c r="N383" s="9"/>
      <c r="O383" s="13" t="str">
        <f aca="false">IF(C383="","",IF(N(M383)+N(N383)&lt;Settings!$C$9,"untested",M383/(M383+N383)))</f>
        <v/>
      </c>
      <c r="P383" s="9"/>
      <c r="Q383" s="9"/>
      <c r="R383" s="9"/>
      <c r="S383" s="12"/>
      <c r="T383" s="9"/>
      <c r="U383" s="9"/>
      <c r="V383" s="9"/>
      <c r="W383" s="10" t="str">
        <f aca="false">IF(C383="","",IF(OR(G383="training",G383="full"),"Yes",IF(G383="none","No","?")))</f>
        <v/>
      </c>
      <c r="X383" s="10" t="str">
        <f aca="false">IF(C383="","",IF(OR(E383="",E383="unknown"),D383,E383))</f>
        <v/>
      </c>
      <c r="Y383" s="10" t="str">
        <f aca="false">IF(C383="","",IF(OR(T383="unsuitable",T383="retired",X383="no"),"—",IF(J383="","unrated",IF(AND(X383="full",J383&gt;=Settings!$C$5,OR(O383="untested",O383&gt;=Settings!$C$6)),"A",IF(AND(OR(X383="full",X383="reduced"),J383&gt;=Settings!$C$7,OR(O383="untested",O383&gt;=Settings!$C$8)),"B","C")))))</f>
        <v/>
      </c>
      <c r="Z383" s="11" t="str">
        <f aca="false">IF(C383="","",IF(P383&lt;&gt;"",P383,Y383))</f>
        <v/>
      </c>
    </row>
    <row r="384" customFormat="false" ht="15" hidden="false" customHeight="false" outlineLevel="0" collapsed="false">
      <c r="A384" s="9"/>
      <c r="B384" s="10" t="str">
        <f aca="false">IF(A384="","",IFERROR(INDEX(Parks!$A$2:$A$255,MATCH(A384,Parks!$B$2:$B$255,0)),"?"))</f>
        <v/>
      </c>
      <c r="C384" s="9"/>
      <c r="D384" s="10" t="str">
        <f aca="false">IF(C384="","",IF(SUMPRODUCT(--ISNUMBER(SEARCH({"Nets","Wicket","Diamond","Softball","T-ball","Baseball","Netball","Tennis","Bocce","Pentaque","Petanque","Skate","Car Park","Pond","Bridle","Amphitheatre","Perimeter","Passive"},C384)))&gt;0,"no",IF(SUMPRODUCT(--ISNUMBER(SEARCH({"Cricket","Junior","Mini","Summer Football","Small"},C384)))&gt;0,"reduced",IF(SUMPRODUCT(--ISNUMBER(SEARCH({"Rugby","Football","League","Touch","Gaelic","Australian","Lacrosse","General Sport","Training Area","Ultimate"},C384)))&gt;0,"full","unknown"))))</f>
        <v/>
      </c>
      <c r="E384" s="9"/>
      <c r="F384" s="9"/>
      <c r="G384" s="9"/>
      <c r="H384" s="9"/>
      <c r="I384" s="12"/>
      <c r="J384" s="9"/>
      <c r="K384" s="9"/>
      <c r="L384" s="9"/>
      <c r="M384" s="9"/>
      <c r="N384" s="9"/>
      <c r="O384" s="13" t="str">
        <f aca="false">IF(C384="","",IF(N(M384)+N(N384)&lt;Settings!$C$9,"untested",M384/(M384+N384)))</f>
        <v/>
      </c>
      <c r="P384" s="9"/>
      <c r="Q384" s="9"/>
      <c r="R384" s="9"/>
      <c r="S384" s="12"/>
      <c r="T384" s="9"/>
      <c r="U384" s="9"/>
      <c r="V384" s="9"/>
      <c r="W384" s="10" t="str">
        <f aca="false">IF(C384="","",IF(OR(G384="training",G384="full"),"Yes",IF(G384="none","No","?")))</f>
        <v/>
      </c>
      <c r="X384" s="10" t="str">
        <f aca="false">IF(C384="","",IF(OR(E384="",E384="unknown"),D384,E384))</f>
        <v/>
      </c>
      <c r="Y384" s="10" t="str">
        <f aca="false">IF(C384="","",IF(OR(T384="unsuitable",T384="retired",X384="no"),"—",IF(J384="","unrated",IF(AND(X384="full",J384&gt;=Settings!$C$5,OR(O384="untested",O384&gt;=Settings!$C$6)),"A",IF(AND(OR(X384="full",X384="reduced"),J384&gt;=Settings!$C$7,OR(O384="untested",O384&gt;=Settings!$C$8)),"B","C")))))</f>
        <v/>
      </c>
      <c r="Z384" s="11" t="str">
        <f aca="false">IF(C384="","",IF(P384&lt;&gt;"",P384,Y384))</f>
        <v/>
      </c>
    </row>
    <row r="385" customFormat="false" ht="15" hidden="false" customHeight="false" outlineLevel="0" collapsed="false">
      <c r="A385" s="9"/>
      <c r="B385" s="10" t="str">
        <f aca="false">IF(A385="","",IFERROR(INDEX(Parks!$A$2:$A$255,MATCH(A385,Parks!$B$2:$B$255,0)),"?"))</f>
        <v/>
      </c>
      <c r="C385" s="9"/>
      <c r="D385" s="10" t="str">
        <f aca="false">IF(C385="","",IF(SUMPRODUCT(--ISNUMBER(SEARCH({"Nets","Wicket","Diamond","Softball","T-ball","Baseball","Netball","Tennis","Bocce","Pentaque","Petanque","Skate","Car Park","Pond","Bridle","Amphitheatre","Perimeter","Passive"},C385)))&gt;0,"no",IF(SUMPRODUCT(--ISNUMBER(SEARCH({"Cricket","Junior","Mini","Summer Football","Small"},C385)))&gt;0,"reduced",IF(SUMPRODUCT(--ISNUMBER(SEARCH({"Rugby","Football","League","Touch","Gaelic","Australian","Lacrosse","General Sport","Training Area","Ultimate"},C385)))&gt;0,"full","unknown"))))</f>
        <v/>
      </c>
      <c r="E385" s="9"/>
      <c r="F385" s="9"/>
      <c r="G385" s="9"/>
      <c r="H385" s="9"/>
      <c r="I385" s="12"/>
      <c r="J385" s="9"/>
      <c r="K385" s="9"/>
      <c r="L385" s="9"/>
      <c r="M385" s="9"/>
      <c r="N385" s="9"/>
      <c r="O385" s="13" t="str">
        <f aca="false">IF(C385="","",IF(N(M385)+N(N385)&lt;Settings!$C$9,"untested",M385/(M385+N385)))</f>
        <v/>
      </c>
      <c r="P385" s="9"/>
      <c r="Q385" s="9"/>
      <c r="R385" s="9"/>
      <c r="S385" s="12"/>
      <c r="T385" s="9"/>
      <c r="U385" s="9"/>
      <c r="V385" s="9"/>
      <c r="W385" s="10" t="str">
        <f aca="false">IF(C385="","",IF(OR(G385="training",G385="full"),"Yes",IF(G385="none","No","?")))</f>
        <v/>
      </c>
      <c r="X385" s="10" t="str">
        <f aca="false">IF(C385="","",IF(OR(E385="",E385="unknown"),D385,E385))</f>
        <v/>
      </c>
      <c r="Y385" s="10" t="str">
        <f aca="false">IF(C385="","",IF(OR(T385="unsuitable",T385="retired",X385="no"),"—",IF(J385="","unrated",IF(AND(X385="full",J385&gt;=Settings!$C$5,OR(O385="untested",O385&gt;=Settings!$C$6)),"A",IF(AND(OR(X385="full",X385="reduced"),J385&gt;=Settings!$C$7,OR(O385="untested",O385&gt;=Settings!$C$8)),"B","C")))))</f>
        <v/>
      </c>
      <c r="Z385" s="11" t="str">
        <f aca="false">IF(C385="","",IF(P385&lt;&gt;"",P385,Y385))</f>
        <v/>
      </c>
    </row>
    <row r="386" customFormat="false" ht="15" hidden="false" customHeight="false" outlineLevel="0" collapsed="false">
      <c r="A386" s="9"/>
      <c r="B386" s="10" t="str">
        <f aca="false">IF(A386="","",IFERROR(INDEX(Parks!$A$2:$A$255,MATCH(A386,Parks!$B$2:$B$255,0)),"?"))</f>
        <v/>
      </c>
      <c r="C386" s="9"/>
      <c r="D386" s="10" t="str">
        <f aca="false">IF(C386="","",IF(SUMPRODUCT(--ISNUMBER(SEARCH({"Nets","Wicket","Diamond","Softball","T-ball","Baseball","Netball","Tennis","Bocce","Pentaque","Petanque","Skate","Car Park","Pond","Bridle","Amphitheatre","Perimeter","Passive"},C386)))&gt;0,"no",IF(SUMPRODUCT(--ISNUMBER(SEARCH({"Cricket","Junior","Mini","Summer Football","Small"},C386)))&gt;0,"reduced",IF(SUMPRODUCT(--ISNUMBER(SEARCH({"Rugby","Football","League","Touch","Gaelic","Australian","Lacrosse","General Sport","Training Area","Ultimate"},C386)))&gt;0,"full","unknown"))))</f>
        <v/>
      </c>
      <c r="E386" s="9"/>
      <c r="F386" s="9"/>
      <c r="G386" s="9"/>
      <c r="H386" s="9"/>
      <c r="I386" s="12"/>
      <c r="J386" s="9"/>
      <c r="K386" s="9"/>
      <c r="L386" s="9"/>
      <c r="M386" s="9"/>
      <c r="N386" s="9"/>
      <c r="O386" s="13" t="str">
        <f aca="false">IF(C386="","",IF(N(M386)+N(N386)&lt;Settings!$C$9,"untested",M386/(M386+N386)))</f>
        <v/>
      </c>
      <c r="P386" s="9"/>
      <c r="Q386" s="9"/>
      <c r="R386" s="9"/>
      <c r="S386" s="12"/>
      <c r="T386" s="9"/>
      <c r="U386" s="9"/>
      <c r="V386" s="9"/>
      <c r="W386" s="10" t="str">
        <f aca="false">IF(C386="","",IF(OR(G386="training",G386="full"),"Yes",IF(G386="none","No","?")))</f>
        <v/>
      </c>
      <c r="X386" s="10" t="str">
        <f aca="false">IF(C386="","",IF(OR(E386="",E386="unknown"),D386,E386))</f>
        <v/>
      </c>
      <c r="Y386" s="10" t="str">
        <f aca="false">IF(C386="","",IF(OR(T386="unsuitable",T386="retired",X386="no"),"—",IF(J386="","unrated",IF(AND(X386="full",J386&gt;=Settings!$C$5,OR(O386="untested",O386&gt;=Settings!$C$6)),"A",IF(AND(OR(X386="full",X386="reduced"),J386&gt;=Settings!$C$7,OR(O386="untested",O386&gt;=Settings!$C$8)),"B","C")))))</f>
        <v/>
      </c>
      <c r="Z386" s="11" t="str">
        <f aca="false">IF(C386="","",IF(P386&lt;&gt;"",P386,Y386))</f>
        <v/>
      </c>
    </row>
    <row r="387" customFormat="false" ht="15" hidden="false" customHeight="false" outlineLevel="0" collapsed="false">
      <c r="A387" s="9"/>
      <c r="B387" s="10" t="str">
        <f aca="false">IF(A387="","",IFERROR(INDEX(Parks!$A$2:$A$255,MATCH(A387,Parks!$B$2:$B$255,0)),"?"))</f>
        <v/>
      </c>
      <c r="C387" s="9"/>
      <c r="D387" s="10" t="str">
        <f aca="false">IF(C387="","",IF(SUMPRODUCT(--ISNUMBER(SEARCH({"Nets","Wicket","Diamond","Softball","T-ball","Baseball","Netball","Tennis","Bocce","Pentaque","Petanque","Skate","Car Park","Pond","Bridle","Amphitheatre","Perimeter","Passive"},C387)))&gt;0,"no",IF(SUMPRODUCT(--ISNUMBER(SEARCH({"Cricket","Junior","Mini","Summer Football","Small"},C387)))&gt;0,"reduced",IF(SUMPRODUCT(--ISNUMBER(SEARCH({"Rugby","Football","League","Touch","Gaelic","Australian","Lacrosse","General Sport","Training Area","Ultimate"},C387)))&gt;0,"full","unknown"))))</f>
        <v/>
      </c>
      <c r="E387" s="9"/>
      <c r="F387" s="9"/>
      <c r="G387" s="9"/>
      <c r="H387" s="9"/>
      <c r="I387" s="12"/>
      <c r="J387" s="9"/>
      <c r="K387" s="9"/>
      <c r="L387" s="9"/>
      <c r="M387" s="9"/>
      <c r="N387" s="9"/>
      <c r="O387" s="13" t="str">
        <f aca="false">IF(C387="","",IF(N(M387)+N(N387)&lt;Settings!$C$9,"untested",M387/(M387+N387)))</f>
        <v/>
      </c>
      <c r="P387" s="9"/>
      <c r="Q387" s="9"/>
      <c r="R387" s="9"/>
      <c r="S387" s="12"/>
      <c r="T387" s="9"/>
      <c r="U387" s="9"/>
      <c r="V387" s="9"/>
      <c r="W387" s="10" t="str">
        <f aca="false">IF(C387="","",IF(OR(G387="training",G387="full"),"Yes",IF(G387="none","No","?")))</f>
        <v/>
      </c>
      <c r="X387" s="10" t="str">
        <f aca="false">IF(C387="","",IF(OR(E387="",E387="unknown"),D387,E387))</f>
        <v/>
      </c>
      <c r="Y387" s="10" t="str">
        <f aca="false">IF(C387="","",IF(OR(T387="unsuitable",T387="retired",X387="no"),"—",IF(J387="","unrated",IF(AND(X387="full",J387&gt;=Settings!$C$5,OR(O387="untested",O387&gt;=Settings!$C$6)),"A",IF(AND(OR(X387="full",X387="reduced"),J387&gt;=Settings!$C$7,OR(O387="untested",O387&gt;=Settings!$C$8)),"B","C")))))</f>
        <v/>
      </c>
      <c r="Z387" s="11" t="str">
        <f aca="false">IF(C387="","",IF(P387&lt;&gt;"",P387,Y387))</f>
        <v/>
      </c>
    </row>
    <row r="388" customFormat="false" ht="15" hidden="false" customHeight="false" outlineLevel="0" collapsed="false">
      <c r="A388" s="9"/>
      <c r="B388" s="10" t="str">
        <f aca="false">IF(A388="","",IFERROR(INDEX(Parks!$A$2:$A$255,MATCH(A388,Parks!$B$2:$B$255,0)),"?"))</f>
        <v/>
      </c>
      <c r="C388" s="9"/>
      <c r="D388" s="10" t="str">
        <f aca="false">IF(C388="","",IF(SUMPRODUCT(--ISNUMBER(SEARCH({"Nets","Wicket","Diamond","Softball","T-ball","Baseball","Netball","Tennis","Bocce","Pentaque","Petanque","Skate","Car Park","Pond","Bridle","Amphitheatre","Perimeter","Passive"},C388)))&gt;0,"no",IF(SUMPRODUCT(--ISNUMBER(SEARCH({"Cricket","Junior","Mini","Summer Football","Small"},C388)))&gt;0,"reduced",IF(SUMPRODUCT(--ISNUMBER(SEARCH({"Rugby","Football","League","Touch","Gaelic","Australian","Lacrosse","General Sport","Training Area","Ultimate"},C388)))&gt;0,"full","unknown"))))</f>
        <v/>
      </c>
      <c r="E388" s="9"/>
      <c r="F388" s="9"/>
      <c r="G388" s="9"/>
      <c r="H388" s="9"/>
      <c r="I388" s="12"/>
      <c r="J388" s="9"/>
      <c r="K388" s="9"/>
      <c r="L388" s="9"/>
      <c r="M388" s="9"/>
      <c r="N388" s="9"/>
      <c r="O388" s="13" t="str">
        <f aca="false">IF(C388="","",IF(N(M388)+N(N388)&lt;Settings!$C$9,"untested",M388/(M388+N388)))</f>
        <v/>
      </c>
      <c r="P388" s="9"/>
      <c r="Q388" s="9"/>
      <c r="R388" s="9"/>
      <c r="S388" s="12"/>
      <c r="T388" s="9"/>
      <c r="U388" s="9"/>
      <c r="V388" s="9"/>
      <c r="W388" s="10" t="str">
        <f aca="false">IF(C388="","",IF(OR(G388="training",G388="full"),"Yes",IF(G388="none","No","?")))</f>
        <v/>
      </c>
      <c r="X388" s="10" t="str">
        <f aca="false">IF(C388="","",IF(OR(E388="",E388="unknown"),D388,E388))</f>
        <v/>
      </c>
      <c r="Y388" s="10" t="str">
        <f aca="false">IF(C388="","",IF(OR(T388="unsuitable",T388="retired",X388="no"),"—",IF(J388="","unrated",IF(AND(X388="full",J388&gt;=Settings!$C$5,OR(O388="untested",O388&gt;=Settings!$C$6)),"A",IF(AND(OR(X388="full",X388="reduced"),J388&gt;=Settings!$C$7,OR(O388="untested",O388&gt;=Settings!$C$8)),"B","C")))))</f>
        <v/>
      </c>
      <c r="Z388" s="11" t="str">
        <f aca="false">IF(C388="","",IF(P388&lt;&gt;"",P388,Y388))</f>
        <v/>
      </c>
    </row>
    <row r="389" customFormat="false" ht="15" hidden="false" customHeight="false" outlineLevel="0" collapsed="false">
      <c r="A389" s="9"/>
      <c r="B389" s="10" t="str">
        <f aca="false">IF(A389="","",IFERROR(INDEX(Parks!$A$2:$A$255,MATCH(A389,Parks!$B$2:$B$255,0)),"?"))</f>
        <v/>
      </c>
      <c r="C389" s="9"/>
      <c r="D389" s="10" t="str">
        <f aca="false">IF(C389="","",IF(SUMPRODUCT(--ISNUMBER(SEARCH({"Nets","Wicket","Diamond","Softball","T-ball","Baseball","Netball","Tennis","Bocce","Pentaque","Petanque","Skate","Car Park","Pond","Bridle","Amphitheatre","Perimeter","Passive"},C389)))&gt;0,"no",IF(SUMPRODUCT(--ISNUMBER(SEARCH({"Cricket","Junior","Mini","Summer Football","Small"},C389)))&gt;0,"reduced",IF(SUMPRODUCT(--ISNUMBER(SEARCH({"Rugby","Football","League","Touch","Gaelic","Australian","Lacrosse","General Sport","Training Area","Ultimate"},C389)))&gt;0,"full","unknown"))))</f>
        <v/>
      </c>
      <c r="E389" s="9"/>
      <c r="F389" s="9"/>
      <c r="G389" s="9"/>
      <c r="H389" s="9"/>
      <c r="I389" s="12"/>
      <c r="J389" s="9"/>
      <c r="K389" s="9"/>
      <c r="L389" s="9"/>
      <c r="M389" s="9"/>
      <c r="N389" s="9"/>
      <c r="O389" s="13" t="str">
        <f aca="false">IF(C389="","",IF(N(M389)+N(N389)&lt;Settings!$C$9,"untested",M389/(M389+N389)))</f>
        <v/>
      </c>
      <c r="P389" s="9"/>
      <c r="Q389" s="9"/>
      <c r="R389" s="9"/>
      <c r="S389" s="12"/>
      <c r="T389" s="9"/>
      <c r="U389" s="9"/>
      <c r="V389" s="9"/>
      <c r="W389" s="10" t="str">
        <f aca="false">IF(C389="","",IF(OR(G389="training",G389="full"),"Yes",IF(G389="none","No","?")))</f>
        <v/>
      </c>
      <c r="X389" s="10" t="str">
        <f aca="false">IF(C389="","",IF(OR(E389="",E389="unknown"),D389,E389))</f>
        <v/>
      </c>
      <c r="Y389" s="10" t="str">
        <f aca="false">IF(C389="","",IF(OR(T389="unsuitable",T389="retired",X389="no"),"—",IF(J389="","unrated",IF(AND(X389="full",J389&gt;=Settings!$C$5,OR(O389="untested",O389&gt;=Settings!$C$6)),"A",IF(AND(OR(X389="full",X389="reduced"),J389&gt;=Settings!$C$7,OR(O389="untested",O389&gt;=Settings!$C$8)),"B","C")))))</f>
        <v/>
      </c>
      <c r="Z389" s="11" t="str">
        <f aca="false">IF(C389="","",IF(P389&lt;&gt;"",P389,Y389))</f>
        <v/>
      </c>
    </row>
    <row r="390" customFormat="false" ht="15" hidden="false" customHeight="false" outlineLevel="0" collapsed="false">
      <c r="A390" s="9"/>
      <c r="B390" s="10" t="str">
        <f aca="false">IF(A390="","",IFERROR(INDEX(Parks!$A$2:$A$255,MATCH(A390,Parks!$B$2:$B$255,0)),"?"))</f>
        <v/>
      </c>
      <c r="C390" s="9"/>
      <c r="D390" s="10" t="str">
        <f aca="false">IF(C390="","",IF(SUMPRODUCT(--ISNUMBER(SEARCH({"Nets","Wicket","Diamond","Softball","T-ball","Baseball","Netball","Tennis","Bocce","Pentaque","Petanque","Skate","Car Park","Pond","Bridle","Amphitheatre","Perimeter","Passive"},C390)))&gt;0,"no",IF(SUMPRODUCT(--ISNUMBER(SEARCH({"Cricket","Junior","Mini","Summer Football","Small"},C390)))&gt;0,"reduced",IF(SUMPRODUCT(--ISNUMBER(SEARCH({"Rugby","Football","League","Touch","Gaelic","Australian","Lacrosse","General Sport","Training Area","Ultimate"},C390)))&gt;0,"full","unknown"))))</f>
        <v/>
      </c>
      <c r="E390" s="9"/>
      <c r="F390" s="9"/>
      <c r="G390" s="9"/>
      <c r="H390" s="9"/>
      <c r="I390" s="12"/>
      <c r="J390" s="9"/>
      <c r="K390" s="9"/>
      <c r="L390" s="9"/>
      <c r="M390" s="9"/>
      <c r="N390" s="9"/>
      <c r="O390" s="13" t="str">
        <f aca="false">IF(C390="","",IF(N(M390)+N(N390)&lt;Settings!$C$9,"untested",M390/(M390+N390)))</f>
        <v/>
      </c>
      <c r="P390" s="9"/>
      <c r="Q390" s="9"/>
      <c r="R390" s="9"/>
      <c r="S390" s="12"/>
      <c r="T390" s="9"/>
      <c r="U390" s="9"/>
      <c r="V390" s="9"/>
      <c r="W390" s="10" t="str">
        <f aca="false">IF(C390="","",IF(OR(G390="training",G390="full"),"Yes",IF(G390="none","No","?")))</f>
        <v/>
      </c>
      <c r="X390" s="10" t="str">
        <f aca="false">IF(C390="","",IF(OR(E390="",E390="unknown"),D390,E390))</f>
        <v/>
      </c>
      <c r="Y390" s="10" t="str">
        <f aca="false">IF(C390="","",IF(OR(T390="unsuitable",T390="retired",X390="no"),"—",IF(J390="","unrated",IF(AND(X390="full",J390&gt;=Settings!$C$5,OR(O390="untested",O390&gt;=Settings!$C$6)),"A",IF(AND(OR(X390="full",X390="reduced"),J390&gt;=Settings!$C$7,OR(O390="untested",O390&gt;=Settings!$C$8)),"B","C")))))</f>
        <v/>
      </c>
      <c r="Z390" s="11" t="str">
        <f aca="false">IF(C390="","",IF(P390&lt;&gt;"",P390,Y390))</f>
        <v/>
      </c>
    </row>
    <row r="391" customFormat="false" ht="15" hidden="false" customHeight="false" outlineLevel="0" collapsed="false">
      <c r="A391" s="9"/>
      <c r="B391" s="10" t="str">
        <f aca="false">IF(A391="","",IFERROR(INDEX(Parks!$A$2:$A$255,MATCH(A391,Parks!$B$2:$B$255,0)),"?"))</f>
        <v/>
      </c>
      <c r="C391" s="9"/>
      <c r="D391" s="10" t="str">
        <f aca="false">IF(C391="","",IF(SUMPRODUCT(--ISNUMBER(SEARCH({"Nets","Wicket","Diamond","Softball","T-ball","Baseball","Netball","Tennis","Bocce","Pentaque","Petanque","Skate","Car Park","Pond","Bridle","Amphitheatre","Perimeter","Passive"},C391)))&gt;0,"no",IF(SUMPRODUCT(--ISNUMBER(SEARCH({"Cricket","Junior","Mini","Summer Football","Small"},C391)))&gt;0,"reduced",IF(SUMPRODUCT(--ISNUMBER(SEARCH({"Rugby","Football","League","Touch","Gaelic","Australian","Lacrosse","General Sport","Training Area","Ultimate"},C391)))&gt;0,"full","unknown"))))</f>
        <v/>
      </c>
      <c r="E391" s="9"/>
      <c r="F391" s="9"/>
      <c r="G391" s="9"/>
      <c r="H391" s="9"/>
      <c r="I391" s="12"/>
      <c r="J391" s="9"/>
      <c r="K391" s="9"/>
      <c r="L391" s="9"/>
      <c r="M391" s="9"/>
      <c r="N391" s="9"/>
      <c r="O391" s="13" t="str">
        <f aca="false">IF(C391="","",IF(N(M391)+N(N391)&lt;Settings!$C$9,"untested",M391/(M391+N391)))</f>
        <v/>
      </c>
      <c r="P391" s="9"/>
      <c r="Q391" s="9"/>
      <c r="R391" s="9"/>
      <c r="S391" s="12"/>
      <c r="T391" s="9"/>
      <c r="U391" s="9"/>
      <c r="V391" s="9"/>
      <c r="W391" s="10" t="str">
        <f aca="false">IF(C391="","",IF(OR(G391="training",G391="full"),"Yes",IF(G391="none","No","?")))</f>
        <v/>
      </c>
      <c r="X391" s="10" t="str">
        <f aca="false">IF(C391="","",IF(OR(E391="",E391="unknown"),D391,E391))</f>
        <v/>
      </c>
      <c r="Y391" s="10" t="str">
        <f aca="false">IF(C391="","",IF(OR(T391="unsuitable",T391="retired",X391="no"),"—",IF(J391="","unrated",IF(AND(X391="full",J391&gt;=Settings!$C$5,OR(O391="untested",O391&gt;=Settings!$C$6)),"A",IF(AND(OR(X391="full",X391="reduced"),J391&gt;=Settings!$C$7,OR(O391="untested",O391&gt;=Settings!$C$8)),"B","C")))))</f>
        <v/>
      </c>
      <c r="Z391" s="11" t="str">
        <f aca="false">IF(C391="","",IF(P391&lt;&gt;"",P391,Y391))</f>
        <v/>
      </c>
    </row>
    <row r="392" customFormat="false" ht="15" hidden="false" customHeight="false" outlineLevel="0" collapsed="false">
      <c r="A392" s="9"/>
      <c r="B392" s="10" t="str">
        <f aca="false">IF(A392="","",IFERROR(INDEX(Parks!$A$2:$A$255,MATCH(A392,Parks!$B$2:$B$255,0)),"?"))</f>
        <v/>
      </c>
      <c r="C392" s="9"/>
      <c r="D392" s="10" t="str">
        <f aca="false">IF(C392="","",IF(SUMPRODUCT(--ISNUMBER(SEARCH({"Nets","Wicket","Diamond","Softball","T-ball","Baseball","Netball","Tennis","Bocce","Pentaque","Petanque","Skate","Car Park","Pond","Bridle","Amphitheatre","Perimeter","Passive"},C392)))&gt;0,"no",IF(SUMPRODUCT(--ISNUMBER(SEARCH({"Cricket","Junior","Mini","Summer Football","Small"},C392)))&gt;0,"reduced",IF(SUMPRODUCT(--ISNUMBER(SEARCH({"Rugby","Football","League","Touch","Gaelic","Australian","Lacrosse","General Sport","Training Area","Ultimate"},C392)))&gt;0,"full","unknown"))))</f>
        <v/>
      </c>
      <c r="E392" s="9"/>
      <c r="F392" s="9"/>
      <c r="G392" s="9"/>
      <c r="H392" s="9"/>
      <c r="I392" s="12"/>
      <c r="J392" s="9"/>
      <c r="K392" s="9"/>
      <c r="L392" s="9"/>
      <c r="M392" s="9"/>
      <c r="N392" s="9"/>
      <c r="O392" s="13" t="str">
        <f aca="false">IF(C392="","",IF(N(M392)+N(N392)&lt;Settings!$C$9,"untested",M392/(M392+N392)))</f>
        <v/>
      </c>
      <c r="P392" s="9"/>
      <c r="Q392" s="9"/>
      <c r="R392" s="9"/>
      <c r="S392" s="12"/>
      <c r="T392" s="9"/>
      <c r="U392" s="9"/>
      <c r="V392" s="9"/>
      <c r="W392" s="10" t="str">
        <f aca="false">IF(C392="","",IF(OR(G392="training",G392="full"),"Yes",IF(G392="none","No","?")))</f>
        <v/>
      </c>
      <c r="X392" s="10" t="str">
        <f aca="false">IF(C392="","",IF(OR(E392="",E392="unknown"),D392,E392))</f>
        <v/>
      </c>
      <c r="Y392" s="10" t="str">
        <f aca="false">IF(C392="","",IF(OR(T392="unsuitable",T392="retired",X392="no"),"—",IF(J392="","unrated",IF(AND(X392="full",J392&gt;=Settings!$C$5,OR(O392="untested",O392&gt;=Settings!$C$6)),"A",IF(AND(OR(X392="full",X392="reduced"),J392&gt;=Settings!$C$7,OR(O392="untested",O392&gt;=Settings!$C$8)),"B","C")))))</f>
        <v/>
      </c>
      <c r="Z392" s="11" t="str">
        <f aca="false">IF(C392="","",IF(P392&lt;&gt;"",P392,Y392))</f>
        <v/>
      </c>
    </row>
    <row r="393" customFormat="false" ht="15" hidden="false" customHeight="false" outlineLevel="0" collapsed="false">
      <c r="A393" s="9"/>
      <c r="B393" s="10" t="str">
        <f aca="false">IF(A393="","",IFERROR(INDEX(Parks!$A$2:$A$255,MATCH(A393,Parks!$B$2:$B$255,0)),"?"))</f>
        <v/>
      </c>
      <c r="C393" s="9"/>
      <c r="D393" s="10" t="str">
        <f aca="false">IF(C393="","",IF(SUMPRODUCT(--ISNUMBER(SEARCH({"Nets","Wicket","Diamond","Softball","T-ball","Baseball","Netball","Tennis","Bocce","Pentaque","Petanque","Skate","Car Park","Pond","Bridle","Amphitheatre","Perimeter","Passive"},C393)))&gt;0,"no",IF(SUMPRODUCT(--ISNUMBER(SEARCH({"Cricket","Junior","Mini","Summer Football","Small"},C393)))&gt;0,"reduced",IF(SUMPRODUCT(--ISNUMBER(SEARCH({"Rugby","Football","League","Touch","Gaelic","Australian","Lacrosse","General Sport","Training Area","Ultimate"},C393)))&gt;0,"full","unknown"))))</f>
        <v/>
      </c>
      <c r="E393" s="9"/>
      <c r="F393" s="9"/>
      <c r="G393" s="9"/>
      <c r="H393" s="9"/>
      <c r="I393" s="12"/>
      <c r="J393" s="9"/>
      <c r="K393" s="9"/>
      <c r="L393" s="9"/>
      <c r="M393" s="9"/>
      <c r="N393" s="9"/>
      <c r="O393" s="13" t="str">
        <f aca="false">IF(C393="","",IF(N(M393)+N(N393)&lt;Settings!$C$9,"untested",M393/(M393+N393)))</f>
        <v/>
      </c>
      <c r="P393" s="9"/>
      <c r="Q393" s="9"/>
      <c r="R393" s="9"/>
      <c r="S393" s="12"/>
      <c r="T393" s="9"/>
      <c r="U393" s="9"/>
      <c r="V393" s="9"/>
      <c r="W393" s="10" t="str">
        <f aca="false">IF(C393="","",IF(OR(G393="training",G393="full"),"Yes",IF(G393="none","No","?")))</f>
        <v/>
      </c>
      <c r="X393" s="10" t="str">
        <f aca="false">IF(C393="","",IF(OR(E393="",E393="unknown"),D393,E393))</f>
        <v/>
      </c>
      <c r="Y393" s="10" t="str">
        <f aca="false">IF(C393="","",IF(OR(T393="unsuitable",T393="retired",X393="no"),"—",IF(J393="","unrated",IF(AND(X393="full",J393&gt;=Settings!$C$5,OR(O393="untested",O393&gt;=Settings!$C$6)),"A",IF(AND(OR(X393="full",X393="reduced"),J393&gt;=Settings!$C$7,OR(O393="untested",O393&gt;=Settings!$C$8)),"B","C")))))</f>
        <v/>
      </c>
      <c r="Z393" s="11" t="str">
        <f aca="false">IF(C393="","",IF(P393&lt;&gt;"",P393,Y393))</f>
        <v/>
      </c>
    </row>
    <row r="394" customFormat="false" ht="15" hidden="false" customHeight="false" outlineLevel="0" collapsed="false">
      <c r="A394" s="9"/>
      <c r="B394" s="10" t="str">
        <f aca="false">IF(A394="","",IFERROR(INDEX(Parks!$A$2:$A$255,MATCH(A394,Parks!$B$2:$B$255,0)),"?"))</f>
        <v/>
      </c>
      <c r="C394" s="9"/>
      <c r="D394" s="10" t="str">
        <f aca="false">IF(C394="","",IF(SUMPRODUCT(--ISNUMBER(SEARCH({"Nets","Wicket","Diamond","Softball","T-ball","Baseball","Netball","Tennis","Bocce","Pentaque","Petanque","Skate","Car Park","Pond","Bridle","Amphitheatre","Perimeter","Passive"},C394)))&gt;0,"no",IF(SUMPRODUCT(--ISNUMBER(SEARCH({"Cricket","Junior","Mini","Summer Football","Small"},C394)))&gt;0,"reduced",IF(SUMPRODUCT(--ISNUMBER(SEARCH({"Rugby","Football","League","Touch","Gaelic","Australian","Lacrosse","General Sport","Training Area","Ultimate"},C394)))&gt;0,"full","unknown"))))</f>
        <v/>
      </c>
      <c r="E394" s="9"/>
      <c r="F394" s="9"/>
      <c r="G394" s="9"/>
      <c r="H394" s="9"/>
      <c r="I394" s="12"/>
      <c r="J394" s="9"/>
      <c r="K394" s="9"/>
      <c r="L394" s="9"/>
      <c r="M394" s="9"/>
      <c r="N394" s="9"/>
      <c r="O394" s="13" t="str">
        <f aca="false">IF(C394="","",IF(N(M394)+N(N394)&lt;Settings!$C$9,"untested",M394/(M394+N394)))</f>
        <v/>
      </c>
      <c r="P394" s="9"/>
      <c r="Q394" s="9"/>
      <c r="R394" s="9"/>
      <c r="S394" s="12"/>
      <c r="T394" s="9"/>
      <c r="U394" s="9"/>
      <c r="V394" s="9"/>
      <c r="W394" s="10" t="str">
        <f aca="false">IF(C394="","",IF(OR(G394="training",G394="full"),"Yes",IF(G394="none","No","?")))</f>
        <v/>
      </c>
      <c r="X394" s="10" t="str">
        <f aca="false">IF(C394="","",IF(OR(E394="",E394="unknown"),D394,E394))</f>
        <v/>
      </c>
      <c r="Y394" s="10" t="str">
        <f aca="false">IF(C394="","",IF(OR(T394="unsuitable",T394="retired",X394="no"),"—",IF(J394="","unrated",IF(AND(X394="full",J394&gt;=Settings!$C$5,OR(O394="untested",O394&gt;=Settings!$C$6)),"A",IF(AND(OR(X394="full",X394="reduced"),J394&gt;=Settings!$C$7,OR(O394="untested",O394&gt;=Settings!$C$8)),"B","C")))))</f>
        <v/>
      </c>
      <c r="Z394" s="11" t="str">
        <f aca="false">IF(C394="","",IF(P394&lt;&gt;"",P394,Y394))</f>
        <v/>
      </c>
    </row>
    <row r="395" customFormat="false" ht="15" hidden="false" customHeight="false" outlineLevel="0" collapsed="false">
      <c r="A395" s="9"/>
      <c r="B395" s="10" t="str">
        <f aca="false">IF(A395="","",IFERROR(INDEX(Parks!$A$2:$A$255,MATCH(A395,Parks!$B$2:$B$255,0)),"?"))</f>
        <v/>
      </c>
      <c r="C395" s="9"/>
      <c r="D395" s="10" t="str">
        <f aca="false">IF(C395="","",IF(SUMPRODUCT(--ISNUMBER(SEARCH({"Nets","Wicket","Diamond","Softball","T-ball","Baseball","Netball","Tennis","Bocce","Pentaque","Petanque","Skate","Car Park","Pond","Bridle","Amphitheatre","Perimeter","Passive"},C395)))&gt;0,"no",IF(SUMPRODUCT(--ISNUMBER(SEARCH({"Cricket","Junior","Mini","Summer Football","Small"},C395)))&gt;0,"reduced",IF(SUMPRODUCT(--ISNUMBER(SEARCH({"Rugby","Football","League","Touch","Gaelic","Australian","Lacrosse","General Sport","Training Area","Ultimate"},C395)))&gt;0,"full","unknown"))))</f>
        <v/>
      </c>
      <c r="E395" s="9"/>
      <c r="F395" s="9"/>
      <c r="G395" s="9"/>
      <c r="H395" s="9"/>
      <c r="I395" s="12"/>
      <c r="J395" s="9"/>
      <c r="K395" s="9"/>
      <c r="L395" s="9"/>
      <c r="M395" s="9"/>
      <c r="N395" s="9"/>
      <c r="O395" s="13" t="str">
        <f aca="false">IF(C395="","",IF(N(M395)+N(N395)&lt;Settings!$C$9,"untested",M395/(M395+N395)))</f>
        <v/>
      </c>
      <c r="P395" s="9"/>
      <c r="Q395" s="9"/>
      <c r="R395" s="9"/>
      <c r="S395" s="12"/>
      <c r="T395" s="9"/>
      <c r="U395" s="9"/>
      <c r="V395" s="9"/>
      <c r="W395" s="10" t="str">
        <f aca="false">IF(C395="","",IF(OR(G395="training",G395="full"),"Yes",IF(G395="none","No","?")))</f>
        <v/>
      </c>
      <c r="X395" s="10" t="str">
        <f aca="false">IF(C395="","",IF(OR(E395="",E395="unknown"),D395,E395))</f>
        <v/>
      </c>
      <c r="Y395" s="10" t="str">
        <f aca="false">IF(C395="","",IF(OR(T395="unsuitable",T395="retired",X395="no"),"—",IF(J395="","unrated",IF(AND(X395="full",J395&gt;=Settings!$C$5,OR(O395="untested",O395&gt;=Settings!$C$6)),"A",IF(AND(OR(X395="full",X395="reduced"),J395&gt;=Settings!$C$7,OR(O395="untested",O395&gt;=Settings!$C$8)),"B","C")))))</f>
        <v/>
      </c>
      <c r="Z395" s="11" t="str">
        <f aca="false">IF(C395="","",IF(P395&lt;&gt;"",P395,Y395))</f>
        <v/>
      </c>
    </row>
    <row r="396" customFormat="false" ht="15" hidden="false" customHeight="false" outlineLevel="0" collapsed="false">
      <c r="A396" s="9"/>
      <c r="B396" s="10" t="str">
        <f aca="false">IF(A396="","",IFERROR(INDEX(Parks!$A$2:$A$255,MATCH(A396,Parks!$B$2:$B$255,0)),"?"))</f>
        <v/>
      </c>
      <c r="C396" s="9"/>
      <c r="D396" s="10" t="str">
        <f aca="false">IF(C396="","",IF(SUMPRODUCT(--ISNUMBER(SEARCH({"Nets","Wicket","Diamond","Softball","T-ball","Baseball","Netball","Tennis","Bocce","Pentaque","Petanque","Skate","Car Park","Pond","Bridle","Amphitheatre","Perimeter","Passive"},C396)))&gt;0,"no",IF(SUMPRODUCT(--ISNUMBER(SEARCH({"Cricket","Junior","Mini","Summer Football","Small"},C396)))&gt;0,"reduced",IF(SUMPRODUCT(--ISNUMBER(SEARCH({"Rugby","Football","League","Touch","Gaelic","Australian","Lacrosse","General Sport","Training Area","Ultimate"},C396)))&gt;0,"full","unknown"))))</f>
        <v/>
      </c>
      <c r="E396" s="9"/>
      <c r="F396" s="9"/>
      <c r="G396" s="9"/>
      <c r="H396" s="9"/>
      <c r="I396" s="12"/>
      <c r="J396" s="9"/>
      <c r="K396" s="9"/>
      <c r="L396" s="9"/>
      <c r="M396" s="9"/>
      <c r="N396" s="9"/>
      <c r="O396" s="13" t="str">
        <f aca="false">IF(C396="","",IF(N(M396)+N(N396)&lt;Settings!$C$9,"untested",M396/(M396+N396)))</f>
        <v/>
      </c>
      <c r="P396" s="9"/>
      <c r="Q396" s="9"/>
      <c r="R396" s="9"/>
      <c r="S396" s="12"/>
      <c r="T396" s="9"/>
      <c r="U396" s="9"/>
      <c r="V396" s="9"/>
      <c r="W396" s="10" t="str">
        <f aca="false">IF(C396="","",IF(OR(G396="training",G396="full"),"Yes",IF(G396="none","No","?")))</f>
        <v/>
      </c>
      <c r="X396" s="10" t="str">
        <f aca="false">IF(C396="","",IF(OR(E396="",E396="unknown"),D396,E396))</f>
        <v/>
      </c>
      <c r="Y396" s="10" t="str">
        <f aca="false">IF(C396="","",IF(OR(T396="unsuitable",T396="retired",X396="no"),"—",IF(J396="","unrated",IF(AND(X396="full",J396&gt;=Settings!$C$5,OR(O396="untested",O396&gt;=Settings!$C$6)),"A",IF(AND(OR(X396="full",X396="reduced"),J396&gt;=Settings!$C$7,OR(O396="untested",O396&gt;=Settings!$C$8)),"B","C")))))</f>
        <v/>
      </c>
      <c r="Z396" s="11" t="str">
        <f aca="false">IF(C396="","",IF(P396&lt;&gt;"",P396,Y396))</f>
        <v/>
      </c>
    </row>
    <row r="397" customFormat="false" ht="15" hidden="false" customHeight="false" outlineLevel="0" collapsed="false">
      <c r="A397" s="9"/>
      <c r="B397" s="10" t="str">
        <f aca="false">IF(A397="","",IFERROR(INDEX(Parks!$A$2:$A$255,MATCH(A397,Parks!$B$2:$B$255,0)),"?"))</f>
        <v/>
      </c>
      <c r="C397" s="9"/>
      <c r="D397" s="10" t="str">
        <f aca="false">IF(C397="","",IF(SUMPRODUCT(--ISNUMBER(SEARCH({"Nets","Wicket","Diamond","Softball","T-ball","Baseball","Netball","Tennis","Bocce","Pentaque","Petanque","Skate","Car Park","Pond","Bridle","Amphitheatre","Perimeter","Passive"},C397)))&gt;0,"no",IF(SUMPRODUCT(--ISNUMBER(SEARCH({"Cricket","Junior","Mini","Summer Football","Small"},C397)))&gt;0,"reduced",IF(SUMPRODUCT(--ISNUMBER(SEARCH({"Rugby","Football","League","Touch","Gaelic","Australian","Lacrosse","General Sport","Training Area","Ultimate"},C397)))&gt;0,"full","unknown"))))</f>
        <v/>
      </c>
      <c r="E397" s="9"/>
      <c r="F397" s="9"/>
      <c r="G397" s="9"/>
      <c r="H397" s="9"/>
      <c r="I397" s="12"/>
      <c r="J397" s="9"/>
      <c r="K397" s="9"/>
      <c r="L397" s="9"/>
      <c r="M397" s="9"/>
      <c r="N397" s="9"/>
      <c r="O397" s="13" t="str">
        <f aca="false">IF(C397="","",IF(N(M397)+N(N397)&lt;Settings!$C$9,"untested",M397/(M397+N397)))</f>
        <v/>
      </c>
      <c r="P397" s="9"/>
      <c r="Q397" s="9"/>
      <c r="R397" s="9"/>
      <c r="S397" s="12"/>
      <c r="T397" s="9"/>
      <c r="U397" s="9"/>
      <c r="V397" s="9"/>
      <c r="W397" s="10" t="str">
        <f aca="false">IF(C397="","",IF(OR(G397="training",G397="full"),"Yes",IF(G397="none","No","?")))</f>
        <v/>
      </c>
      <c r="X397" s="10" t="str">
        <f aca="false">IF(C397="","",IF(OR(E397="",E397="unknown"),D397,E397))</f>
        <v/>
      </c>
      <c r="Y397" s="10" t="str">
        <f aca="false">IF(C397="","",IF(OR(T397="unsuitable",T397="retired",X397="no"),"—",IF(J397="","unrated",IF(AND(X397="full",J397&gt;=Settings!$C$5,OR(O397="untested",O397&gt;=Settings!$C$6)),"A",IF(AND(OR(X397="full",X397="reduced"),J397&gt;=Settings!$C$7,OR(O397="untested",O397&gt;=Settings!$C$8)),"B","C")))))</f>
        <v/>
      </c>
      <c r="Z397" s="11" t="str">
        <f aca="false">IF(C397="","",IF(P397&lt;&gt;"",P397,Y397))</f>
        <v/>
      </c>
    </row>
    <row r="398" customFormat="false" ht="15" hidden="false" customHeight="false" outlineLevel="0" collapsed="false">
      <c r="A398" s="9"/>
      <c r="B398" s="10" t="str">
        <f aca="false">IF(A398="","",IFERROR(INDEX(Parks!$A$2:$A$255,MATCH(A398,Parks!$B$2:$B$255,0)),"?"))</f>
        <v/>
      </c>
      <c r="C398" s="9"/>
      <c r="D398" s="10" t="str">
        <f aca="false">IF(C398="","",IF(SUMPRODUCT(--ISNUMBER(SEARCH({"Nets","Wicket","Diamond","Softball","T-ball","Baseball","Netball","Tennis","Bocce","Pentaque","Petanque","Skate","Car Park","Pond","Bridle","Amphitheatre","Perimeter","Passive"},C398)))&gt;0,"no",IF(SUMPRODUCT(--ISNUMBER(SEARCH({"Cricket","Junior","Mini","Summer Football","Small"},C398)))&gt;0,"reduced",IF(SUMPRODUCT(--ISNUMBER(SEARCH({"Rugby","Football","League","Touch","Gaelic","Australian","Lacrosse","General Sport","Training Area","Ultimate"},C398)))&gt;0,"full","unknown"))))</f>
        <v/>
      </c>
      <c r="E398" s="9"/>
      <c r="F398" s="9"/>
      <c r="G398" s="9"/>
      <c r="H398" s="9"/>
      <c r="I398" s="12"/>
      <c r="J398" s="9"/>
      <c r="K398" s="9"/>
      <c r="L398" s="9"/>
      <c r="M398" s="9"/>
      <c r="N398" s="9"/>
      <c r="O398" s="13" t="str">
        <f aca="false">IF(C398="","",IF(N(M398)+N(N398)&lt;Settings!$C$9,"untested",M398/(M398+N398)))</f>
        <v/>
      </c>
      <c r="P398" s="9"/>
      <c r="Q398" s="9"/>
      <c r="R398" s="9"/>
      <c r="S398" s="12"/>
      <c r="T398" s="9"/>
      <c r="U398" s="9"/>
      <c r="V398" s="9"/>
      <c r="W398" s="10" t="str">
        <f aca="false">IF(C398="","",IF(OR(G398="training",G398="full"),"Yes",IF(G398="none","No","?")))</f>
        <v/>
      </c>
      <c r="X398" s="10" t="str">
        <f aca="false">IF(C398="","",IF(OR(E398="",E398="unknown"),D398,E398))</f>
        <v/>
      </c>
      <c r="Y398" s="10" t="str">
        <f aca="false">IF(C398="","",IF(OR(T398="unsuitable",T398="retired",X398="no"),"—",IF(J398="","unrated",IF(AND(X398="full",J398&gt;=Settings!$C$5,OR(O398="untested",O398&gt;=Settings!$C$6)),"A",IF(AND(OR(X398="full",X398="reduced"),J398&gt;=Settings!$C$7,OR(O398="untested",O398&gt;=Settings!$C$8)),"B","C")))))</f>
        <v/>
      </c>
      <c r="Z398" s="11" t="str">
        <f aca="false">IF(C398="","",IF(P398&lt;&gt;"",P398,Y398))</f>
        <v/>
      </c>
    </row>
    <row r="399" customFormat="false" ht="15" hidden="false" customHeight="false" outlineLevel="0" collapsed="false">
      <c r="A399" s="9"/>
      <c r="B399" s="10" t="str">
        <f aca="false">IF(A399="","",IFERROR(INDEX(Parks!$A$2:$A$255,MATCH(A399,Parks!$B$2:$B$255,0)),"?"))</f>
        <v/>
      </c>
      <c r="C399" s="9"/>
      <c r="D399" s="10" t="str">
        <f aca="false">IF(C399="","",IF(SUMPRODUCT(--ISNUMBER(SEARCH({"Nets","Wicket","Diamond","Softball","T-ball","Baseball","Netball","Tennis","Bocce","Pentaque","Petanque","Skate","Car Park","Pond","Bridle","Amphitheatre","Perimeter","Passive"},C399)))&gt;0,"no",IF(SUMPRODUCT(--ISNUMBER(SEARCH({"Cricket","Junior","Mini","Summer Football","Small"},C399)))&gt;0,"reduced",IF(SUMPRODUCT(--ISNUMBER(SEARCH({"Rugby","Football","League","Touch","Gaelic","Australian","Lacrosse","General Sport","Training Area","Ultimate"},C399)))&gt;0,"full","unknown"))))</f>
        <v/>
      </c>
      <c r="E399" s="9"/>
      <c r="F399" s="9"/>
      <c r="G399" s="9"/>
      <c r="H399" s="9"/>
      <c r="I399" s="12"/>
      <c r="J399" s="9"/>
      <c r="K399" s="9"/>
      <c r="L399" s="9"/>
      <c r="M399" s="9"/>
      <c r="N399" s="9"/>
      <c r="O399" s="13" t="str">
        <f aca="false">IF(C399="","",IF(N(M399)+N(N399)&lt;Settings!$C$9,"untested",M399/(M399+N399)))</f>
        <v/>
      </c>
      <c r="P399" s="9"/>
      <c r="Q399" s="9"/>
      <c r="R399" s="9"/>
      <c r="S399" s="12"/>
      <c r="T399" s="9"/>
      <c r="U399" s="9"/>
      <c r="V399" s="9"/>
      <c r="W399" s="10" t="str">
        <f aca="false">IF(C399="","",IF(OR(G399="training",G399="full"),"Yes",IF(G399="none","No","?")))</f>
        <v/>
      </c>
      <c r="X399" s="10" t="str">
        <f aca="false">IF(C399="","",IF(OR(E399="",E399="unknown"),D399,E399))</f>
        <v/>
      </c>
      <c r="Y399" s="10" t="str">
        <f aca="false">IF(C399="","",IF(OR(T399="unsuitable",T399="retired",X399="no"),"—",IF(J399="","unrated",IF(AND(X399="full",J399&gt;=Settings!$C$5,OR(O399="untested",O399&gt;=Settings!$C$6)),"A",IF(AND(OR(X399="full",X399="reduced"),J399&gt;=Settings!$C$7,OR(O399="untested",O399&gt;=Settings!$C$8)),"B","C")))))</f>
        <v/>
      </c>
      <c r="Z399" s="11" t="str">
        <f aca="false">IF(C399="","",IF(P399&lt;&gt;"",P399,Y399))</f>
        <v/>
      </c>
    </row>
    <row r="400" customFormat="false" ht="15" hidden="false" customHeight="false" outlineLevel="0" collapsed="false">
      <c r="A400" s="9"/>
      <c r="B400" s="10" t="str">
        <f aca="false">IF(A400="","",IFERROR(INDEX(Parks!$A$2:$A$255,MATCH(A400,Parks!$B$2:$B$255,0)),"?"))</f>
        <v/>
      </c>
      <c r="C400" s="9"/>
      <c r="D400" s="10" t="str">
        <f aca="false">IF(C400="","",IF(SUMPRODUCT(--ISNUMBER(SEARCH({"Nets","Wicket","Diamond","Softball","T-ball","Baseball","Netball","Tennis","Bocce","Pentaque","Petanque","Skate","Car Park","Pond","Bridle","Amphitheatre","Perimeter","Passive"},C400)))&gt;0,"no",IF(SUMPRODUCT(--ISNUMBER(SEARCH({"Cricket","Junior","Mini","Summer Football","Small"},C400)))&gt;0,"reduced",IF(SUMPRODUCT(--ISNUMBER(SEARCH({"Rugby","Football","League","Touch","Gaelic","Australian","Lacrosse","General Sport","Training Area","Ultimate"},C400)))&gt;0,"full","unknown"))))</f>
        <v/>
      </c>
      <c r="E400" s="9"/>
      <c r="F400" s="9"/>
      <c r="G400" s="9"/>
      <c r="H400" s="9"/>
      <c r="I400" s="12"/>
      <c r="J400" s="9"/>
      <c r="K400" s="9"/>
      <c r="L400" s="9"/>
      <c r="M400" s="9"/>
      <c r="N400" s="9"/>
      <c r="O400" s="13" t="str">
        <f aca="false">IF(C400="","",IF(N(M400)+N(N400)&lt;Settings!$C$9,"untested",M400/(M400+N400)))</f>
        <v/>
      </c>
      <c r="P400" s="9"/>
      <c r="Q400" s="9"/>
      <c r="R400" s="9"/>
      <c r="S400" s="12"/>
      <c r="T400" s="9"/>
      <c r="U400" s="9"/>
      <c r="V400" s="9"/>
      <c r="W400" s="10" t="str">
        <f aca="false">IF(C400="","",IF(OR(G400="training",G400="full"),"Yes",IF(G400="none","No","?")))</f>
        <v/>
      </c>
      <c r="X400" s="10" t="str">
        <f aca="false">IF(C400="","",IF(OR(E400="",E400="unknown"),D400,E400))</f>
        <v/>
      </c>
      <c r="Y400" s="10" t="str">
        <f aca="false">IF(C400="","",IF(OR(T400="unsuitable",T400="retired",X400="no"),"—",IF(J400="","unrated",IF(AND(X400="full",J400&gt;=Settings!$C$5,OR(O400="untested",O400&gt;=Settings!$C$6)),"A",IF(AND(OR(X400="full",X400="reduced"),J400&gt;=Settings!$C$7,OR(O400="untested",O400&gt;=Settings!$C$8)),"B","C")))))</f>
        <v/>
      </c>
      <c r="Z400" s="11" t="str">
        <f aca="false">IF(C400="","",IF(P400&lt;&gt;"",P400,Y400))</f>
        <v/>
      </c>
    </row>
    <row r="401" customFormat="false" ht="15" hidden="false" customHeight="false" outlineLevel="0" collapsed="false">
      <c r="A401" s="9"/>
      <c r="B401" s="10" t="str">
        <f aca="false">IF(A401="","",IFERROR(INDEX(Parks!$A$2:$A$255,MATCH(A401,Parks!$B$2:$B$255,0)),"?"))</f>
        <v/>
      </c>
      <c r="C401" s="9"/>
      <c r="D401" s="10" t="str">
        <f aca="false">IF(C401="","",IF(SUMPRODUCT(--ISNUMBER(SEARCH({"Nets","Wicket","Diamond","Softball","T-ball","Baseball","Netball","Tennis","Bocce","Pentaque","Petanque","Skate","Car Park","Pond","Bridle","Amphitheatre","Perimeter","Passive"},C401)))&gt;0,"no",IF(SUMPRODUCT(--ISNUMBER(SEARCH({"Cricket","Junior","Mini","Summer Football","Small"},C401)))&gt;0,"reduced",IF(SUMPRODUCT(--ISNUMBER(SEARCH({"Rugby","Football","League","Touch","Gaelic","Australian","Lacrosse","General Sport","Training Area","Ultimate"},C401)))&gt;0,"full","unknown"))))</f>
        <v/>
      </c>
      <c r="E401" s="9"/>
      <c r="F401" s="9"/>
      <c r="G401" s="9"/>
      <c r="H401" s="9"/>
      <c r="I401" s="12"/>
      <c r="J401" s="9"/>
      <c r="K401" s="9"/>
      <c r="L401" s="9"/>
      <c r="M401" s="9"/>
      <c r="N401" s="9"/>
      <c r="O401" s="13" t="str">
        <f aca="false">IF(C401="","",IF(N(M401)+N(N401)&lt;Settings!$C$9,"untested",M401/(M401+N401)))</f>
        <v/>
      </c>
      <c r="P401" s="9"/>
      <c r="Q401" s="9"/>
      <c r="R401" s="9"/>
      <c r="S401" s="12"/>
      <c r="T401" s="9"/>
      <c r="U401" s="9"/>
      <c r="V401" s="9"/>
      <c r="W401" s="10" t="str">
        <f aca="false">IF(C401="","",IF(OR(G401="training",G401="full"),"Yes",IF(G401="none","No","?")))</f>
        <v/>
      </c>
      <c r="X401" s="10" t="str">
        <f aca="false">IF(C401="","",IF(OR(E401="",E401="unknown"),D401,E401))</f>
        <v/>
      </c>
      <c r="Y401" s="10" t="str">
        <f aca="false">IF(C401="","",IF(OR(T401="unsuitable",T401="retired",X401="no"),"—",IF(J401="","unrated",IF(AND(X401="full",J401&gt;=Settings!$C$5,OR(O401="untested",O401&gt;=Settings!$C$6)),"A",IF(AND(OR(X401="full",X401="reduced"),J401&gt;=Settings!$C$7,OR(O401="untested",O401&gt;=Settings!$C$8)),"B","C")))))</f>
        <v/>
      </c>
      <c r="Z401" s="11" t="str">
        <f aca="false">IF(C401="","",IF(P401&lt;&gt;"",P401,Y401))</f>
        <v/>
      </c>
    </row>
    <row r="402" customFormat="false" ht="15" hidden="false" customHeight="false" outlineLevel="0" collapsed="false">
      <c r="A402" s="9"/>
      <c r="B402" s="10" t="str">
        <f aca="false">IF(A402="","",IFERROR(INDEX(Parks!$A$2:$A$255,MATCH(A402,Parks!$B$2:$B$255,0)),"?"))</f>
        <v/>
      </c>
      <c r="C402" s="9"/>
      <c r="D402" s="10" t="str">
        <f aca="false">IF(C402="","",IF(SUMPRODUCT(--ISNUMBER(SEARCH({"Nets","Wicket","Diamond","Softball","T-ball","Baseball","Netball","Tennis","Bocce","Pentaque","Petanque","Skate","Car Park","Pond","Bridle","Amphitheatre","Perimeter","Passive"},C402)))&gt;0,"no",IF(SUMPRODUCT(--ISNUMBER(SEARCH({"Cricket","Junior","Mini","Summer Football","Small"},C402)))&gt;0,"reduced",IF(SUMPRODUCT(--ISNUMBER(SEARCH({"Rugby","Football","League","Touch","Gaelic","Australian","Lacrosse","General Sport","Training Area","Ultimate"},C402)))&gt;0,"full","unknown"))))</f>
        <v/>
      </c>
      <c r="E402" s="9"/>
      <c r="F402" s="9"/>
      <c r="G402" s="9"/>
      <c r="H402" s="9"/>
      <c r="I402" s="12"/>
      <c r="J402" s="9"/>
      <c r="K402" s="9"/>
      <c r="L402" s="9"/>
      <c r="M402" s="9"/>
      <c r="N402" s="9"/>
      <c r="O402" s="13" t="str">
        <f aca="false">IF(C402="","",IF(N(M402)+N(N402)&lt;Settings!$C$9,"untested",M402/(M402+N402)))</f>
        <v/>
      </c>
      <c r="P402" s="9"/>
      <c r="Q402" s="9"/>
      <c r="R402" s="9"/>
      <c r="S402" s="12"/>
      <c r="T402" s="9"/>
      <c r="U402" s="9"/>
      <c r="V402" s="9"/>
      <c r="W402" s="10" t="str">
        <f aca="false">IF(C402="","",IF(OR(G402="training",G402="full"),"Yes",IF(G402="none","No","?")))</f>
        <v/>
      </c>
      <c r="X402" s="10" t="str">
        <f aca="false">IF(C402="","",IF(OR(E402="",E402="unknown"),D402,E402))</f>
        <v/>
      </c>
      <c r="Y402" s="10" t="str">
        <f aca="false">IF(C402="","",IF(OR(T402="unsuitable",T402="retired",X402="no"),"—",IF(J402="","unrated",IF(AND(X402="full",J402&gt;=Settings!$C$5,OR(O402="untested",O402&gt;=Settings!$C$6)),"A",IF(AND(OR(X402="full",X402="reduced"),J402&gt;=Settings!$C$7,OR(O402="untested",O402&gt;=Settings!$C$8)),"B","C")))))</f>
        <v/>
      </c>
      <c r="Z402" s="11" t="str">
        <f aca="false">IF(C402="","",IF(P402&lt;&gt;"",P402,Y402))</f>
        <v/>
      </c>
    </row>
    <row r="403" customFormat="false" ht="15" hidden="false" customHeight="false" outlineLevel="0" collapsed="false">
      <c r="A403" s="9"/>
      <c r="B403" s="10" t="str">
        <f aca="false">IF(A403="","",IFERROR(INDEX(Parks!$A$2:$A$255,MATCH(A403,Parks!$B$2:$B$255,0)),"?"))</f>
        <v/>
      </c>
      <c r="C403" s="9"/>
      <c r="D403" s="10" t="str">
        <f aca="false">IF(C403="","",IF(SUMPRODUCT(--ISNUMBER(SEARCH({"Nets","Wicket","Diamond","Softball","T-ball","Baseball","Netball","Tennis","Bocce","Pentaque","Petanque","Skate","Car Park","Pond","Bridle","Amphitheatre","Perimeter","Passive"},C403)))&gt;0,"no",IF(SUMPRODUCT(--ISNUMBER(SEARCH({"Cricket","Junior","Mini","Summer Football","Small"},C403)))&gt;0,"reduced",IF(SUMPRODUCT(--ISNUMBER(SEARCH({"Rugby","Football","League","Touch","Gaelic","Australian","Lacrosse","General Sport","Training Area","Ultimate"},C403)))&gt;0,"full","unknown"))))</f>
        <v/>
      </c>
      <c r="E403" s="9"/>
      <c r="F403" s="9"/>
      <c r="G403" s="9"/>
      <c r="H403" s="9"/>
      <c r="I403" s="12"/>
      <c r="J403" s="9"/>
      <c r="K403" s="9"/>
      <c r="L403" s="9"/>
      <c r="M403" s="9"/>
      <c r="N403" s="9"/>
      <c r="O403" s="13" t="str">
        <f aca="false">IF(C403="","",IF(N(M403)+N(N403)&lt;Settings!$C$9,"untested",M403/(M403+N403)))</f>
        <v/>
      </c>
      <c r="P403" s="9"/>
      <c r="Q403" s="9"/>
      <c r="R403" s="9"/>
      <c r="S403" s="12"/>
      <c r="T403" s="9"/>
      <c r="U403" s="9"/>
      <c r="V403" s="9"/>
      <c r="W403" s="10" t="str">
        <f aca="false">IF(C403="","",IF(OR(G403="training",G403="full"),"Yes",IF(G403="none","No","?")))</f>
        <v/>
      </c>
      <c r="X403" s="10" t="str">
        <f aca="false">IF(C403="","",IF(OR(E403="",E403="unknown"),D403,E403))</f>
        <v/>
      </c>
      <c r="Y403" s="10" t="str">
        <f aca="false">IF(C403="","",IF(OR(T403="unsuitable",T403="retired",X403="no"),"—",IF(J403="","unrated",IF(AND(X403="full",J403&gt;=Settings!$C$5,OR(O403="untested",O403&gt;=Settings!$C$6)),"A",IF(AND(OR(X403="full",X403="reduced"),J403&gt;=Settings!$C$7,OR(O403="untested",O403&gt;=Settings!$C$8)),"B","C")))))</f>
        <v/>
      </c>
      <c r="Z403" s="11" t="str">
        <f aca="false">IF(C403="","",IF(P403&lt;&gt;"",P403,Y403))</f>
        <v/>
      </c>
    </row>
    <row r="404" customFormat="false" ht="15" hidden="false" customHeight="false" outlineLevel="0" collapsed="false">
      <c r="A404" s="9"/>
      <c r="B404" s="10" t="str">
        <f aca="false">IF(A404="","",IFERROR(INDEX(Parks!$A$2:$A$255,MATCH(A404,Parks!$B$2:$B$255,0)),"?"))</f>
        <v/>
      </c>
      <c r="C404" s="9"/>
      <c r="D404" s="10" t="str">
        <f aca="false">IF(C404="","",IF(SUMPRODUCT(--ISNUMBER(SEARCH({"Nets","Wicket","Diamond","Softball","T-ball","Baseball","Netball","Tennis","Bocce","Pentaque","Petanque","Skate","Car Park","Pond","Bridle","Amphitheatre","Perimeter","Passive"},C404)))&gt;0,"no",IF(SUMPRODUCT(--ISNUMBER(SEARCH({"Cricket","Junior","Mini","Summer Football","Small"},C404)))&gt;0,"reduced",IF(SUMPRODUCT(--ISNUMBER(SEARCH({"Rugby","Football","League","Touch","Gaelic","Australian","Lacrosse","General Sport","Training Area","Ultimate"},C404)))&gt;0,"full","unknown"))))</f>
        <v/>
      </c>
      <c r="E404" s="9"/>
      <c r="F404" s="9"/>
      <c r="G404" s="9"/>
      <c r="H404" s="9"/>
      <c r="I404" s="12"/>
      <c r="J404" s="9"/>
      <c r="K404" s="9"/>
      <c r="L404" s="9"/>
      <c r="M404" s="9"/>
      <c r="N404" s="9"/>
      <c r="O404" s="13" t="str">
        <f aca="false">IF(C404="","",IF(N(M404)+N(N404)&lt;Settings!$C$9,"untested",M404/(M404+N404)))</f>
        <v/>
      </c>
      <c r="P404" s="9"/>
      <c r="Q404" s="9"/>
      <c r="R404" s="9"/>
      <c r="S404" s="12"/>
      <c r="T404" s="9"/>
      <c r="U404" s="9"/>
      <c r="V404" s="9"/>
      <c r="W404" s="10" t="str">
        <f aca="false">IF(C404="","",IF(OR(G404="training",G404="full"),"Yes",IF(G404="none","No","?")))</f>
        <v/>
      </c>
      <c r="X404" s="10" t="str">
        <f aca="false">IF(C404="","",IF(OR(E404="",E404="unknown"),D404,E404))</f>
        <v/>
      </c>
      <c r="Y404" s="10" t="str">
        <f aca="false">IF(C404="","",IF(OR(T404="unsuitable",T404="retired",X404="no"),"—",IF(J404="","unrated",IF(AND(X404="full",J404&gt;=Settings!$C$5,OR(O404="untested",O404&gt;=Settings!$C$6)),"A",IF(AND(OR(X404="full",X404="reduced"),J404&gt;=Settings!$C$7,OR(O404="untested",O404&gt;=Settings!$C$8)),"B","C")))))</f>
        <v/>
      </c>
      <c r="Z404" s="11" t="str">
        <f aca="false">IF(C404="","",IF(P404&lt;&gt;"",P404,Y404))</f>
        <v/>
      </c>
    </row>
    <row r="405" customFormat="false" ht="15" hidden="false" customHeight="false" outlineLevel="0" collapsed="false">
      <c r="A405" s="9"/>
      <c r="B405" s="10" t="str">
        <f aca="false">IF(A405="","",IFERROR(INDEX(Parks!$A$2:$A$255,MATCH(A405,Parks!$B$2:$B$255,0)),"?"))</f>
        <v/>
      </c>
      <c r="C405" s="9"/>
      <c r="D405" s="10" t="str">
        <f aca="false">IF(C405="","",IF(SUMPRODUCT(--ISNUMBER(SEARCH({"Nets","Wicket","Diamond","Softball","T-ball","Baseball","Netball","Tennis","Bocce","Pentaque","Petanque","Skate","Car Park","Pond","Bridle","Amphitheatre","Perimeter","Passive"},C405)))&gt;0,"no",IF(SUMPRODUCT(--ISNUMBER(SEARCH({"Cricket","Junior","Mini","Summer Football","Small"},C405)))&gt;0,"reduced",IF(SUMPRODUCT(--ISNUMBER(SEARCH({"Rugby","Football","League","Touch","Gaelic","Australian","Lacrosse","General Sport","Training Area","Ultimate"},C405)))&gt;0,"full","unknown"))))</f>
        <v/>
      </c>
      <c r="E405" s="9"/>
      <c r="F405" s="9"/>
      <c r="G405" s="9"/>
      <c r="H405" s="9"/>
      <c r="I405" s="12"/>
      <c r="J405" s="9"/>
      <c r="K405" s="9"/>
      <c r="L405" s="9"/>
      <c r="M405" s="9"/>
      <c r="N405" s="9"/>
      <c r="O405" s="13" t="str">
        <f aca="false">IF(C405="","",IF(N(M405)+N(N405)&lt;Settings!$C$9,"untested",M405/(M405+N405)))</f>
        <v/>
      </c>
      <c r="P405" s="9"/>
      <c r="Q405" s="9"/>
      <c r="R405" s="9"/>
      <c r="S405" s="12"/>
      <c r="T405" s="9"/>
      <c r="U405" s="9"/>
      <c r="V405" s="9"/>
      <c r="W405" s="10" t="str">
        <f aca="false">IF(C405="","",IF(OR(G405="training",G405="full"),"Yes",IF(G405="none","No","?")))</f>
        <v/>
      </c>
      <c r="X405" s="10" t="str">
        <f aca="false">IF(C405="","",IF(OR(E405="",E405="unknown"),D405,E405))</f>
        <v/>
      </c>
      <c r="Y405" s="10" t="str">
        <f aca="false">IF(C405="","",IF(OR(T405="unsuitable",T405="retired",X405="no"),"—",IF(J405="","unrated",IF(AND(X405="full",J405&gt;=Settings!$C$5,OR(O405="untested",O405&gt;=Settings!$C$6)),"A",IF(AND(OR(X405="full",X405="reduced"),J405&gt;=Settings!$C$7,OR(O405="untested",O405&gt;=Settings!$C$8)),"B","C")))))</f>
        <v/>
      </c>
      <c r="Z405" s="11" t="str">
        <f aca="false">IF(C405="","",IF(P405&lt;&gt;"",P405,Y405))</f>
        <v/>
      </c>
    </row>
    <row r="406" customFormat="false" ht="15" hidden="false" customHeight="false" outlineLevel="0" collapsed="false">
      <c r="A406" s="9"/>
      <c r="B406" s="10" t="str">
        <f aca="false">IF(A406="","",IFERROR(INDEX(Parks!$A$2:$A$255,MATCH(A406,Parks!$B$2:$B$255,0)),"?"))</f>
        <v/>
      </c>
      <c r="C406" s="9"/>
      <c r="D406" s="10" t="str">
        <f aca="false">IF(C406="","",IF(SUMPRODUCT(--ISNUMBER(SEARCH({"Nets","Wicket","Diamond","Softball","T-ball","Baseball","Netball","Tennis","Bocce","Pentaque","Petanque","Skate","Car Park","Pond","Bridle","Amphitheatre","Perimeter","Passive"},C406)))&gt;0,"no",IF(SUMPRODUCT(--ISNUMBER(SEARCH({"Cricket","Junior","Mini","Summer Football","Small"},C406)))&gt;0,"reduced",IF(SUMPRODUCT(--ISNUMBER(SEARCH({"Rugby","Football","League","Touch","Gaelic","Australian","Lacrosse","General Sport","Training Area","Ultimate"},C406)))&gt;0,"full","unknown"))))</f>
        <v/>
      </c>
      <c r="E406" s="9"/>
      <c r="F406" s="9"/>
      <c r="G406" s="9"/>
      <c r="H406" s="9"/>
      <c r="I406" s="12"/>
      <c r="J406" s="9"/>
      <c r="K406" s="9"/>
      <c r="L406" s="9"/>
      <c r="M406" s="9"/>
      <c r="N406" s="9"/>
      <c r="O406" s="13" t="str">
        <f aca="false">IF(C406="","",IF(N(M406)+N(N406)&lt;Settings!$C$9,"untested",M406/(M406+N406)))</f>
        <v/>
      </c>
      <c r="P406" s="9"/>
      <c r="Q406" s="9"/>
      <c r="R406" s="9"/>
      <c r="S406" s="12"/>
      <c r="T406" s="9"/>
      <c r="U406" s="9"/>
      <c r="V406" s="9"/>
      <c r="W406" s="10" t="str">
        <f aca="false">IF(C406="","",IF(OR(G406="training",G406="full"),"Yes",IF(G406="none","No","?")))</f>
        <v/>
      </c>
      <c r="X406" s="10" t="str">
        <f aca="false">IF(C406="","",IF(OR(E406="",E406="unknown"),D406,E406))</f>
        <v/>
      </c>
      <c r="Y406" s="10" t="str">
        <f aca="false">IF(C406="","",IF(OR(T406="unsuitable",T406="retired",X406="no"),"—",IF(J406="","unrated",IF(AND(X406="full",J406&gt;=Settings!$C$5,OR(O406="untested",O406&gt;=Settings!$C$6)),"A",IF(AND(OR(X406="full",X406="reduced"),J406&gt;=Settings!$C$7,OR(O406="untested",O406&gt;=Settings!$C$8)),"B","C")))))</f>
        <v/>
      </c>
      <c r="Z406" s="11" t="str">
        <f aca="false">IF(C406="","",IF(P406&lt;&gt;"",P406,Y406))</f>
        <v/>
      </c>
    </row>
    <row r="407" customFormat="false" ht="15" hidden="false" customHeight="false" outlineLevel="0" collapsed="false">
      <c r="A407" s="9"/>
      <c r="B407" s="10" t="str">
        <f aca="false">IF(A407="","",IFERROR(INDEX(Parks!$A$2:$A$255,MATCH(A407,Parks!$B$2:$B$255,0)),"?"))</f>
        <v/>
      </c>
      <c r="C407" s="9"/>
      <c r="D407" s="10" t="str">
        <f aca="false">IF(C407="","",IF(SUMPRODUCT(--ISNUMBER(SEARCH({"Nets","Wicket","Diamond","Softball","T-ball","Baseball","Netball","Tennis","Bocce","Pentaque","Petanque","Skate","Car Park","Pond","Bridle","Amphitheatre","Perimeter","Passive"},C407)))&gt;0,"no",IF(SUMPRODUCT(--ISNUMBER(SEARCH({"Cricket","Junior","Mini","Summer Football","Small"},C407)))&gt;0,"reduced",IF(SUMPRODUCT(--ISNUMBER(SEARCH({"Rugby","Football","League","Touch","Gaelic","Australian","Lacrosse","General Sport","Training Area","Ultimate"},C407)))&gt;0,"full","unknown"))))</f>
        <v/>
      </c>
      <c r="E407" s="9"/>
      <c r="F407" s="9"/>
      <c r="G407" s="9"/>
      <c r="H407" s="9"/>
      <c r="I407" s="12"/>
      <c r="J407" s="9"/>
      <c r="K407" s="9"/>
      <c r="L407" s="9"/>
      <c r="M407" s="9"/>
      <c r="N407" s="9"/>
      <c r="O407" s="13" t="str">
        <f aca="false">IF(C407="","",IF(N(M407)+N(N407)&lt;Settings!$C$9,"untested",M407/(M407+N407)))</f>
        <v/>
      </c>
      <c r="P407" s="9"/>
      <c r="Q407" s="9"/>
      <c r="R407" s="9"/>
      <c r="S407" s="12"/>
      <c r="T407" s="9"/>
      <c r="U407" s="9"/>
      <c r="V407" s="9"/>
      <c r="W407" s="10" t="str">
        <f aca="false">IF(C407="","",IF(OR(G407="training",G407="full"),"Yes",IF(G407="none","No","?")))</f>
        <v/>
      </c>
      <c r="X407" s="10" t="str">
        <f aca="false">IF(C407="","",IF(OR(E407="",E407="unknown"),D407,E407))</f>
        <v/>
      </c>
      <c r="Y407" s="10" t="str">
        <f aca="false">IF(C407="","",IF(OR(T407="unsuitable",T407="retired",X407="no"),"—",IF(J407="","unrated",IF(AND(X407="full",J407&gt;=Settings!$C$5,OR(O407="untested",O407&gt;=Settings!$C$6)),"A",IF(AND(OR(X407="full",X407="reduced"),J407&gt;=Settings!$C$7,OR(O407="untested",O407&gt;=Settings!$C$8)),"B","C")))))</f>
        <v/>
      </c>
      <c r="Z407" s="11" t="str">
        <f aca="false">IF(C407="","",IF(P407&lt;&gt;"",P407,Y407))</f>
        <v/>
      </c>
    </row>
    <row r="408" customFormat="false" ht="15" hidden="false" customHeight="false" outlineLevel="0" collapsed="false">
      <c r="A408" s="9"/>
      <c r="B408" s="10" t="str">
        <f aca="false">IF(A408="","",IFERROR(INDEX(Parks!$A$2:$A$255,MATCH(A408,Parks!$B$2:$B$255,0)),"?"))</f>
        <v/>
      </c>
      <c r="C408" s="9"/>
      <c r="D408" s="10" t="str">
        <f aca="false">IF(C408="","",IF(SUMPRODUCT(--ISNUMBER(SEARCH({"Nets","Wicket","Diamond","Softball","T-ball","Baseball","Netball","Tennis","Bocce","Pentaque","Petanque","Skate","Car Park","Pond","Bridle","Amphitheatre","Perimeter","Passive"},C408)))&gt;0,"no",IF(SUMPRODUCT(--ISNUMBER(SEARCH({"Cricket","Junior","Mini","Summer Football","Small"},C408)))&gt;0,"reduced",IF(SUMPRODUCT(--ISNUMBER(SEARCH({"Rugby","Football","League","Touch","Gaelic","Australian","Lacrosse","General Sport","Training Area","Ultimate"},C408)))&gt;0,"full","unknown"))))</f>
        <v/>
      </c>
      <c r="E408" s="9"/>
      <c r="F408" s="9"/>
      <c r="G408" s="9"/>
      <c r="H408" s="9"/>
      <c r="I408" s="12"/>
      <c r="J408" s="9"/>
      <c r="K408" s="9"/>
      <c r="L408" s="9"/>
      <c r="M408" s="9"/>
      <c r="N408" s="9"/>
      <c r="O408" s="13" t="str">
        <f aca="false">IF(C408="","",IF(N(M408)+N(N408)&lt;Settings!$C$9,"untested",M408/(M408+N408)))</f>
        <v/>
      </c>
      <c r="P408" s="9"/>
      <c r="Q408" s="9"/>
      <c r="R408" s="9"/>
      <c r="S408" s="12"/>
      <c r="T408" s="9"/>
      <c r="U408" s="9"/>
      <c r="V408" s="9"/>
      <c r="W408" s="10" t="str">
        <f aca="false">IF(C408="","",IF(OR(G408="training",G408="full"),"Yes",IF(G408="none","No","?")))</f>
        <v/>
      </c>
      <c r="X408" s="10" t="str">
        <f aca="false">IF(C408="","",IF(OR(E408="",E408="unknown"),D408,E408))</f>
        <v/>
      </c>
      <c r="Y408" s="10" t="str">
        <f aca="false">IF(C408="","",IF(OR(T408="unsuitable",T408="retired",X408="no"),"—",IF(J408="","unrated",IF(AND(X408="full",J408&gt;=Settings!$C$5,OR(O408="untested",O408&gt;=Settings!$C$6)),"A",IF(AND(OR(X408="full",X408="reduced"),J408&gt;=Settings!$C$7,OR(O408="untested",O408&gt;=Settings!$C$8)),"B","C")))))</f>
        <v/>
      </c>
      <c r="Z408" s="11" t="str">
        <f aca="false">IF(C408="","",IF(P408&lt;&gt;"",P408,Y408))</f>
        <v/>
      </c>
    </row>
    <row r="409" customFormat="false" ht="15" hidden="false" customHeight="false" outlineLevel="0" collapsed="false">
      <c r="A409" s="9"/>
      <c r="B409" s="10" t="str">
        <f aca="false">IF(A409="","",IFERROR(INDEX(Parks!$A$2:$A$255,MATCH(A409,Parks!$B$2:$B$255,0)),"?"))</f>
        <v/>
      </c>
      <c r="C409" s="9"/>
      <c r="D409" s="10" t="str">
        <f aca="false">IF(C409="","",IF(SUMPRODUCT(--ISNUMBER(SEARCH({"Nets","Wicket","Diamond","Softball","T-ball","Baseball","Netball","Tennis","Bocce","Pentaque","Petanque","Skate","Car Park","Pond","Bridle","Amphitheatre","Perimeter","Passive"},C409)))&gt;0,"no",IF(SUMPRODUCT(--ISNUMBER(SEARCH({"Cricket","Junior","Mini","Summer Football","Small"},C409)))&gt;0,"reduced",IF(SUMPRODUCT(--ISNUMBER(SEARCH({"Rugby","Football","League","Touch","Gaelic","Australian","Lacrosse","General Sport","Training Area","Ultimate"},C409)))&gt;0,"full","unknown"))))</f>
        <v/>
      </c>
      <c r="E409" s="9"/>
      <c r="F409" s="9"/>
      <c r="G409" s="9"/>
      <c r="H409" s="9"/>
      <c r="I409" s="12"/>
      <c r="J409" s="9"/>
      <c r="K409" s="9"/>
      <c r="L409" s="9"/>
      <c r="M409" s="9"/>
      <c r="N409" s="9"/>
      <c r="O409" s="13" t="str">
        <f aca="false">IF(C409="","",IF(N(M409)+N(N409)&lt;Settings!$C$9,"untested",M409/(M409+N409)))</f>
        <v/>
      </c>
      <c r="P409" s="9"/>
      <c r="Q409" s="9"/>
      <c r="R409" s="9"/>
      <c r="S409" s="12"/>
      <c r="T409" s="9"/>
      <c r="U409" s="9"/>
      <c r="V409" s="9"/>
      <c r="W409" s="10" t="str">
        <f aca="false">IF(C409="","",IF(OR(G409="training",G409="full"),"Yes",IF(G409="none","No","?")))</f>
        <v/>
      </c>
      <c r="X409" s="10" t="str">
        <f aca="false">IF(C409="","",IF(OR(E409="",E409="unknown"),D409,E409))</f>
        <v/>
      </c>
      <c r="Y409" s="10" t="str">
        <f aca="false">IF(C409="","",IF(OR(T409="unsuitable",T409="retired",X409="no"),"—",IF(J409="","unrated",IF(AND(X409="full",J409&gt;=Settings!$C$5,OR(O409="untested",O409&gt;=Settings!$C$6)),"A",IF(AND(OR(X409="full",X409="reduced"),J409&gt;=Settings!$C$7,OR(O409="untested",O409&gt;=Settings!$C$8)),"B","C")))))</f>
        <v/>
      </c>
      <c r="Z409" s="11" t="str">
        <f aca="false">IF(C409="","",IF(P409&lt;&gt;"",P409,Y409))</f>
        <v/>
      </c>
    </row>
    <row r="410" customFormat="false" ht="15" hidden="false" customHeight="false" outlineLevel="0" collapsed="false">
      <c r="A410" s="9"/>
      <c r="B410" s="10" t="str">
        <f aca="false">IF(A410="","",IFERROR(INDEX(Parks!$A$2:$A$255,MATCH(A410,Parks!$B$2:$B$255,0)),"?"))</f>
        <v/>
      </c>
      <c r="C410" s="9"/>
      <c r="D410" s="10" t="str">
        <f aca="false">IF(C410="","",IF(SUMPRODUCT(--ISNUMBER(SEARCH({"Nets","Wicket","Diamond","Softball","T-ball","Baseball","Netball","Tennis","Bocce","Pentaque","Petanque","Skate","Car Park","Pond","Bridle","Amphitheatre","Perimeter","Passive"},C410)))&gt;0,"no",IF(SUMPRODUCT(--ISNUMBER(SEARCH({"Cricket","Junior","Mini","Summer Football","Small"},C410)))&gt;0,"reduced",IF(SUMPRODUCT(--ISNUMBER(SEARCH({"Rugby","Football","League","Touch","Gaelic","Australian","Lacrosse","General Sport","Training Area","Ultimate"},C410)))&gt;0,"full","unknown"))))</f>
        <v/>
      </c>
      <c r="E410" s="9"/>
      <c r="F410" s="9"/>
      <c r="G410" s="9"/>
      <c r="H410" s="9"/>
      <c r="I410" s="12"/>
      <c r="J410" s="9"/>
      <c r="K410" s="9"/>
      <c r="L410" s="9"/>
      <c r="M410" s="9"/>
      <c r="N410" s="9"/>
      <c r="O410" s="13" t="str">
        <f aca="false">IF(C410="","",IF(N(M410)+N(N410)&lt;Settings!$C$9,"untested",M410/(M410+N410)))</f>
        <v/>
      </c>
      <c r="P410" s="9"/>
      <c r="Q410" s="9"/>
      <c r="R410" s="9"/>
      <c r="S410" s="12"/>
      <c r="T410" s="9"/>
      <c r="U410" s="9"/>
      <c r="V410" s="9"/>
      <c r="W410" s="10" t="str">
        <f aca="false">IF(C410="","",IF(OR(G410="training",G410="full"),"Yes",IF(G410="none","No","?")))</f>
        <v/>
      </c>
      <c r="X410" s="10" t="str">
        <f aca="false">IF(C410="","",IF(OR(E410="",E410="unknown"),D410,E410))</f>
        <v/>
      </c>
      <c r="Y410" s="10" t="str">
        <f aca="false">IF(C410="","",IF(OR(T410="unsuitable",T410="retired",X410="no"),"—",IF(J410="","unrated",IF(AND(X410="full",J410&gt;=Settings!$C$5,OR(O410="untested",O410&gt;=Settings!$C$6)),"A",IF(AND(OR(X410="full",X410="reduced"),J410&gt;=Settings!$C$7,OR(O410="untested",O410&gt;=Settings!$C$8)),"B","C")))))</f>
        <v/>
      </c>
      <c r="Z410" s="11" t="str">
        <f aca="false">IF(C410="","",IF(P410&lt;&gt;"",P410,Y410))</f>
        <v/>
      </c>
    </row>
    <row r="411" customFormat="false" ht="15" hidden="false" customHeight="false" outlineLevel="0" collapsed="false">
      <c r="A411" s="9"/>
      <c r="B411" s="10" t="str">
        <f aca="false">IF(A411="","",IFERROR(INDEX(Parks!$A$2:$A$255,MATCH(A411,Parks!$B$2:$B$255,0)),"?"))</f>
        <v/>
      </c>
      <c r="C411" s="9"/>
      <c r="D411" s="10" t="str">
        <f aca="false">IF(C411="","",IF(SUMPRODUCT(--ISNUMBER(SEARCH({"Nets","Wicket","Diamond","Softball","T-ball","Baseball","Netball","Tennis","Bocce","Pentaque","Petanque","Skate","Car Park","Pond","Bridle","Amphitheatre","Perimeter","Passive"},C411)))&gt;0,"no",IF(SUMPRODUCT(--ISNUMBER(SEARCH({"Cricket","Junior","Mini","Summer Football","Small"},C411)))&gt;0,"reduced",IF(SUMPRODUCT(--ISNUMBER(SEARCH({"Rugby","Football","League","Touch","Gaelic","Australian","Lacrosse","General Sport","Training Area","Ultimate"},C411)))&gt;0,"full","unknown"))))</f>
        <v/>
      </c>
      <c r="E411" s="9"/>
      <c r="F411" s="9"/>
      <c r="G411" s="9"/>
      <c r="H411" s="9"/>
      <c r="I411" s="12"/>
      <c r="J411" s="9"/>
      <c r="K411" s="9"/>
      <c r="L411" s="9"/>
      <c r="M411" s="9"/>
      <c r="N411" s="9"/>
      <c r="O411" s="13" t="str">
        <f aca="false">IF(C411="","",IF(N(M411)+N(N411)&lt;Settings!$C$9,"untested",M411/(M411+N411)))</f>
        <v/>
      </c>
      <c r="P411" s="9"/>
      <c r="Q411" s="9"/>
      <c r="R411" s="9"/>
      <c r="S411" s="12"/>
      <c r="T411" s="9"/>
      <c r="U411" s="9"/>
      <c r="V411" s="9"/>
      <c r="W411" s="10" t="str">
        <f aca="false">IF(C411="","",IF(OR(G411="training",G411="full"),"Yes",IF(G411="none","No","?")))</f>
        <v/>
      </c>
      <c r="X411" s="10" t="str">
        <f aca="false">IF(C411="","",IF(OR(E411="",E411="unknown"),D411,E411))</f>
        <v/>
      </c>
      <c r="Y411" s="10" t="str">
        <f aca="false">IF(C411="","",IF(OR(T411="unsuitable",T411="retired",X411="no"),"—",IF(J411="","unrated",IF(AND(X411="full",J411&gt;=Settings!$C$5,OR(O411="untested",O411&gt;=Settings!$C$6)),"A",IF(AND(OR(X411="full",X411="reduced"),J411&gt;=Settings!$C$7,OR(O411="untested",O411&gt;=Settings!$C$8)),"B","C")))))</f>
        <v/>
      </c>
      <c r="Z411" s="11" t="str">
        <f aca="false">IF(C411="","",IF(P411&lt;&gt;"",P411,Y411))</f>
        <v/>
      </c>
    </row>
    <row r="412" customFormat="false" ht="15" hidden="false" customHeight="false" outlineLevel="0" collapsed="false">
      <c r="A412" s="9"/>
      <c r="B412" s="10" t="str">
        <f aca="false">IF(A412="","",IFERROR(INDEX(Parks!$A$2:$A$255,MATCH(A412,Parks!$B$2:$B$255,0)),"?"))</f>
        <v/>
      </c>
      <c r="C412" s="9"/>
      <c r="D412" s="10" t="str">
        <f aca="false">IF(C412="","",IF(SUMPRODUCT(--ISNUMBER(SEARCH({"Nets","Wicket","Diamond","Softball","T-ball","Baseball","Netball","Tennis","Bocce","Pentaque","Petanque","Skate","Car Park","Pond","Bridle","Amphitheatre","Perimeter","Passive"},C412)))&gt;0,"no",IF(SUMPRODUCT(--ISNUMBER(SEARCH({"Cricket","Junior","Mini","Summer Football","Small"},C412)))&gt;0,"reduced",IF(SUMPRODUCT(--ISNUMBER(SEARCH({"Rugby","Football","League","Touch","Gaelic","Australian","Lacrosse","General Sport","Training Area","Ultimate"},C412)))&gt;0,"full","unknown"))))</f>
        <v/>
      </c>
      <c r="E412" s="9"/>
      <c r="F412" s="9"/>
      <c r="G412" s="9"/>
      <c r="H412" s="9"/>
      <c r="I412" s="12"/>
      <c r="J412" s="9"/>
      <c r="K412" s="9"/>
      <c r="L412" s="9"/>
      <c r="M412" s="9"/>
      <c r="N412" s="9"/>
      <c r="O412" s="13" t="str">
        <f aca="false">IF(C412="","",IF(N(M412)+N(N412)&lt;Settings!$C$9,"untested",M412/(M412+N412)))</f>
        <v/>
      </c>
      <c r="P412" s="9"/>
      <c r="Q412" s="9"/>
      <c r="R412" s="9"/>
      <c r="S412" s="12"/>
      <c r="T412" s="9"/>
      <c r="U412" s="9"/>
      <c r="V412" s="9"/>
      <c r="W412" s="10" t="str">
        <f aca="false">IF(C412="","",IF(OR(G412="training",G412="full"),"Yes",IF(G412="none","No","?")))</f>
        <v/>
      </c>
      <c r="X412" s="10" t="str">
        <f aca="false">IF(C412="","",IF(OR(E412="",E412="unknown"),D412,E412))</f>
        <v/>
      </c>
      <c r="Y412" s="10" t="str">
        <f aca="false">IF(C412="","",IF(OR(T412="unsuitable",T412="retired",X412="no"),"—",IF(J412="","unrated",IF(AND(X412="full",J412&gt;=Settings!$C$5,OR(O412="untested",O412&gt;=Settings!$C$6)),"A",IF(AND(OR(X412="full",X412="reduced"),J412&gt;=Settings!$C$7,OR(O412="untested",O412&gt;=Settings!$C$8)),"B","C")))))</f>
        <v/>
      </c>
      <c r="Z412" s="11" t="str">
        <f aca="false">IF(C412="","",IF(P412&lt;&gt;"",P412,Y412))</f>
        <v/>
      </c>
    </row>
    <row r="413" customFormat="false" ht="15" hidden="false" customHeight="false" outlineLevel="0" collapsed="false">
      <c r="A413" s="9"/>
      <c r="B413" s="10" t="str">
        <f aca="false">IF(A413="","",IFERROR(INDEX(Parks!$A$2:$A$255,MATCH(A413,Parks!$B$2:$B$255,0)),"?"))</f>
        <v/>
      </c>
      <c r="C413" s="9"/>
      <c r="D413" s="10" t="str">
        <f aca="false">IF(C413="","",IF(SUMPRODUCT(--ISNUMBER(SEARCH({"Nets","Wicket","Diamond","Softball","T-ball","Baseball","Netball","Tennis","Bocce","Pentaque","Petanque","Skate","Car Park","Pond","Bridle","Amphitheatre","Perimeter","Passive"},C413)))&gt;0,"no",IF(SUMPRODUCT(--ISNUMBER(SEARCH({"Cricket","Junior","Mini","Summer Football","Small"},C413)))&gt;0,"reduced",IF(SUMPRODUCT(--ISNUMBER(SEARCH({"Rugby","Football","League","Touch","Gaelic","Australian","Lacrosse","General Sport","Training Area","Ultimate"},C413)))&gt;0,"full","unknown"))))</f>
        <v/>
      </c>
      <c r="E413" s="9"/>
      <c r="F413" s="9"/>
      <c r="G413" s="9"/>
      <c r="H413" s="9"/>
      <c r="I413" s="12"/>
      <c r="J413" s="9"/>
      <c r="K413" s="9"/>
      <c r="L413" s="9"/>
      <c r="M413" s="9"/>
      <c r="N413" s="9"/>
      <c r="O413" s="13" t="str">
        <f aca="false">IF(C413="","",IF(N(M413)+N(N413)&lt;Settings!$C$9,"untested",M413/(M413+N413)))</f>
        <v/>
      </c>
      <c r="P413" s="9"/>
      <c r="Q413" s="9"/>
      <c r="R413" s="9"/>
      <c r="S413" s="12"/>
      <c r="T413" s="9"/>
      <c r="U413" s="9"/>
      <c r="V413" s="9"/>
      <c r="W413" s="10" t="str">
        <f aca="false">IF(C413="","",IF(OR(G413="training",G413="full"),"Yes",IF(G413="none","No","?")))</f>
        <v/>
      </c>
      <c r="X413" s="10" t="str">
        <f aca="false">IF(C413="","",IF(OR(E413="",E413="unknown"),D413,E413))</f>
        <v/>
      </c>
      <c r="Y413" s="10" t="str">
        <f aca="false">IF(C413="","",IF(OR(T413="unsuitable",T413="retired",X413="no"),"—",IF(J413="","unrated",IF(AND(X413="full",J413&gt;=Settings!$C$5,OR(O413="untested",O413&gt;=Settings!$C$6)),"A",IF(AND(OR(X413="full",X413="reduced"),J413&gt;=Settings!$C$7,OR(O413="untested",O413&gt;=Settings!$C$8)),"B","C")))))</f>
        <v/>
      </c>
      <c r="Z413" s="11" t="str">
        <f aca="false">IF(C413="","",IF(P413&lt;&gt;"",P413,Y413))</f>
        <v/>
      </c>
    </row>
    <row r="414" customFormat="false" ht="15" hidden="false" customHeight="false" outlineLevel="0" collapsed="false">
      <c r="A414" s="9"/>
      <c r="B414" s="10" t="str">
        <f aca="false">IF(A414="","",IFERROR(INDEX(Parks!$A$2:$A$255,MATCH(A414,Parks!$B$2:$B$255,0)),"?"))</f>
        <v/>
      </c>
      <c r="C414" s="9"/>
      <c r="D414" s="10" t="str">
        <f aca="false">IF(C414="","",IF(SUMPRODUCT(--ISNUMBER(SEARCH({"Nets","Wicket","Diamond","Softball","T-ball","Baseball","Netball","Tennis","Bocce","Pentaque","Petanque","Skate","Car Park","Pond","Bridle","Amphitheatre","Perimeter","Passive"},C414)))&gt;0,"no",IF(SUMPRODUCT(--ISNUMBER(SEARCH({"Cricket","Junior","Mini","Summer Football","Small"},C414)))&gt;0,"reduced",IF(SUMPRODUCT(--ISNUMBER(SEARCH({"Rugby","Football","League","Touch","Gaelic","Australian","Lacrosse","General Sport","Training Area","Ultimate"},C414)))&gt;0,"full","unknown"))))</f>
        <v/>
      </c>
      <c r="E414" s="9"/>
      <c r="F414" s="9"/>
      <c r="G414" s="9"/>
      <c r="H414" s="9"/>
      <c r="I414" s="12"/>
      <c r="J414" s="9"/>
      <c r="K414" s="9"/>
      <c r="L414" s="9"/>
      <c r="M414" s="9"/>
      <c r="N414" s="9"/>
      <c r="O414" s="13" t="str">
        <f aca="false">IF(C414="","",IF(N(M414)+N(N414)&lt;Settings!$C$9,"untested",M414/(M414+N414)))</f>
        <v/>
      </c>
      <c r="P414" s="9"/>
      <c r="Q414" s="9"/>
      <c r="R414" s="9"/>
      <c r="S414" s="12"/>
      <c r="T414" s="9"/>
      <c r="U414" s="9"/>
      <c r="V414" s="9"/>
      <c r="W414" s="10" t="str">
        <f aca="false">IF(C414="","",IF(OR(G414="training",G414="full"),"Yes",IF(G414="none","No","?")))</f>
        <v/>
      </c>
      <c r="X414" s="10" t="str">
        <f aca="false">IF(C414="","",IF(OR(E414="",E414="unknown"),D414,E414))</f>
        <v/>
      </c>
      <c r="Y414" s="10" t="str">
        <f aca="false">IF(C414="","",IF(OR(T414="unsuitable",T414="retired",X414="no"),"—",IF(J414="","unrated",IF(AND(X414="full",J414&gt;=Settings!$C$5,OR(O414="untested",O414&gt;=Settings!$C$6)),"A",IF(AND(OR(X414="full",X414="reduced"),J414&gt;=Settings!$C$7,OR(O414="untested",O414&gt;=Settings!$C$8)),"B","C")))))</f>
        <v/>
      </c>
      <c r="Z414" s="11" t="str">
        <f aca="false">IF(C414="","",IF(P414&lt;&gt;"",P414,Y414))</f>
        <v/>
      </c>
    </row>
    <row r="415" customFormat="false" ht="15" hidden="false" customHeight="false" outlineLevel="0" collapsed="false">
      <c r="A415" s="9"/>
      <c r="B415" s="10" t="str">
        <f aca="false">IF(A415="","",IFERROR(INDEX(Parks!$A$2:$A$255,MATCH(A415,Parks!$B$2:$B$255,0)),"?"))</f>
        <v/>
      </c>
      <c r="C415" s="9"/>
      <c r="D415" s="10" t="str">
        <f aca="false">IF(C415="","",IF(SUMPRODUCT(--ISNUMBER(SEARCH({"Nets","Wicket","Diamond","Softball","T-ball","Baseball","Netball","Tennis","Bocce","Pentaque","Petanque","Skate","Car Park","Pond","Bridle","Amphitheatre","Perimeter","Passive"},C415)))&gt;0,"no",IF(SUMPRODUCT(--ISNUMBER(SEARCH({"Cricket","Junior","Mini","Summer Football","Small"},C415)))&gt;0,"reduced",IF(SUMPRODUCT(--ISNUMBER(SEARCH({"Rugby","Football","League","Touch","Gaelic","Australian","Lacrosse","General Sport","Training Area","Ultimate"},C415)))&gt;0,"full","unknown"))))</f>
        <v/>
      </c>
      <c r="E415" s="9"/>
      <c r="F415" s="9"/>
      <c r="G415" s="9"/>
      <c r="H415" s="9"/>
      <c r="I415" s="12"/>
      <c r="J415" s="9"/>
      <c r="K415" s="9"/>
      <c r="L415" s="9"/>
      <c r="M415" s="9"/>
      <c r="N415" s="9"/>
      <c r="O415" s="13" t="str">
        <f aca="false">IF(C415="","",IF(N(M415)+N(N415)&lt;Settings!$C$9,"untested",M415/(M415+N415)))</f>
        <v/>
      </c>
      <c r="P415" s="9"/>
      <c r="Q415" s="9"/>
      <c r="R415" s="9"/>
      <c r="S415" s="12"/>
      <c r="T415" s="9"/>
      <c r="U415" s="9"/>
      <c r="V415" s="9"/>
      <c r="W415" s="10" t="str">
        <f aca="false">IF(C415="","",IF(OR(G415="training",G415="full"),"Yes",IF(G415="none","No","?")))</f>
        <v/>
      </c>
      <c r="X415" s="10" t="str">
        <f aca="false">IF(C415="","",IF(OR(E415="",E415="unknown"),D415,E415))</f>
        <v/>
      </c>
      <c r="Y415" s="10" t="str">
        <f aca="false">IF(C415="","",IF(OR(T415="unsuitable",T415="retired",X415="no"),"—",IF(J415="","unrated",IF(AND(X415="full",J415&gt;=Settings!$C$5,OR(O415="untested",O415&gt;=Settings!$C$6)),"A",IF(AND(OR(X415="full",X415="reduced"),J415&gt;=Settings!$C$7,OR(O415="untested",O415&gt;=Settings!$C$8)),"B","C")))))</f>
        <v/>
      </c>
      <c r="Z415" s="11" t="str">
        <f aca="false">IF(C415="","",IF(P415&lt;&gt;"",P415,Y415))</f>
        <v/>
      </c>
    </row>
    <row r="416" customFormat="false" ht="15" hidden="false" customHeight="false" outlineLevel="0" collapsed="false">
      <c r="A416" s="9"/>
      <c r="B416" s="10" t="str">
        <f aca="false">IF(A416="","",IFERROR(INDEX(Parks!$A$2:$A$255,MATCH(A416,Parks!$B$2:$B$255,0)),"?"))</f>
        <v/>
      </c>
      <c r="C416" s="9"/>
      <c r="D416" s="10" t="str">
        <f aca="false">IF(C416="","",IF(SUMPRODUCT(--ISNUMBER(SEARCH({"Nets","Wicket","Diamond","Softball","T-ball","Baseball","Netball","Tennis","Bocce","Pentaque","Petanque","Skate","Car Park","Pond","Bridle","Amphitheatre","Perimeter","Passive"},C416)))&gt;0,"no",IF(SUMPRODUCT(--ISNUMBER(SEARCH({"Cricket","Junior","Mini","Summer Football","Small"},C416)))&gt;0,"reduced",IF(SUMPRODUCT(--ISNUMBER(SEARCH({"Rugby","Football","League","Touch","Gaelic","Australian","Lacrosse","General Sport","Training Area","Ultimate"},C416)))&gt;0,"full","unknown"))))</f>
        <v/>
      </c>
      <c r="E416" s="9"/>
      <c r="F416" s="9"/>
      <c r="G416" s="9"/>
      <c r="H416" s="9"/>
      <c r="I416" s="12"/>
      <c r="J416" s="9"/>
      <c r="K416" s="9"/>
      <c r="L416" s="9"/>
      <c r="M416" s="9"/>
      <c r="N416" s="9"/>
      <c r="O416" s="13" t="str">
        <f aca="false">IF(C416="","",IF(N(M416)+N(N416)&lt;Settings!$C$9,"untested",M416/(M416+N416)))</f>
        <v/>
      </c>
      <c r="P416" s="9"/>
      <c r="Q416" s="9"/>
      <c r="R416" s="9"/>
      <c r="S416" s="12"/>
      <c r="T416" s="9"/>
      <c r="U416" s="9"/>
      <c r="V416" s="9"/>
      <c r="W416" s="10" t="str">
        <f aca="false">IF(C416="","",IF(OR(G416="training",G416="full"),"Yes",IF(G416="none","No","?")))</f>
        <v/>
      </c>
      <c r="X416" s="10" t="str">
        <f aca="false">IF(C416="","",IF(OR(E416="",E416="unknown"),D416,E416))</f>
        <v/>
      </c>
      <c r="Y416" s="10" t="str">
        <f aca="false">IF(C416="","",IF(OR(T416="unsuitable",T416="retired",X416="no"),"—",IF(J416="","unrated",IF(AND(X416="full",J416&gt;=Settings!$C$5,OR(O416="untested",O416&gt;=Settings!$C$6)),"A",IF(AND(OR(X416="full",X416="reduced"),J416&gt;=Settings!$C$7,OR(O416="untested",O416&gt;=Settings!$C$8)),"B","C")))))</f>
        <v/>
      </c>
      <c r="Z416" s="11" t="str">
        <f aca="false">IF(C416="","",IF(P416&lt;&gt;"",P416,Y416))</f>
        <v/>
      </c>
    </row>
    <row r="417" customFormat="false" ht="15" hidden="false" customHeight="false" outlineLevel="0" collapsed="false">
      <c r="A417" s="9"/>
      <c r="B417" s="10" t="str">
        <f aca="false">IF(A417="","",IFERROR(INDEX(Parks!$A$2:$A$255,MATCH(A417,Parks!$B$2:$B$255,0)),"?"))</f>
        <v/>
      </c>
      <c r="C417" s="9"/>
      <c r="D417" s="10" t="str">
        <f aca="false">IF(C417="","",IF(SUMPRODUCT(--ISNUMBER(SEARCH({"Nets","Wicket","Diamond","Softball","T-ball","Baseball","Netball","Tennis","Bocce","Pentaque","Petanque","Skate","Car Park","Pond","Bridle","Amphitheatre","Perimeter","Passive"},C417)))&gt;0,"no",IF(SUMPRODUCT(--ISNUMBER(SEARCH({"Cricket","Junior","Mini","Summer Football","Small"},C417)))&gt;0,"reduced",IF(SUMPRODUCT(--ISNUMBER(SEARCH({"Rugby","Football","League","Touch","Gaelic","Australian","Lacrosse","General Sport","Training Area","Ultimate"},C417)))&gt;0,"full","unknown"))))</f>
        <v/>
      </c>
      <c r="E417" s="9"/>
      <c r="F417" s="9"/>
      <c r="G417" s="9"/>
      <c r="H417" s="9"/>
      <c r="I417" s="12"/>
      <c r="J417" s="9"/>
      <c r="K417" s="9"/>
      <c r="L417" s="9"/>
      <c r="M417" s="9"/>
      <c r="N417" s="9"/>
      <c r="O417" s="13" t="str">
        <f aca="false">IF(C417="","",IF(N(M417)+N(N417)&lt;Settings!$C$9,"untested",M417/(M417+N417)))</f>
        <v/>
      </c>
      <c r="P417" s="9"/>
      <c r="Q417" s="9"/>
      <c r="R417" s="9"/>
      <c r="S417" s="12"/>
      <c r="T417" s="9"/>
      <c r="U417" s="9"/>
      <c r="V417" s="9"/>
      <c r="W417" s="10" t="str">
        <f aca="false">IF(C417="","",IF(OR(G417="training",G417="full"),"Yes",IF(G417="none","No","?")))</f>
        <v/>
      </c>
      <c r="X417" s="10" t="str">
        <f aca="false">IF(C417="","",IF(OR(E417="",E417="unknown"),D417,E417))</f>
        <v/>
      </c>
      <c r="Y417" s="10" t="str">
        <f aca="false">IF(C417="","",IF(OR(T417="unsuitable",T417="retired",X417="no"),"—",IF(J417="","unrated",IF(AND(X417="full",J417&gt;=Settings!$C$5,OR(O417="untested",O417&gt;=Settings!$C$6)),"A",IF(AND(OR(X417="full",X417="reduced"),J417&gt;=Settings!$C$7,OR(O417="untested",O417&gt;=Settings!$C$8)),"B","C")))))</f>
        <v/>
      </c>
      <c r="Z417" s="11" t="str">
        <f aca="false">IF(C417="","",IF(P417&lt;&gt;"",P417,Y417))</f>
        <v/>
      </c>
    </row>
    <row r="418" customFormat="false" ht="15" hidden="false" customHeight="false" outlineLevel="0" collapsed="false">
      <c r="A418" s="9"/>
      <c r="B418" s="10" t="str">
        <f aca="false">IF(A418="","",IFERROR(INDEX(Parks!$A$2:$A$255,MATCH(A418,Parks!$B$2:$B$255,0)),"?"))</f>
        <v/>
      </c>
      <c r="C418" s="9"/>
      <c r="D418" s="10" t="str">
        <f aca="false">IF(C418="","",IF(SUMPRODUCT(--ISNUMBER(SEARCH({"Nets","Wicket","Diamond","Softball","T-ball","Baseball","Netball","Tennis","Bocce","Pentaque","Petanque","Skate","Car Park","Pond","Bridle","Amphitheatre","Perimeter","Passive"},C418)))&gt;0,"no",IF(SUMPRODUCT(--ISNUMBER(SEARCH({"Cricket","Junior","Mini","Summer Football","Small"},C418)))&gt;0,"reduced",IF(SUMPRODUCT(--ISNUMBER(SEARCH({"Rugby","Football","League","Touch","Gaelic","Australian","Lacrosse","General Sport","Training Area","Ultimate"},C418)))&gt;0,"full","unknown"))))</f>
        <v/>
      </c>
      <c r="E418" s="9"/>
      <c r="F418" s="9"/>
      <c r="G418" s="9"/>
      <c r="H418" s="9"/>
      <c r="I418" s="12"/>
      <c r="J418" s="9"/>
      <c r="K418" s="9"/>
      <c r="L418" s="9"/>
      <c r="M418" s="9"/>
      <c r="N418" s="9"/>
      <c r="O418" s="13" t="str">
        <f aca="false">IF(C418="","",IF(N(M418)+N(N418)&lt;Settings!$C$9,"untested",M418/(M418+N418)))</f>
        <v/>
      </c>
      <c r="P418" s="9"/>
      <c r="Q418" s="9"/>
      <c r="R418" s="9"/>
      <c r="S418" s="12"/>
      <c r="T418" s="9"/>
      <c r="U418" s="9"/>
      <c r="V418" s="9"/>
      <c r="W418" s="10" t="str">
        <f aca="false">IF(C418="","",IF(OR(G418="training",G418="full"),"Yes",IF(G418="none","No","?")))</f>
        <v/>
      </c>
      <c r="X418" s="10" t="str">
        <f aca="false">IF(C418="","",IF(OR(E418="",E418="unknown"),D418,E418))</f>
        <v/>
      </c>
      <c r="Y418" s="10" t="str">
        <f aca="false">IF(C418="","",IF(OR(T418="unsuitable",T418="retired",X418="no"),"—",IF(J418="","unrated",IF(AND(X418="full",J418&gt;=Settings!$C$5,OR(O418="untested",O418&gt;=Settings!$C$6)),"A",IF(AND(OR(X418="full",X418="reduced"),J418&gt;=Settings!$C$7,OR(O418="untested",O418&gt;=Settings!$C$8)),"B","C")))))</f>
        <v/>
      </c>
      <c r="Z418" s="11" t="str">
        <f aca="false">IF(C418="","",IF(P418&lt;&gt;"",P418,Y418))</f>
        <v/>
      </c>
    </row>
    <row r="419" customFormat="false" ht="15" hidden="false" customHeight="false" outlineLevel="0" collapsed="false">
      <c r="A419" s="9"/>
      <c r="B419" s="10" t="str">
        <f aca="false">IF(A419="","",IFERROR(INDEX(Parks!$A$2:$A$255,MATCH(A419,Parks!$B$2:$B$255,0)),"?"))</f>
        <v/>
      </c>
      <c r="C419" s="9"/>
      <c r="D419" s="10" t="str">
        <f aca="false">IF(C419="","",IF(SUMPRODUCT(--ISNUMBER(SEARCH({"Nets","Wicket","Diamond","Softball","T-ball","Baseball","Netball","Tennis","Bocce","Pentaque","Petanque","Skate","Car Park","Pond","Bridle","Amphitheatre","Perimeter","Passive"},C419)))&gt;0,"no",IF(SUMPRODUCT(--ISNUMBER(SEARCH({"Cricket","Junior","Mini","Summer Football","Small"},C419)))&gt;0,"reduced",IF(SUMPRODUCT(--ISNUMBER(SEARCH({"Rugby","Football","League","Touch","Gaelic","Australian","Lacrosse","General Sport","Training Area","Ultimate"},C419)))&gt;0,"full","unknown"))))</f>
        <v/>
      </c>
      <c r="E419" s="9"/>
      <c r="F419" s="9"/>
      <c r="G419" s="9"/>
      <c r="H419" s="9"/>
      <c r="I419" s="12"/>
      <c r="J419" s="9"/>
      <c r="K419" s="9"/>
      <c r="L419" s="9"/>
      <c r="M419" s="9"/>
      <c r="N419" s="9"/>
      <c r="O419" s="13" t="str">
        <f aca="false">IF(C419="","",IF(N(M419)+N(N419)&lt;Settings!$C$9,"untested",M419/(M419+N419)))</f>
        <v/>
      </c>
      <c r="P419" s="9"/>
      <c r="Q419" s="9"/>
      <c r="R419" s="9"/>
      <c r="S419" s="12"/>
      <c r="T419" s="9"/>
      <c r="U419" s="9"/>
      <c r="V419" s="9"/>
      <c r="W419" s="10" t="str">
        <f aca="false">IF(C419="","",IF(OR(G419="training",G419="full"),"Yes",IF(G419="none","No","?")))</f>
        <v/>
      </c>
      <c r="X419" s="10" t="str">
        <f aca="false">IF(C419="","",IF(OR(E419="",E419="unknown"),D419,E419))</f>
        <v/>
      </c>
      <c r="Y419" s="10" t="str">
        <f aca="false">IF(C419="","",IF(OR(T419="unsuitable",T419="retired",X419="no"),"—",IF(J419="","unrated",IF(AND(X419="full",J419&gt;=Settings!$C$5,OR(O419="untested",O419&gt;=Settings!$C$6)),"A",IF(AND(OR(X419="full",X419="reduced"),J419&gt;=Settings!$C$7,OR(O419="untested",O419&gt;=Settings!$C$8)),"B","C")))))</f>
        <v/>
      </c>
      <c r="Z419" s="11" t="str">
        <f aca="false">IF(C419="","",IF(P419&lt;&gt;"",P419,Y419))</f>
        <v/>
      </c>
    </row>
    <row r="420" customFormat="false" ht="15" hidden="false" customHeight="false" outlineLevel="0" collapsed="false">
      <c r="A420" s="9"/>
      <c r="B420" s="10" t="str">
        <f aca="false">IF(A420="","",IFERROR(INDEX(Parks!$A$2:$A$255,MATCH(A420,Parks!$B$2:$B$255,0)),"?"))</f>
        <v/>
      </c>
      <c r="C420" s="9"/>
      <c r="D420" s="10" t="str">
        <f aca="false">IF(C420="","",IF(SUMPRODUCT(--ISNUMBER(SEARCH({"Nets","Wicket","Diamond","Softball","T-ball","Baseball","Netball","Tennis","Bocce","Pentaque","Petanque","Skate","Car Park","Pond","Bridle","Amphitheatre","Perimeter","Passive"},C420)))&gt;0,"no",IF(SUMPRODUCT(--ISNUMBER(SEARCH({"Cricket","Junior","Mini","Summer Football","Small"},C420)))&gt;0,"reduced",IF(SUMPRODUCT(--ISNUMBER(SEARCH({"Rugby","Football","League","Touch","Gaelic","Australian","Lacrosse","General Sport","Training Area","Ultimate"},C420)))&gt;0,"full","unknown"))))</f>
        <v/>
      </c>
      <c r="E420" s="9"/>
      <c r="F420" s="9"/>
      <c r="G420" s="9"/>
      <c r="H420" s="9"/>
      <c r="I420" s="12"/>
      <c r="J420" s="9"/>
      <c r="K420" s="9"/>
      <c r="L420" s="9"/>
      <c r="M420" s="9"/>
      <c r="N420" s="9"/>
      <c r="O420" s="13" t="str">
        <f aca="false">IF(C420="","",IF(N(M420)+N(N420)&lt;Settings!$C$9,"untested",M420/(M420+N420)))</f>
        <v/>
      </c>
      <c r="P420" s="9"/>
      <c r="Q420" s="9"/>
      <c r="R420" s="9"/>
      <c r="S420" s="12"/>
      <c r="T420" s="9"/>
      <c r="U420" s="9"/>
      <c r="V420" s="9"/>
      <c r="W420" s="10" t="str">
        <f aca="false">IF(C420="","",IF(OR(G420="training",G420="full"),"Yes",IF(G420="none","No","?")))</f>
        <v/>
      </c>
      <c r="X420" s="10" t="str">
        <f aca="false">IF(C420="","",IF(OR(E420="",E420="unknown"),D420,E420))</f>
        <v/>
      </c>
      <c r="Y420" s="10" t="str">
        <f aca="false">IF(C420="","",IF(OR(T420="unsuitable",T420="retired",X420="no"),"—",IF(J420="","unrated",IF(AND(X420="full",J420&gt;=Settings!$C$5,OR(O420="untested",O420&gt;=Settings!$C$6)),"A",IF(AND(OR(X420="full",X420="reduced"),J420&gt;=Settings!$C$7,OR(O420="untested",O420&gt;=Settings!$C$8)),"B","C")))))</f>
        <v/>
      </c>
      <c r="Z420" s="11" t="str">
        <f aca="false">IF(C420="","",IF(P420&lt;&gt;"",P420,Y420))</f>
        <v/>
      </c>
    </row>
    <row r="421" customFormat="false" ht="15" hidden="false" customHeight="false" outlineLevel="0" collapsed="false">
      <c r="A421" s="9"/>
      <c r="B421" s="10" t="str">
        <f aca="false">IF(A421="","",IFERROR(INDEX(Parks!$A$2:$A$255,MATCH(A421,Parks!$B$2:$B$255,0)),"?"))</f>
        <v/>
      </c>
      <c r="C421" s="9"/>
      <c r="D421" s="10" t="str">
        <f aca="false">IF(C421="","",IF(SUMPRODUCT(--ISNUMBER(SEARCH({"Nets","Wicket","Diamond","Softball","T-ball","Baseball","Netball","Tennis","Bocce","Pentaque","Petanque","Skate","Car Park","Pond","Bridle","Amphitheatre","Perimeter","Passive"},C421)))&gt;0,"no",IF(SUMPRODUCT(--ISNUMBER(SEARCH({"Cricket","Junior","Mini","Summer Football","Small"},C421)))&gt;0,"reduced",IF(SUMPRODUCT(--ISNUMBER(SEARCH({"Rugby","Football","League","Touch","Gaelic","Australian","Lacrosse","General Sport","Training Area","Ultimate"},C421)))&gt;0,"full","unknown"))))</f>
        <v/>
      </c>
      <c r="E421" s="9"/>
      <c r="F421" s="9"/>
      <c r="G421" s="9"/>
      <c r="H421" s="9"/>
      <c r="I421" s="12"/>
      <c r="J421" s="9"/>
      <c r="K421" s="9"/>
      <c r="L421" s="9"/>
      <c r="M421" s="9"/>
      <c r="N421" s="9"/>
      <c r="O421" s="13" t="str">
        <f aca="false">IF(C421="","",IF(N(M421)+N(N421)&lt;Settings!$C$9,"untested",M421/(M421+N421)))</f>
        <v/>
      </c>
      <c r="P421" s="9"/>
      <c r="Q421" s="9"/>
      <c r="R421" s="9"/>
      <c r="S421" s="12"/>
      <c r="T421" s="9"/>
      <c r="U421" s="9"/>
      <c r="V421" s="9"/>
      <c r="W421" s="10" t="str">
        <f aca="false">IF(C421="","",IF(OR(G421="training",G421="full"),"Yes",IF(G421="none","No","?")))</f>
        <v/>
      </c>
      <c r="X421" s="10" t="str">
        <f aca="false">IF(C421="","",IF(OR(E421="",E421="unknown"),D421,E421))</f>
        <v/>
      </c>
      <c r="Y421" s="10" t="str">
        <f aca="false">IF(C421="","",IF(OR(T421="unsuitable",T421="retired",X421="no"),"—",IF(J421="","unrated",IF(AND(X421="full",J421&gt;=Settings!$C$5,OR(O421="untested",O421&gt;=Settings!$C$6)),"A",IF(AND(OR(X421="full",X421="reduced"),J421&gt;=Settings!$C$7,OR(O421="untested",O421&gt;=Settings!$C$8)),"B","C")))))</f>
        <v/>
      </c>
      <c r="Z421" s="11" t="str">
        <f aca="false">IF(C421="","",IF(P421&lt;&gt;"",P421,Y421))</f>
        <v/>
      </c>
    </row>
    <row r="422" customFormat="false" ht="15" hidden="false" customHeight="false" outlineLevel="0" collapsed="false">
      <c r="A422" s="9"/>
      <c r="B422" s="10" t="str">
        <f aca="false">IF(A422="","",IFERROR(INDEX(Parks!$A$2:$A$255,MATCH(A422,Parks!$B$2:$B$255,0)),"?"))</f>
        <v/>
      </c>
      <c r="C422" s="9"/>
      <c r="D422" s="10" t="str">
        <f aca="false">IF(C422="","",IF(SUMPRODUCT(--ISNUMBER(SEARCH({"Nets","Wicket","Diamond","Softball","T-ball","Baseball","Netball","Tennis","Bocce","Pentaque","Petanque","Skate","Car Park","Pond","Bridle","Amphitheatre","Perimeter","Passive"},C422)))&gt;0,"no",IF(SUMPRODUCT(--ISNUMBER(SEARCH({"Cricket","Junior","Mini","Summer Football","Small"},C422)))&gt;0,"reduced",IF(SUMPRODUCT(--ISNUMBER(SEARCH({"Rugby","Football","League","Touch","Gaelic","Australian","Lacrosse","General Sport","Training Area","Ultimate"},C422)))&gt;0,"full","unknown"))))</f>
        <v/>
      </c>
      <c r="E422" s="9"/>
      <c r="F422" s="9"/>
      <c r="G422" s="9"/>
      <c r="H422" s="9"/>
      <c r="I422" s="12"/>
      <c r="J422" s="9"/>
      <c r="K422" s="9"/>
      <c r="L422" s="9"/>
      <c r="M422" s="9"/>
      <c r="N422" s="9"/>
      <c r="O422" s="13" t="str">
        <f aca="false">IF(C422="","",IF(N(M422)+N(N422)&lt;Settings!$C$9,"untested",M422/(M422+N422)))</f>
        <v/>
      </c>
      <c r="P422" s="9"/>
      <c r="Q422" s="9"/>
      <c r="R422" s="9"/>
      <c r="S422" s="12"/>
      <c r="T422" s="9"/>
      <c r="U422" s="9"/>
      <c r="V422" s="9"/>
      <c r="W422" s="10" t="str">
        <f aca="false">IF(C422="","",IF(OR(G422="training",G422="full"),"Yes",IF(G422="none","No","?")))</f>
        <v/>
      </c>
      <c r="X422" s="10" t="str">
        <f aca="false">IF(C422="","",IF(OR(E422="",E422="unknown"),D422,E422))</f>
        <v/>
      </c>
      <c r="Y422" s="10" t="str">
        <f aca="false">IF(C422="","",IF(OR(T422="unsuitable",T422="retired",X422="no"),"—",IF(J422="","unrated",IF(AND(X422="full",J422&gt;=Settings!$C$5,OR(O422="untested",O422&gt;=Settings!$C$6)),"A",IF(AND(OR(X422="full",X422="reduced"),J422&gt;=Settings!$C$7,OR(O422="untested",O422&gt;=Settings!$C$8)),"B","C")))))</f>
        <v/>
      </c>
      <c r="Z422" s="11" t="str">
        <f aca="false">IF(C422="","",IF(P422&lt;&gt;"",P422,Y422))</f>
        <v/>
      </c>
    </row>
    <row r="423" customFormat="false" ht="15" hidden="false" customHeight="false" outlineLevel="0" collapsed="false">
      <c r="A423" s="9"/>
      <c r="B423" s="10" t="str">
        <f aca="false">IF(A423="","",IFERROR(INDEX(Parks!$A$2:$A$255,MATCH(A423,Parks!$B$2:$B$255,0)),"?"))</f>
        <v/>
      </c>
      <c r="C423" s="9"/>
      <c r="D423" s="10" t="str">
        <f aca="false">IF(C423="","",IF(SUMPRODUCT(--ISNUMBER(SEARCH({"Nets","Wicket","Diamond","Softball","T-ball","Baseball","Netball","Tennis","Bocce","Pentaque","Petanque","Skate","Car Park","Pond","Bridle","Amphitheatre","Perimeter","Passive"},C423)))&gt;0,"no",IF(SUMPRODUCT(--ISNUMBER(SEARCH({"Cricket","Junior","Mini","Summer Football","Small"},C423)))&gt;0,"reduced",IF(SUMPRODUCT(--ISNUMBER(SEARCH({"Rugby","Football","League","Touch","Gaelic","Australian","Lacrosse","General Sport","Training Area","Ultimate"},C423)))&gt;0,"full","unknown"))))</f>
        <v/>
      </c>
      <c r="E423" s="9"/>
      <c r="F423" s="9"/>
      <c r="G423" s="9"/>
      <c r="H423" s="9"/>
      <c r="I423" s="12"/>
      <c r="J423" s="9"/>
      <c r="K423" s="9"/>
      <c r="L423" s="9"/>
      <c r="M423" s="9"/>
      <c r="N423" s="9"/>
      <c r="O423" s="13" t="str">
        <f aca="false">IF(C423="","",IF(N(M423)+N(N423)&lt;Settings!$C$9,"untested",M423/(M423+N423)))</f>
        <v/>
      </c>
      <c r="P423" s="9"/>
      <c r="Q423" s="9"/>
      <c r="R423" s="9"/>
      <c r="S423" s="12"/>
      <c r="T423" s="9"/>
      <c r="U423" s="9"/>
      <c r="V423" s="9"/>
      <c r="W423" s="10" t="str">
        <f aca="false">IF(C423="","",IF(OR(G423="training",G423="full"),"Yes",IF(G423="none","No","?")))</f>
        <v/>
      </c>
      <c r="X423" s="10" t="str">
        <f aca="false">IF(C423="","",IF(OR(E423="",E423="unknown"),D423,E423))</f>
        <v/>
      </c>
      <c r="Y423" s="10" t="str">
        <f aca="false">IF(C423="","",IF(OR(T423="unsuitable",T423="retired",X423="no"),"—",IF(J423="","unrated",IF(AND(X423="full",J423&gt;=Settings!$C$5,OR(O423="untested",O423&gt;=Settings!$C$6)),"A",IF(AND(OR(X423="full",X423="reduced"),J423&gt;=Settings!$C$7,OR(O423="untested",O423&gt;=Settings!$C$8)),"B","C")))))</f>
        <v/>
      </c>
      <c r="Z423" s="11" t="str">
        <f aca="false">IF(C423="","",IF(P423&lt;&gt;"",P423,Y423))</f>
        <v/>
      </c>
    </row>
    <row r="424" customFormat="false" ht="15" hidden="false" customHeight="false" outlineLevel="0" collapsed="false">
      <c r="A424" s="9"/>
      <c r="B424" s="10" t="str">
        <f aca="false">IF(A424="","",IFERROR(INDEX(Parks!$A$2:$A$255,MATCH(A424,Parks!$B$2:$B$255,0)),"?"))</f>
        <v/>
      </c>
      <c r="C424" s="9"/>
      <c r="D424" s="10" t="str">
        <f aca="false">IF(C424="","",IF(SUMPRODUCT(--ISNUMBER(SEARCH({"Nets","Wicket","Diamond","Softball","T-ball","Baseball","Netball","Tennis","Bocce","Pentaque","Petanque","Skate","Car Park","Pond","Bridle","Amphitheatre","Perimeter","Passive"},C424)))&gt;0,"no",IF(SUMPRODUCT(--ISNUMBER(SEARCH({"Cricket","Junior","Mini","Summer Football","Small"},C424)))&gt;0,"reduced",IF(SUMPRODUCT(--ISNUMBER(SEARCH({"Rugby","Football","League","Touch","Gaelic","Australian","Lacrosse","General Sport","Training Area","Ultimate"},C424)))&gt;0,"full","unknown"))))</f>
        <v/>
      </c>
      <c r="E424" s="9"/>
      <c r="F424" s="9"/>
      <c r="G424" s="9"/>
      <c r="H424" s="9"/>
      <c r="I424" s="12"/>
      <c r="J424" s="9"/>
      <c r="K424" s="9"/>
      <c r="L424" s="9"/>
      <c r="M424" s="9"/>
      <c r="N424" s="9"/>
      <c r="O424" s="13" t="str">
        <f aca="false">IF(C424="","",IF(N(M424)+N(N424)&lt;Settings!$C$9,"untested",M424/(M424+N424)))</f>
        <v/>
      </c>
      <c r="P424" s="9"/>
      <c r="Q424" s="9"/>
      <c r="R424" s="9"/>
      <c r="S424" s="12"/>
      <c r="T424" s="9"/>
      <c r="U424" s="9"/>
      <c r="V424" s="9"/>
      <c r="W424" s="10" t="str">
        <f aca="false">IF(C424="","",IF(OR(G424="training",G424="full"),"Yes",IF(G424="none","No","?")))</f>
        <v/>
      </c>
      <c r="X424" s="10" t="str">
        <f aca="false">IF(C424="","",IF(OR(E424="",E424="unknown"),D424,E424))</f>
        <v/>
      </c>
      <c r="Y424" s="10" t="str">
        <f aca="false">IF(C424="","",IF(OR(T424="unsuitable",T424="retired",X424="no"),"—",IF(J424="","unrated",IF(AND(X424="full",J424&gt;=Settings!$C$5,OR(O424="untested",O424&gt;=Settings!$C$6)),"A",IF(AND(OR(X424="full",X424="reduced"),J424&gt;=Settings!$C$7,OR(O424="untested",O424&gt;=Settings!$C$8)),"B","C")))))</f>
        <v/>
      </c>
      <c r="Z424" s="11" t="str">
        <f aca="false">IF(C424="","",IF(P424&lt;&gt;"",P424,Y424))</f>
        <v/>
      </c>
    </row>
    <row r="425" customFormat="false" ht="15" hidden="false" customHeight="false" outlineLevel="0" collapsed="false">
      <c r="A425" s="9"/>
      <c r="B425" s="10" t="str">
        <f aca="false">IF(A425="","",IFERROR(INDEX(Parks!$A$2:$A$255,MATCH(A425,Parks!$B$2:$B$255,0)),"?"))</f>
        <v/>
      </c>
      <c r="C425" s="9"/>
      <c r="D425" s="10" t="str">
        <f aca="false">IF(C425="","",IF(SUMPRODUCT(--ISNUMBER(SEARCH({"Nets","Wicket","Diamond","Softball","T-ball","Baseball","Netball","Tennis","Bocce","Pentaque","Petanque","Skate","Car Park","Pond","Bridle","Amphitheatre","Perimeter","Passive"},C425)))&gt;0,"no",IF(SUMPRODUCT(--ISNUMBER(SEARCH({"Cricket","Junior","Mini","Summer Football","Small"},C425)))&gt;0,"reduced",IF(SUMPRODUCT(--ISNUMBER(SEARCH({"Rugby","Football","League","Touch","Gaelic","Australian","Lacrosse","General Sport","Training Area","Ultimate"},C425)))&gt;0,"full","unknown"))))</f>
        <v/>
      </c>
      <c r="E425" s="9"/>
      <c r="F425" s="9"/>
      <c r="G425" s="9"/>
      <c r="H425" s="9"/>
      <c r="I425" s="12"/>
      <c r="J425" s="9"/>
      <c r="K425" s="9"/>
      <c r="L425" s="9"/>
      <c r="M425" s="9"/>
      <c r="N425" s="9"/>
      <c r="O425" s="13" t="str">
        <f aca="false">IF(C425="","",IF(N(M425)+N(N425)&lt;Settings!$C$9,"untested",M425/(M425+N425)))</f>
        <v/>
      </c>
      <c r="P425" s="9"/>
      <c r="Q425" s="9"/>
      <c r="R425" s="9"/>
      <c r="S425" s="12"/>
      <c r="T425" s="9"/>
      <c r="U425" s="9"/>
      <c r="V425" s="9"/>
      <c r="W425" s="10" t="str">
        <f aca="false">IF(C425="","",IF(OR(G425="training",G425="full"),"Yes",IF(G425="none","No","?")))</f>
        <v/>
      </c>
      <c r="X425" s="10" t="str">
        <f aca="false">IF(C425="","",IF(OR(E425="",E425="unknown"),D425,E425))</f>
        <v/>
      </c>
      <c r="Y425" s="10" t="str">
        <f aca="false">IF(C425="","",IF(OR(T425="unsuitable",T425="retired",X425="no"),"—",IF(J425="","unrated",IF(AND(X425="full",J425&gt;=Settings!$C$5,OR(O425="untested",O425&gt;=Settings!$C$6)),"A",IF(AND(OR(X425="full",X425="reduced"),J425&gt;=Settings!$C$7,OR(O425="untested",O425&gt;=Settings!$C$8)),"B","C")))))</f>
        <v/>
      </c>
      <c r="Z425" s="11" t="str">
        <f aca="false">IF(C425="","",IF(P425&lt;&gt;"",P425,Y425))</f>
        <v/>
      </c>
    </row>
    <row r="426" customFormat="false" ht="15" hidden="false" customHeight="false" outlineLevel="0" collapsed="false">
      <c r="A426" s="9"/>
      <c r="B426" s="10" t="str">
        <f aca="false">IF(A426="","",IFERROR(INDEX(Parks!$A$2:$A$255,MATCH(A426,Parks!$B$2:$B$255,0)),"?"))</f>
        <v/>
      </c>
      <c r="C426" s="9"/>
      <c r="D426" s="10" t="str">
        <f aca="false">IF(C426="","",IF(SUMPRODUCT(--ISNUMBER(SEARCH({"Nets","Wicket","Diamond","Softball","T-ball","Baseball","Netball","Tennis","Bocce","Pentaque","Petanque","Skate","Car Park","Pond","Bridle","Amphitheatre","Perimeter","Passive"},C426)))&gt;0,"no",IF(SUMPRODUCT(--ISNUMBER(SEARCH({"Cricket","Junior","Mini","Summer Football","Small"},C426)))&gt;0,"reduced",IF(SUMPRODUCT(--ISNUMBER(SEARCH({"Rugby","Football","League","Touch","Gaelic","Australian","Lacrosse","General Sport","Training Area","Ultimate"},C426)))&gt;0,"full","unknown"))))</f>
        <v/>
      </c>
      <c r="E426" s="9"/>
      <c r="F426" s="9"/>
      <c r="G426" s="9"/>
      <c r="H426" s="9"/>
      <c r="I426" s="12"/>
      <c r="J426" s="9"/>
      <c r="K426" s="9"/>
      <c r="L426" s="9"/>
      <c r="M426" s="9"/>
      <c r="N426" s="9"/>
      <c r="O426" s="13" t="str">
        <f aca="false">IF(C426="","",IF(N(M426)+N(N426)&lt;Settings!$C$9,"untested",M426/(M426+N426)))</f>
        <v/>
      </c>
      <c r="P426" s="9"/>
      <c r="Q426" s="9"/>
      <c r="R426" s="9"/>
      <c r="S426" s="12"/>
      <c r="T426" s="9"/>
      <c r="U426" s="9"/>
      <c r="V426" s="9"/>
      <c r="W426" s="10" t="str">
        <f aca="false">IF(C426="","",IF(OR(G426="training",G426="full"),"Yes",IF(G426="none","No","?")))</f>
        <v/>
      </c>
      <c r="X426" s="10" t="str">
        <f aca="false">IF(C426="","",IF(OR(E426="",E426="unknown"),D426,E426))</f>
        <v/>
      </c>
      <c r="Y426" s="10" t="str">
        <f aca="false">IF(C426="","",IF(OR(T426="unsuitable",T426="retired",X426="no"),"—",IF(J426="","unrated",IF(AND(X426="full",J426&gt;=Settings!$C$5,OR(O426="untested",O426&gt;=Settings!$C$6)),"A",IF(AND(OR(X426="full",X426="reduced"),J426&gt;=Settings!$C$7,OR(O426="untested",O426&gt;=Settings!$C$8)),"B","C")))))</f>
        <v/>
      </c>
      <c r="Z426" s="11" t="str">
        <f aca="false">IF(C426="","",IF(P426&lt;&gt;"",P426,Y426))</f>
        <v/>
      </c>
    </row>
    <row r="427" customFormat="false" ht="15" hidden="false" customHeight="false" outlineLevel="0" collapsed="false">
      <c r="A427" s="9"/>
      <c r="B427" s="10" t="str">
        <f aca="false">IF(A427="","",IFERROR(INDEX(Parks!$A$2:$A$255,MATCH(A427,Parks!$B$2:$B$255,0)),"?"))</f>
        <v/>
      </c>
      <c r="C427" s="9"/>
      <c r="D427" s="10" t="str">
        <f aca="false">IF(C427="","",IF(SUMPRODUCT(--ISNUMBER(SEARCH({"Nets","Wicket","Diamond","Softball","T-ball","Baseball","Netball","Tennis","Bocce","Pentaque","Petanque","Skate","Car Park","Pond","Bridle","Amphitheatre","Perimeter","Passive"},C427)))&gt;0,"no",IF(SUMPRODUCT(--ISNUMBER(SEARCH({"Cricket","Junior","Mini","Summer Football","Small"},C427)))&gt;0,"reduced",IF(SUMPRODUCT(--ISNUMBER(SEARCH({"Rugby","Football","League","Touch","Gaelic","Australian","Lacrosse","General Sport","Training Area","Ultimate"},C427)))&gt;0,"full","unknown"))))</f>
        <v/>
      </c>
      <c r="E427" s="9"/>
      <c r="F427" s="9"/>
      <c r="G427" s="9"/>
      <c r="H427" s="9"/>
      <c r="I427" s="12"/>
      <c r="J427" s="9"/>
      <c r="K427" s="9"/>
      <c r="L427" s="9"/>
      <c r="M427" s="9"/>
      <c r="N427" s="9"/>
      <c r="O427" s="13" t="str">
        <f aca="false">IF(C427="","",IF(N(M427)+N(N427)&lt;Settings!$C$9,"untested",M427/(M427+N427)))</f>
        <v/>
      </c>
      <c r="P427" s="9"/>
      <c r="Q427" s="9"/>
      <c r="R427" s="9"/>
      <c r="S427" s="12"/>
      <c r="T427" s="9"/>
      <c r="U427" s="9"/>
      <c r="V427" s="9"/>
      <c r="W427" s="10" t="str">
        <f aca="false">IF(C427="","",IF(OR(G427="training",G427="full"),"Yes",IF(G427="none","No","?")))</f>
        <v/>
      </c>
      <c r="X427" s="10" t="str">
        <f aca="false">IF(C427="","",IF(OR(E427="",E427="unknown"),D427,E427))</f>
        <v/>
      </c>
      <c r="Y427" s="10" t="str">
        <f aca="false">IF(C427="","",IF(OR(T427="unsuitable",T427="retired",X427="no"),"—",IF(J427="","unrated",IF(AND(X427="full",J427&gt;=Settings!$C$5,OR(O427="untested",O427&gt;=Settings!$C$6)),"A",IF(AND(OR(X427="full",X427="reduced"),J427&gt;=Settings!$C$7,OR(O427="untested",O427&gt;=Settings!$C$8)),"B","C")))))</f>
        <v/>
      </c>
      <c r="Z427" s="11" t="str">
        <f aca="false">IF(C427="","",IF(P427&lt;&gt;"",P427,Y427))</f>
        <v/>
      </c>
    </row>
    <row r="428" customFormat="false" ht="15" hidden="false" customHeight="false" outlineLevel="0" collapsed="false">
      <c r="A428" s="9"/>
      <c r="B428" s="10" t="str">
        <f aca="false">IF(A428="","",IFERROR(INDEX(Parks!$A$2:$A$255,MATCH(A428,Parks!$B$2:$B$255,0)),"?"))</f>
        <v/>
      </c>
      <c r="C428" s="9"/>
      <c r="D428" s="10" t="str">
        <f aca="false">IF(C428="","",IF(SUMPRODUCT(--ISNUMBER(SEARCH({"Nets","Wicket","Diamond","Softball","T-ball","Baseball","Netball","Tennis","Bocce","Pentaque","Petanque","Skate","Car Park","Pond","Bridle","Amphitheatre","Perimeter","Passive"},C428)))&gt;0,"no",IF(SUMPRODUCT(--ISNUMBER(SEARCH({"Cricket","Junior","Mini","Summer Football","Small"},C428)))&gt;0,"reduced",IF(SUMPRODUCT(--ISNUMBER(SEARCH({"Rugby","Football","League","Touch","Gaelic","Australian","Lacrosse","General Sport","Training Area","Ultimate"},C428)))&gt;0,"full","unknown"))))</f>
        <v/>
      </c>
      <c r="E428" s="9"/>
      <c r="F428" s="9"/>
      <c r="G428" s="9"/>
      <c r="H428" s="9"/>
      <c r="I428" s="12"/>
      <c r="J428" s="9"/>
      <c r="K428" s="9"/>
      <c r="L428" s="9"/>
      <c r="M428" s="9"/>
      <c r="N428" s="9"/>
      <c r="O428" s="13" t="str">
        <f aca="false">IF(C428="","",IF(N(M428)+N(N428)&lt;Settings!$C$9,"untested",M428/(M428+N428)))</f>
        <v/>
      </c>
      <c r="P428" s="9"/>
      <c r="Q428" s="9"/>
      <c r="R428" s="9"/>
      <c r="S428" s="12"/>
      <c r="T428" s="9"/>
      <c r="U428" s="9"/>
      <c r="V428" s="9"/>
      <c r="W428" s="10" t="str">
        <f aca="false">IF(C428="","",IF(OR(G428="training",G428="full"),"Yes",IF(G428="none","No","?")))</f>
        <v/>
      </c>
      <c r="X428" s="10" t="str">
        <f aca="false">IF(C428="","",IF(OR(E428="",E428="unknown"),D428,E428))</f>
        <v/>
      </c>
      <c r="Y428" s="10" t="str">
        <f aca="false">IF(C428="","",IF(OR(T428="unsuitable",T428="retired",X428="no"),"—",IF(J428="","unrated",IF(AND(X428="full",J428&gt;=Settings!$C$5,OR(O428="untested",O428&gt;=Settings!$C$6)),"A",IF(AND(OR(X428="full",X428="reduced"),J428&gt;=Settings!$C$7,OR(O428="untested",O428&gt;=Settings!$C$8)),"B","C")))))</f>
        <v/>
      </c>
      <c r="Z428" s="11" t="str">
        <f aca="false">IF(C428="","",IF(P428&lt;&gt;"",P428,Y428))</f>
        <v/>
      </c>
    </row>
    <row r="429" customFormat="false" ht="15" hidden="false" customHeight="false" outlineLevel="0" collapsed="false">
      <c r="A429" s="9"/>
      <c r="B429" s="10" t="str">
        <f aca="false">IF(A429="","",IFERROR(INDEX(Parks!$A$2:$A$255,MATCH(A429,Parks!$B$2:$B$255,0)),"?"))</f>
        <v/>
      </c>
      <c r="C429" s="9"/>
      <c r="D429" s="10" t="str">
        <f aca="false">IF(C429="","",IF(SUMPRODUCT(--ISNUMBER(SEARCH({"Nets","Wicket","Diamond","Softball","T-ball","Baseball","Netball","Tennis","Bocce","Pentaque","Petanque","Skate","Car Park","Pond","Bridle","Amphitheatre","Perimeter","Passive"},C429)))&gt;0,"no",IF(SUMPRODUCT(--ISNUMBER(SEARCH({"Cricket","Junior","Mini","Summer Football","Small"},C429)))&gt;0,"reduced",IF(SUMPRODUCT(--ISNUMBER(SEARCH({"Rugby","Football","League","Touch","Gaelic","Australian","Lacrosse","General Sport","Training Area","Ultimate"},C429)))&gt;0,"full","unknown"))))</f>
        <v/>
      </c>
      <c r="E429" s="9"/>
      <c r="F429" s="9"/>
      <c r="G429" s="9"/>
      <c r="H429" s="9"/>
      <c r="I429" s="12"/>
      <c r="J429" s="9"/>
      <c r="K429" s="9"/>
      <c r="L429" s="9"/>
      <c r="M429" s="9"/>
      <c r="N429" s="9"/>
      <c r="O429" s="13" t="str">
        <f aca="false">IF(C429="","",IF(N(M429)+N(N429)&lt;Settings!$C$9,"untested",M429/(M429+N429)))</f>
        <v/>
      </c>
      <c r="P429" s="9"/>
      <c r="Q429" s="9"/>
      <c r="R429" s="9"/>
      <c r="S429" s="12"/>
      <c r="T429" s="9"/>
      <c r="U429" s="9"/>
      <c r="V429" s="9"/>
      <c r="W429" s="10" t="str">
        <f aca="false">IF(C429="","",IF(OR(G429="training",G429="full"),"Yes",IF(G429="none","No","?")))</f>
        <v/>
      </c>
      <c r="X429" s="10" t="str">
        <f aca="false">IF(C429="","",IF(OR(E429="",E429="unknown"),D429,E429))</f>
        <v/>
      </c>
      <c r="Y429" s="10" t="str">
        <f aca="false">IF(C429="","",IF(OR(T429="unsuitable",T429="retired",X429="no"),"—",IF(J429="","unrated",IF(AND(X429="full",J429&gt;=Settings!$C$5,OR(O429="untested",O429&gt;=Settings!$C$6)),"A",IF(AND(OR(X429="full",X429="reduced"),J429&gt;=Settings!$C$7,OR(O429="untested",O429&gt;=Settings!$C$8)),"B","C")))))</f>
        <v/>
      </c>
      <c r="Z429" s="11" t="str">
        <f aca="false">IF(C429="","",IF(P429&lt;&gt;"",P429,Y429))</f>
        <v/>
      </c>
    </row>
    <row r="430" customFormat="false" ht="15" hidden="false" customHeight="false" outlineLevel="0" collapsed="false">
      <c r="A430" s="9"/>
      <c r="B430" s="10" t="str">
        <f aca="false">IF(A430="","",IFERROR(INDEX(Parks!$A$2:$A$255,MATCH(A430,Parks!$B$2:$B$255,0)),"?"))</f>
        <v/>
      </c>
      <c r="C430" s="9"/>
      <c r="D430" s="10" t="str">
        <f aca="false">IF(C430="","",IF(SUMPRODUCT(--ISNUMBER(SEARCH({"Nets","Wicket","Diamond","Softball","T-ball","Baseball","Netball","Tennis","Bocce","Pentaque","Petanque","Skate","Car Park","Pond","Bridle","Amphitheatre","Perimeter","Passive"},C430)))&gt;0,"no",IF(SUMPRODUCT(--ISNUMBER(SEARCH({"Cricket","Junior","Mini","Summer Football","Small"},C430)))&gt;0,"reduced",IF(SUMPRODUCT(--ISNUMBER(SEARCH({"Rugby","Football","League","Touch","Gaelic","Australian","Lacrosse","General Sport","Training Area","Ultimate"},C430)))&gt;0,"full","unknown"))))</f>
        <v/>
      </c>
      <c r="E430" s="9"/>
      <c r="F430" s="9"/>
      <c r="G430" s="9"/>
      <c r="H430" s="9"/>
      <c r="I430" s="12"/>
      <c r="J430" s="9"/>
      <c r="K430" s="9"/>
      <c r="L430" s="9"/>
      <c r="M430" s="9"/>
      <c r="N430" s="9"/>
      <c r="O430" s="13" t="str">
        <f aca="false">IF(C430="","",IF(N(M430)+N(N430)&lt;Settings!$C$9,"untested",M430/(M430+N430)))</f>
        <v/>
      </c>
      <c r="P430" s="9"/>
      <c r="Q430" s="9"/>
      <c r="R430" s="9"/>
      <c r="S430" s="12"/>
      <c r="T430" s="9"/>
      <c r="U430" s="9"/>
      <c r="V430" s="9"/>
      <c r="W430" s="10" t="str">
        <f aca="false">IF(C430="","",IF(OR(G430="training",G430="full"),"Yes",IF(G430="none","No","?")))</f>
        <v/>
      </c>
      <c r="X430" s="10" t="str">
        <f aca="false">IF(C430="","",IF(OR(E430="",E430="unknown"),D430,E430))</f>
        <v/>
      </c>
      <c r="Y430" s="10" t="str">
        <f aca="false">IF(C430="","",IF(OR(T430="unsuitable",T430="retired",X430="no"),"—",IF(J430="","unrated",IF(AND(X430="full",J430&gt;=Settings!$C$5,OR(O430="untested",O430&gt;=Settings!$C$6)),"A",IF(AND(OR(X430="full",X430="reduced"),J430&gt;=Settings!$C$7,OR(O430="untested",O430&gt;=Settings!$C$8)),"B","C")))))</f>
        <v/>
      </c>
      <c r="Z430" s="11" t="str">
        <f aca="false">IF(C430="","",IF(P430&lt;&gt;"",P430,Y430))</f>
        <v/>
      </c>
    </row>
    <row r="431" customFormat="false" ht="15" hidden="false" customHeight="false" outlineLevel="0" collapsed="false">
      <c r="A431" s="9"/>
      <c r="B431" s="10" t="str">
        <f aca="false">IF(A431="","",IFERROR(INDEX(Parks!$A$2:$A$255,MATCH(A431,Parks!$B$2:$B$255,0)),"?"))</f>
        <v/>
      </c>
      <c r="C431" s="9"/>
      <c r="D431" s="10" t="str">
        <f aca="false">IF(C431="","",IF(SUMPRODUCT(--ISNUMBER(SEARCH({"Nets","Wicket","Diamond","Softball","T-ball","Baseball","Netball","Tennis","Bocce","Pentaque","Petanque","Skate","Car Park","Pond","Bridle","Amphitheatre","Perimeter","Passive"},C431)))&gt;0,"no",IF(SUMPRODUCT(--ISNUMBER(SEARCH({"Cricket","Junior","Mini","Summer Football","Small"},C431)))&gt;0,"reduced",IF(SUMPRODUCT(--ISNUMBER(SEARCH({"Rugby","Football","League","Touch","Gaelic","Australian","Lacrosse","General Sport","Training Area","Ultimate"},C431)))&gt;0,"full","unknown"))))</f>
        <v/>
      </c>
      <c r="E431" s="9"/>
      <c r="F431" s="9"/>
      <c r="G431" s="9"/>
      <c r="H431" s="9"/>
      <c r="I431" s="12"/>
      <c r="J431" s="9"/>
      <c r="K431" s="9"/>
      <c r="L431" s="9"/>
      <c r="M431" s="9"/>
      <c r="N431" s="9"/>
      <c r="O431" s="13" t="str">
        <f aca="false">IF(C431="","",IF(N(M431)+N(N431)&lt;Settings!$C$9,"untested",M431/(M431+N431)))</f>
        <v/>
      </c>
      <c r="P431" s="9"/>
      <c r="Q431" s="9"/>
      <c r="R431" s="9"/>
      <c r="S431" s="12"/>
      <c r="T431" s="9"/>
      <c r="U431" s="9"/>
      <c r="V431" s="9"/>
      <c r="W431" s="10" t="str">
        <f aca="false">IF(C431="","",IF(OR(G431="training",G431="full"),"Yes",IF(G431="none","No","?")))</f>
        <v/>
      </c>
      <c r="X431" s="10" t="str">
        <f aca="false">IF(C431="","",IF(OR(E431="",E431="unknown"),D431,E431))</f>
        <v/>
      </c>
      <c r="Y431" s="10" t="str">
        <f aca="false">IF(C431="","",IF(OR(T431="unsuitable",T431="retired",X431="no"),"—",IF(J431="","unrated",IF(AND(X431="full",J431&gt;=Settings!$C$5,OR(O431="untested",O431&gt;=Settings!$C$6)),"A",IF(AND(OR(X431="full",X431="reduced"),J431&gt;=Settings!$C$7,OR(O431="untested",O431&gt;=Settings!$C$8)),"B","C")))))</f>
        <v/>
      </c>
      <c r="Z431" s="11" t="str">
        <f aca="false">IF(C431="","",IF(P431&lt;&gt;"",P431,Y431))</f>
        <v/>
      </c>
    </row>
    <row r="432" customFormat="false" ht="15" hidden="false" customHeight="false" outlineLevel="0" collapsed="false">
      <c r="A432" s="9"/>
      <c r="B432" s="10" t="str">
        <f aca="false">IF(A432="","",IFERROR(INDEX(Parks!$A$2:$A$255,MATCH(A432,Parks!$B$2:$B$255,0)),"?"))</f>
        <v/>
      </c>
      <c r="C432" s="9"/>
      <c r="D432" s="10" t="str">
        <f aca="false">IF(C432="","",IF(SUMPRODUCT(--ISNUMBER(SEARCH({"Nets","Wicket","Diamond","Softball","T-ball","Baseball","Netball","Tennis","Bocce","Pentaque","Petanque","Skate","Car Park","Pond","Bridle","Amphitheatre","Perimeter","Passive"},C432)))&gt;0,"no",IF(SUMPRODUCT(--ISNUMBER(SEARCH({"Cricket","Junior","Mini","Summer Football","Small"},C432)))&gt;0,"reduced",IF(SUMPRODUCT(--ISNUMBER(SEARCH({"Rugby","Football","League","Touch","Gaelic","Australian","Lacrosse","General Sport","Training Area","Ultimate"},C432)))&gt;0,"full","unknown"))))</f>
        <v/>
      </c>
      <c r="E432" s="9"/>
      <c r="F432" s="9"/>
      <c r="G432" s="9"/>
      <c r="H432" s="9"/>
      <c r="I432" s="12"/>
      <c r="J432" s="9"/>
      <c r="K432" s="9"/>
      <c r="L432" s="9"/>
      <c r="M432" s="9"/>
      <c r="N432" s="9"/>
      <c r="O432" s="13" t="str">
        <f aca="false">IF(C432="","",IF(N(M432)+N(N432)&lt;Settings!$C$9,"untested",M432/(M432+N432)))</f>
        <v/>
      </c>
      <c r="P432" s="9"/>
      <c r="Q432" s="9"/>
      <c r="R432" s="9"/>
      <c r="S432" s="12"/>
      <c r="T432" s="9"/>
      <c r="U432" s="9"/>
      <c r="V432" s="9"/>
      <c r="W432" s="10" t="str">
        <f aca="false">IF(C432="","",IF(OR(G432="training",G432="full"),"Yes",IF(G432="none","No","?")))</f>
        <v/>
      </c>
      <c r="X432" s="10" t="str">
        <f aca="false">IF(C432="","",IF(OR(E432="",E432="unknown"),D432,E432))</f>
        <v/>
      </c>
      <c r="Y432" s="10" t="str">
        <f aca="false">IF(C432="","",IF(OR(T432="unsuitable",T432="retired",X432="no"),"—",IF(J432="","unrated",IF(AND(X432="full",J432&gt;=Settings!$C$5,OR(O432="untested",O432&gt;=Settings!$C$6)),"A",IF(AND(OR(X432="full",X432="reduced"),J432&gt;=Settings!$C$7,OR(O432="untested",O432&gt;=Settings!$C$8)),"B","C")))))</f>
        <v/>
      </c>
      <c r="Z432" s="11" t="str">
        <f aca="false">IF(C432="","",IF(P432&lt;&gt;"",P432,Y432))</f>
        <v/>
      </c>
    </row>
    <row r="433" customFormat="false" ht="15" hidden="false" customHeight="false" outlineLevel="0" collapsed="false">
      <c r="A433" s="9"/>
      <c r="B433" s="10" t="str">
        <f aca="false">IF(A433="","",IFERROR(INDEX(Parks!$A$2:$A$255,MATCH(A433,Parks!$B$2:$B$255,0)),"?"))</f>
        <v/>
      </c>
      <c r="C433" s="9"/>
      <c r="D433" s="10" t="str">
        <f aca="false">IF(C433="","",IF(SUMPRODUCT(--ISNUMBER(SEARCH({"Nets","Wicket","Diamond","Softball","T-ball","Baseball","Netball","Tennis","Bocce","Pentaque","Petanque","Skate","Car Park","Pond","Bridle","Amphitheatre","Perimeter","Passive"},C433)))&gt;0,"no",IF(SUMPRODUCT(--ISNUMBER(SEARCH({"Cricket","Junior","Mini","Summer Football","Small"},C433)))&gt;0,"reduced",IF(SUMPRODUCT(--ISNUMBER(SEARCH({"Rugby","Football","League","Touch","Gaelic","Australian","Lacrosse","General Sport","Training Area","Ultimate"},C433)))&gt;0,"full","unknown"))))</f>
        <v/>
      </c>
      <c r="E433" s="9"/>
      <c r="F433" s="9"/>
      <c r="G433" s="9"/>
      <c r="H433" s="9"/>
      <c r="I433" s="12"/>
      <c r="J433" s="9"/>
      <c r="K433" s="9"/>
      <c r="L433" s="9"/>
      <c r="M433" s="9"/>
      <c r="N433" s="9"/>
      <c r="O433" s="13" t="str">
        <f aca="false">IF(C433="","",IF(N(M433)+N(N433)&lt;Settings!$C$9,"untested",M433/(M433+N433)))</f>
        <v/>
      </c>
      <c r="P433" s="9"/>
      <c r="Q433" s="9"/>
      <c r="R433" s="9"/>
      <c r="S433" s="12"/>
      <c r="T433" s="9"/>
      <c r="U433" s="9"/>
      <c r="V433" s="9"/>
      <c r="W433" s="10" t="str">
        <f aca="false">IF(C433="","",IF(OR(G433="training",G433="full"),"Yes",IF(G433="none","No","?")))</f>
        <v/>
      </c>
      <c r="X433" s="10" t="str">
        <f aca="false">IF(C433="","",IF(OR(E433="",E433="unknown"),D433,E433))</f>
        <v/>
      </c>
      <c r="Y433" s="10" t="str">
        <f aca="false">IF(C433="","",IF(OR(T433="unsuitable",T433="retired",X433="no"),"—",IF(J433="","unrated",IF(AND(X433="full",J433&gt;=Settings!$C$5,OR(O433="untested",O433&gt;=Settings!$C$6)),"A",IF(AND(OR(X433="full",X433="reduced"),J433&gt;=Settings!$C$7,OR(O433="untested",O433&gt;=Settings!$C$8)),"B","C")))))</f>
        <v/>
      </c>
      <c r="Z433" s="11" t="str">
        <f aca="false">IF(C433="","",IF(P433&lt;&gt;"",P433,Y433))</f>
        <v/>
      </c>
    </row>
    <row r="434" customFormat="false" ht="15" hidden="false" customHeight="false" outlineLevel="0" collapsed="false">
      <c r="A434" s="9"/>
      <c r="B434" s="10" t="str">
        <f aca="false">IF(A434="","",IFERROR(INDEX(Parks!$A$2:$A$255,MATCH(A434,Parks!$B$2:$B$255,0)),"?"))</f>
        <v/>
      </c>
      <c r="C434" s="9"/>
      <c r="D434" s="10" t="str">
        <f aca="false">IF(C434="","",IF(SUMPRODUCT(--ISNUMBER(SEARCH({"Nets","Wicket","Diamond","Softball","T-ball","Baseball","Netball","Tennis","Bocce","Pentaque","Petanque","Skate","Car Park","Pond","Bridle","Amphitheatre","Perimeter","Passive"},C434)))&gt;0,"no",IF(SUMPRODUCT(--ISNUMBER(SEARCH({"Cricket","Junior","Mini","Summer Football","Small"},C434)))&gt;0,"reduced",IF(SUMPRODUCT(--ISNUMBER(SEARCH({"Rugby","Football","League","Touch","Gaelic","Australian","Lacrosse","General Sport","Training Area","Ultimate"},C434)))&gt;0,"full","unknown"))))</f>
        <v/>
      </c>
      <c r="E434" s="9"/>
      <c r="F434" s="9"/>
      <c r="G434" s="9"/>
      <c r="H434" s="9"/>
      <c r="I434" s="12"/>
      <c r="J434" s="9"/>
      <c r="K434" s="9"/>
      <c r="L434" s="9"/>
      <c r="M434" s="9"/>
      <c r="N434" s="9"/>
      <c r="O434" s="13" t="str">
        <f aca="false">IF(C434="","",IF(N(M434)+N(N434)&lt;Settings!$C$9,"untested",M434/(M434+N434)))</f>
        <v/>
      </c>
      <c r="P434" s="9"/>
      <c r="Q434" s="9"/>
      <c r="R434" s="9"/>
      <c r="S434" s="12"/>
      <c r="T434" s="9"/>
      <c r="U434" s="9"/>
      <c r="V434" s="9"/>
      <c r="W434" s="10" t="str">
        <f aca="false">IF(C434="","",IF(OR(G434="training",G434="full"),"Yes",IF(G434="none","No","?")))</f>
        <v/>
      </c>
      <c r="X434" s="10" t="str">
        <f aca="false">IF(C434="","",IF(OR(E434="",E434="unknown"),D434,E434))</f>
        <v/>
      </c>
      <c r="Y434" s="10" t="str">
        <f aca="false">IF(C434="","",IF(OR(T434="unsuitable",T434="retired",X434="no"),"—",IF(J434="","unrated",IF(AND(X434="full",J434&gt;=Settings!$C$5,OR(O434="untested",O434&gt;=Settings!$C$6)),"A",IF(AND(OR(X434="full",X434="reduced"),J434&gt;=Settings!$C$7,OR(O434="untested",O434&gt;=Settings!$C$8)),"B","C")))))</f>
        <v/>
      </c>
      <c r="Z434" s="11" t="str">
        <f aca="false">IF(C434="","",IF(P434&lt;&gt;"",P434,Y434))</f>
        <v/>
      </c>
    </row>
    <row r="435" customFormat="false" ht="15" hidden="false" customHeight="false" outlineLevel="0" collapsed="false">
      <c r="A435" s="9"/>
      <c r="B435" s="10" t="str">
        <f aca="false">IF(A435="","",IFERROR(INDEX(Parks!$A$2:$A$255,MATCH(A435,Parks!$B$2:$B$255,0)),"?"))</f>
        <v/>
      </c>
      <c r="C435" s="9"/>
      <c r="D435" s="10" t="str">
        <f aca="false">IF(C435="","",IF(SUMPRODUCT(--ISNUMBER(SEARCH({"Nets","Wicket","Diamond","Softball","T-ball","Baseball","Netball","Tennis","Bocce","Pentaque","Petanque","Skate","Car Park","Pond","Bridle","Amphitheatre","Perimeter","Passive"},C435)))&gt;0,"no",IF(SUMPRODUCT(--ISNUMBER(SEARCH({"Cricket","Junior","Mini","Summer Football","Small"},C435)))&gt;0,"reduced",IF(SUMPRODUCT(--ISNUMBER(SEARCH({"Rugby","Football","League","Touch","Gaelic","Australian","Lacrosse","General Sport","Training Area","Ultimate"},C435)))&gt;0,"full","unknown"))))</f>
        <v/>
      </c>
      <c r="E435" s="9"/>
      <c r="F435" s="9"/>
      <c r="G435" s="9"/>
      <c r="H435" s="9"/>
      <c r="I435" s="12"/>
      <c r="J435" s="9"/>
      <c r="K435" s="9"/>
      <c r="L435" s="9"/>
      <c r="M435" s="9"/>
      <c r="N435" s="9"/>
      <c r="O435" s="13" t="str">
        <f aca="false">IF(C435="","",IF(N(M435)+N(N435)&lt;Settings!$C$9,"untested",M435/(M435+N435)))</f>
        <v/>
      </c>
      <c r="P435" s="9"/>
      <c r="Q435" s="9"/>
      <c r="R435" s="9"/>
      <c r="S435" s="12"/>
      <c r="T435" s="9"/>
      <c r="U435" s="9"/>
      <c r="V435" s="9"/>
      <c r="W435" s="10" t="str">
        <f aca="false">IF(C435="","",IF(OR(G435="training",G435="full"),"Yes",IF(G435="none","No","?")))</f>
        <v/>
      </c>
      <c r="X435" s="10" t="str">
        <f aca="false">IF(C435="","",IF(OR(E435="",E435="unknown"),D435,E435))</f>
        <v/>
      </c>
      <c r="Y435" s="10" t="str">
        <f aca="false">IF(C435="","",IF(OR(T435="unsuitable",T435="retired",X435="no"),"—",IF(J435="","unrated",IF(AND(X435="full",J435&gt;=Settings!$C$5,OR(O435="untested",O435&gt;=Settings!$C$6)),"A",IF(AND(OR(X435="full",X435="reduced"),J435&gt;=Settings!$C$7,OR(O435="untested",O435&gt;=Settings!$C$8)),"B","C")))))</f>
        <v/>
      </c>
      <c r="Z435" s="11" t="str">
        <f aca="false">IF(C435="","",IF(P435&lt;&gt;"",P435,Y435))</f>
        <v/>
      </c>
    </row>
    <row r="436" customFormat="false" ht="15" hidden="false" customHeight="false" outlineLevel="0" collapsed="false">
      <c r="A436" s="9"/>
      <c r="B436" s="10" t="str">
        <f aca="false">IF(A436="","",IFERROR(INDEX(Parks!$A$2:$A$255,MATCH(A436,Parks!$B$2:$B$255,0)),"?"))</f>
        <v/>
      </c>
      <c r="C436" s="9"/>
      <c r="D436" s="10" t="str">
        <f aca="false">IF(C436="","",IF(SUMPRODUCT(--ISNUMBER(SEARCH({"Nets","Wicket","Diamond","Softball","T-ball","Baseball","Netball","Tennis","Bocce","Pentaque","Petanque","Skate","Car Park","Pond","Bridle","Amphitheatre","Perimeter","Passive"},C436)))&gt;0,"no",IF(SUMPRODUCT(--ISNUMBER(SEARCH({"Cricket","Junior","Mini","Summer Football","Small"},C436)))&gt;0,"reduced",IF(SUMPRODUCT(--ISNUMBER(SEARCH({"Rugby","Football","League","Touch","Gaelic","Australian","Lacrosse","General Sport","Training Area","Ultimate"},C436)))&gt;0,"full","unknown"))))</f>
        <v/>
      </c>
      <c r="E436" s="9"/>
      <c r="F436" s="9"/>
      <c r="G436" s="9"/>
      <c r="H436" s="9"/>
      <c r="I436" s="12"/>
      <c r="J436" s="9"/>
      <c r="K436" s="9"/>
      <c r="L436" s="9"/>
      <c r="M436" s="9"/>
      <c r="N436" s="9"/>
      <c r="O436" s="13" t="str">
        <f aca="false">IF(C436="","",IF(N(M436)+N(N436)&lt;Settings!$C$9,"untested",M436/(M436+N436)))</f>
        <v/>
      </c>
      <c r="P436" s="9"/>
      <c r="Q436" s="9"/>
      <c r="R436" s="9"/>
      <c r="S436" s="12"/>
      <c r="T436" s="9"/>
      <c r="U436" s="9"/>
      <c r="V436" s="9"/>
      <c r="W436" s="10" t="str">
        <f aca="false">IF(C436="","",IF(OR(G436="training",G436="full"),"Yes",IF(G436="none","No","?")))</f>
        <v/>
      </c>
      <c r="X436" s="10" t="str">
        <f aca="false">IF(C436="","",IF(OR(E436="",E436="unknown"),D436,E436))</f>
        <v/>
      </c>
      <c r="Y436" s="10" t="str">
        <f aca="false">IF(C436="","",IF(OR(T436="unsuitable",T436="retired",X436="no"),"—",IF(J436="","unrated",IF(AND(X436="full",J436&gt;=Settings!$C$5,OR(O436="untested",O436&gt;=Settings!$C$6)),"A",IF(AND(OR(X436="full",X436="reduced"),J436&gt;=Settings!$C$7,OR(O436="untested",O436&gt;=Settings!$C$8)),"B","C")))))</f>
        <v/>
      </c>
      <c r="Z436" s="11" t="str">
        <f aca="false">IF(C436="","",IF(P436&lt;&gt;"",P436,Y436))</f>
        <v/>
      </c>
    </row>
    <row r="437" customFormat="false" ht="15" hidden="false" customHeight="false" outlineLevel="0" collapsed="false">
      <c r="A437" s="9"/>
      <c r="B437" s="10" t="str">
        <f aca="false">IF(A437="","",IFERROR(INDEX(Parks!$A$2:$A$255,MATCH(A437,Parks!$B$2:$B$255,0)),"?"))</f>
        <v/>
      </c>
      <c r="C437" s="9"/>
      <c r="D437" s="10" t="str">
        <f aca="false">IF(C437="","",IF(SUMPRODUCT(--ISNUMBER(SEARCH({"Nets","Wicket","Diamond","Softball","T-ball","Baseball","Netball","Tennis","Bocce","Pentaque","Petanque","Skate","Car Park","Pond","Bridle","Amphitheatre","Perimeter","Passive"},C437)))&gt;0,"no",IF(SUMPRODUCT(--ISNUMBER(SEARCH({"Cricket","Junior","Mini","Summer Football","Small"},C437)))&gt;0,"reduced",IF(SUMPRODUCT(--ISNUMBER(SEARCH({"Rugby","Football","League","Touch","Gaelic","Australian","Lacrosse","General Sport","Training Area","Ultimate"},C437)))&gt;0,"full","unknown"))))</f>
        <v/>
      </c>
      <c r="E437" s="9"/>
      <c r="F437" s="9"/>
      <c r="G437" s="9"/>
      <c r="H437" s="9"/>
      <c r="I437" s="12"/>
      <c r="J437" s="9"/>
      <c r="K437" s="9"/>
      <c r="L437" s="9"/>
      <c r="M437" s="9"/>
      <c r="N437" s="9"/>
      <c r="O437" s="13" t="str">
        <f aca="false">IF(C437="","",IF(N(M437)+N(N437)&lt;Settings!$C$9,"untested",M437/(M437+N437)))</f>
        <v/>
      </c>
      <c r="P437" s="9"/>
      <c r="Q437" s="9"/>
      <c r="R437" s="9"/>
      <c r="S437" s="12"/>
      <c r="T437" s="9"/>
      <c r="U437" s="9"/>
      <c r="V437" s="9"/>
      <c r="W437" s="10" t="str">
        <f aca="false">IF(C437="","",IF(OR(G437="training",G437="full"),"Yes",IF(G437="none","No","?")))</f>
        <v/>
      </c>
      <c r="X437" s="10" t="str">
        <f aca="false">IF(C437="","",IF(OR(E437="",E437="unknown"),D437,E437))</f>
        <v/>
      </c>
      <c r="Y437" s="10" t="str">
        <f aca="false">IF(C437="","",IF(OR(T437="unsuitable",T437="retired",X437="no"),"—",IF(J437="","unrated",IF(AND(X437="full",J437&gt;=Settings!$C$5,OR(O437="untested",O437&gt;=Settings!$C$6)),"A",IF(AND(OR(X437="full",X437="reduced"),J437&gt;=Settings!$C$7,OR(O437="untested",O437&gt;=Settings!$C$8)),"B","C")))))</f>
        <v/>
      </c>
      <c r="Z437" s="11" t="str">
        <f aca="false">IF(C437="","",IF(P437&lt;&gt;"",P437,Y437))</f>
        <v/>
      </c>
    </row>
    <row r="438" customFormat="false" ht="15" hidden="false" customHeight="false" outlineLevel="0" collapsed="false">
      <c r="A438" s="9"/>
      <c r="B438" s="10" t="str">
        <f aca="false">IF(A438="","",IFERROR(INDEX(Parks!$A$2:$A$255,MATCH(A438,Parks!$B$2:$B$255,0)),"?"))</f>
        <v/>
      </c>
      <c r="C438" s="9"/>
      <c r="D438" s="10" t="str">
        <f aca="false">IF(C438="","",IF(SUMPRODUCT(--ISNUMBER(SEARCH({"Nets","Wicket","Diamond","Softball","T-ball","Baseball","Netball","Tennis","Bocce","Pentaque","Petanque","Skate","Car Park","Pond","Bridle","Amphitheatre","Perimeter","Passive"},C438)))&gt;0,"no",IF(SUMPRODUCT(--ISNUMBER(SEARCH({"Cricket","Junior","Mini","Summer Football","Small"},C438)))&gt;0,"reduced",IF(SUMPRODUCT(--ISNUMBER(SEARCH({"Rugby","Football","League","Touch","Gaelic","Australian","Lacrosse","General Sport","Training Area","Ultimate"},C438)))&gt;0,"full","unknown"))))</f>
        <v/>
      </c>
      <c r="E438" s="9"/>
      <c r="F438" s="9"/>
      <c r="G438" s="9"/>
      <c r="H438" s="9"/>
      <c r="I438" s="12"/>
      <c r="J438" s="9"/>
      <c r="K438" s="9"/>
      <c r="L438" s="9"/>
      <c r="M438" s="9"/>
      <c r="N438" s="9"/>
      <c r="O438" s="13" t="str">
        <f aca="false">IF(C438="","",IF(N(M438)+N(N438)&lt;Settings!$C$9,"untested",M438/(M438+N438)))</f>
        <v/>
      </c>
      <c r="P438" s="9"/>
      <c r="Q438" s="9"/>
      <c r="R438" s="9"/>
      <c r="S438" s="12"/>
      <c r="T438" s="9"/>
      <c r="U438" s="9"/>
      <c r="V438" s="9"/>
      <c r="W438" s="10" t="str">
        <f aca="false">IF(C438="","",IF(OR(G438="training",G438="full"),"Yes",IF(G438="none","No","?")))</f>
        <v/>
      </c>
      <c r="X438" s="10" t="str">
        <f aca="false">IF(C438="","",IF(OR(E438="",E438="unknown"),D438,E438))</f>
        <v/>
      </c>
      <c r="Y438" s="10" t="str">
        <f aca="false">IF(C438="","",IF(OR(T438="unsuitable",T438="retired",X438="no"),"—",IF(J438="","unrated",IF(AND(X438="full",J438&gt;=Settings!$C$5,OR(O438="untested",O438&gt;=Settings!$C$6)),"A",IF(AND(OR(X438="full",X438="reduced"),J438&gt;=Settings!$C$7,OR(O438="untested",O438&gt;=Settings!$C$8)),"B","C")))))</f>
        <v/>
      </c>
      <c r="Z438" s="11" t="str">
        <f aca="false">IF(C438="","",IF(P438&lt;&gt;"",P438,Y438))</f>
        <v/>
      </c>
    </row>
    <row r="439" customFormat="false" ht="15" hidden="false" customHeight="false" outlineLevel="0" collapsed="false">
      <c r="A439" s="9"/>
      <c r="B439" s="10" t="str">
        <f aca="false">IF(A439="","",IFERROR(INDEX(Parks!$A$2:$A$255,MATCH(A439,Parks!$B$2:$B$255,0)),"?"))</f>
        <v/>
      </c>
      <c r="C439" s="9"/>
      <c r="D439" s="10" t="str">
        <f aca="false">IF(C439="","",IF(SUMPRODUCT(--ISNUMBER(SEARCH({"Nets","Wicket","Diamond","Softball","T-ball","Baseball","Netball","Tennis","Bocce","Pentaque","Petanque","Skate","Car Park","Pond","Bridle","Amphitheatre","Perimeter","Passive"},C439)))&gt;0,"no",IF(SUMPRODUCT(--ISNUMBER(SEARCH({"Cricket","Junior","Mini","Summer Football","Small"},C439)))&gt;0,"reduced",IF(SUMPRODUCT(--ISNUMBER(SEARCH({"Rugby","Football","League","Touch","Gaelic","Australian","Lacrosse","General Sport","Training Area","Ultimate"},C439)))&gt;0,"full","unknown"))))</f>
        <v/>
      </c>
      <c r="E439" s="9"/>
      <c r="F439" s="9"/>
      <c r="G439" s="9"/>
      <c r="H439" s="9"/>
      <c r="I439" s="12"/>
      <c r="J439" s="9"/>
      <c r="K439" s="9"/>
      <c r="L439" s="9"/>
      <c r="M439" s="9"/>
      <c r="N439" s="9"/>
      <c r="O439" s="13" t="str">
        <f aca="false">IF(C439="","",IF(N(M439)+N(N439)&lt;Settings!$C$9,"untested",M439/(M439+N439)))</f>
        <v/>
      </c>
      <c r="P439" s="9"/>
      <c r="Q439" s="9"/>
      <c r="R439" s="9"/>
      <c r="S439" s="12"/>
      <c r="T439" s="9"/>
      <c r="U439" s="9"/>
      <c r="V439" s="9"/>
      <c r="W439" s="10" t="str">
        <f aca="false">IF(C439="","",IF(OR(G439="training",G439="full"),"Yes",IF(G439="none","No","?")))</f>
        <v/>
      </c>
      <c r="X439" s="10" t="str">
        <f aca="false">IF(C439="","",IF(OR(E439="",E439="unknown"),D439,E439))</f>
        <v/>
      </c>
      <c r="Y439" s="10" t="str">
        <f aca="false">IF(C439="","",IF(OR(T439="unsuitable",T439="retired",X439="no"),"—",IF(J439="","unrated",IF(AND(X439="full",J439&gt;=Settings!$C$5,OR(O439="untested",O439&gt;=Settings!$C$6)),"A",IF(AND(OR(X439="full",X439="reduced"),J439&gt;=Settings!$C$7,OR(O439="untested",O439&gt;=Settings!$C$8)),"B","C")))))</f>
        <v/>
      </c>
      <c r="Z439" s="11" t="str">
        <f aca="false">IF(C439="","",IF(P439&lt;&gt;"",P439,Y439))</f>
        <v/>
      </c>
    </row>
    <row r="440" customFormat="false" ht="15" hidden="false" customHeight="false" outlineLevel="0" collapsed="false">
      <c r="A440" s="9"/>
      <c r="B440" s="10" t="str">
        <f aca="false">IF(A440="","",IFERROR(INDEX(Parks!$A$2:$A$255,MATCH(A440,Parks!$B$2:$B$255,0)),"?"))</f>
        <v/>
      </c>
      <c r="C440" s="9"/>
      <c r="D440" s="10" t="str">
        <f aca="false">IF(C440="","",IF(SUMPRODUCT(--ISNUMBER(SEARCH({"Nets","Wicket","Diamond","Softball","T-ball","Baseball","Netball","Tennis","Bocce","Pentaque","Petanque","Skate","Car Park","Pond","Bridle","Amphitheatre","Perimeter","Passive"},C440)))&gt;0,"no",IF(SUMPRODUCT(--ISNUMBER(SEARCH({"Cricket","Junior","Mini","Summer Football","Small"},C440)))&gt;0,"reduced",IF(SUMPRODUCT(--ISNUMBER(SEARCH({"Rugby","Football","League","Touch","Gaelic","Australian","Lacrosse","General Sport","Training Area","Ultimate"},C440)))&gt;0,"full","unknown"))))</f>
        <v/>
      </c>
      <c r="E440" s="9"/>
      <c r="F440" s="9"/>
      <c r="G440" s="9"/>
      <c r="H440" s="9"/>
      <c r="I440" s="12"/>
      <c r="J440" s="9"/>
      <c r="K440" s="9"/>
      <c r="L440" s="9"/>
      <c r="M440" s="9"/>
      <c r="N440" s="9"/>
      <c r="O440" s="13" t="str">
        <f aca="false">IF(C440="","",IF(N(M440)+N(N440)&lt;Settings!$C$9,"untested",M440/(M440+N440)))</f>
        <v/>
      </c>
      <c r="P440" s="9"/>
      <c r="Q440" s="9"/>
      <c r="R440" s="9"/>
      <c r="S440" s="12"/>
      <c r="T440" s="9"/>
      <c r="U440" s="9"/>
      <c r="V440" s="9"/>
      <c r="W440" s="10" t="str">
        <f aca="false">IF(C440="","",IF(OR(G440="training",G440="full"),"Yes",IF(G440="none","No","?")))</f>
        <v/>
      </c>
      <c r="X440" s="10" t="str">
        <f aca="false">IF(C440="","",IF(OR(E440="",E440="unknown"),D440,E440))</f>
        <v/>
      </c>
      <c r="Y440" s="10" t="str">
        <f aca="false">IF(C440="","",IF(OR(T440="unsuitable",T440="retired",X440="no"),"—",IF(J440="","unrated",IF(AND(X440="full",J440&gt;=Settings!$C$5,OR(O440="untested",O440&gt;=Settings!$C$6)),"A",IF(AND(OR(X440="full",X440="reduced"),J440&gt;=Settings!$C$7,OR(O440="untested",O440&gt;=Settings!$C$8)),"B","C")))))</f>
        <v/>
      </c>
      <c r="Z440" s="11" t="str">
        <f aca="false">IF(C440="","",IF(P440&lt;&gt;"",P440,Y440))</f>
        <v/>
      </c>
    </row>
    <row r="441" customFormat="false" ht="15" hidden="false" customHeight="false" outlineLevel="0" collapsed="false">
      <c r="A441" s="9"/>
      <c r="B441" s="10" t="str">
        <f aca="false">IF(A441="","",IFERROR(INDEX(Parks!$A$2:$A$255,MATCH(A441,Parks!$B$2:$B$255,0)),"?"))</f>
        <v/>
      </c>
      <c r="C441" s="9"/>
      <c r="D441" s="10" t="str">
        <f aca="false">IF(C441="","",IF(SUMPRODUCT(--ISNUMBER(SEARCH({"Nets","Wicket","Diamond","Softball","T-ball","Baseball","Netball","Tennis","Bocce","Pentaque","Petanque","Skate","Car Park","Pond","Bridle","Amphitheatre","Perimeter","Passive"},C441)))&gt;0,"no",IF(SUMPRODUCT(--ISNUMBER(SEARCH({"Cricket","Junior","Mini","Summer Football","Small"},C441)))&gt;0,"reduced",IF(SUMPRODUCT(--ISNUMBER(SEARCH({"Rugby","Football","League","Touch","Gaelic","Australian","Lacrosse","General Sport","Training Area","Ultimate"},C441)))&gt;0,"full","unknown"))))</f>
        <v/>
      </c>
      <c r="E441" s="9"/>
      <c r="F441" s="9"/>
      <c r="G441" s="9"/>
      <c r="H441" s="9"/>
      <c r="I441" s="12"/>
      <c r="J441" s="9"/>
      <c r="K441" s="9"/>
      <c r="L441" s="9"/>
      <c r="M441" s="9"/>
      <c r="N441" s="9"/>
      <c r="O441" s="13" t="str">
        <f aca="false">IF(C441="","",IF(N(M441)+N(N441)&lt;Settings!$C$9,"untested",M441/(M441+N441)))</f>
        <v/>
      </c>
      <c r="P441" s="9"/>
      <c r="Q441" s="9"/>
      <c r="R441" s="9"/>
      <c r="S441" s="12"/>
      <c r="T441" s="9"/>
      <c r="U441" s="9"/>
      <c r="V441" s="9"/>
      <c r="W441" s="10" t="str">
        <f aca="false">IF(C441="","",IF(OR(G441="training",G441="full"),"Yes",IF(G441="none","No","?")))</f>
        <v/>
      </c>
      <c r="X441" s="10" t="str">
        <f aca="false">IF(C441="","",IF(OR(E441="",E441="unknown"),D441,E441))</f>
        <v/>
      </c>
      <c r="Y441" s="10" t="str">
        <f aca="false">IF(C441="","",IF(OR(T441="unsuitable",T441="retired",X441="no"),"—",IF(J441="","unrated",IF(AND(X441="full",J441&gt;=Settings!$C$5,OR(O441="untested",O441&gt;=Settings!$C$6)),"A",IF(AND(OR(X441="full",X441="reduced"),J441&gt;=Settings!$C$7,OR(O441="untested",O441&gt;=Settings!$C$8)),"B","C")))))</f>
        <v/>
      </c>
      <c r="Z441" s="11" t="str">
        <f aca="false">IF(C441="","",IF(P441&lt;&gt;"",P441,Y441))</f>
        <v/>
      </c>
    </row>
    <row r="442" customFormat="false" ht="15" hidden="false" customHeight="false" outlineLevel="0" collapsed="false">
      <c r="A442" s="9"/>
      <c r="B442" s="10" t="str">
        <f aca="false">IF(A442="","",IFERROR(INDEX(Parks!$A$2:$A$255,MATCH(A442,Parks!$B$2:$B$255,0)),"?"))</f>
        <v/>
      </c>
      <c r="C442" s="9"/>
      <c r="D442" s="10" t="str">
        <f aca="false">IF(C442="","",IF(SUMPRODUCT(--ISNUMBER(SEARCH({"Nets","Wicket","Diamond","Softball","T-ball","Baseball","Netball","Tennis","Bocce","Pentaque","Petanque","Skate","Car Park","Pond","Bridle","Amphitheatre","Perimeter","Passive"},C442)))&gt;0,"no",IF(SUMPRODUCT(--ISNUMBER(SEARCH({"Cricket","Junior","Mini","Summer Football","Small"},C442)))&gt;0,"reduced",IF(SUMPRODUCT(--ISNUMBER(SEARCH({"Rugby","Football","League","Touch","Gaelic","Australian","Lacrosse","General Sport","Training Area","Ultimate"},C442)))&gt;0,"full","unknown"))))</f>
        <v/>
      </c>
      <c r="E442" s="9"/>
      <c r="F442" s="9"/>
      <c r="G442" s="9"/>
      <c r="H442" s="9"/>
      <c r="I442" s="12"/>
      <c r="J442" s="9"/>
      <c r="K442" s="9"/>
      <c r="L442" s="9"/>
      <c r="M442" s="9"/>
      <c r="N442" s="9"/>
      <c r="O442" s="13" t="str">
        <f aca="false">IF(C442="","",IF(N(M442)+N(N442)&lt;Settings!$C$9,"untested",M442/(M442+N442)))</f>
        <v/>
      </c>
      <c r="P442" s="9"/>
      <c r="Q442" s="9"/>
      <c r="R442" s="9"/>
      <c r="S442" s="12"/>
      <c r="T442" s="9"/>
      <c r="U442" s="9"/>
      <c r="V442" s="9"/>
      <c r="W442" s="10" t="str">
        <f aca="false">IF(C442="","",IF(OR(G442="training",G442="full"),"Yes",IF(G442="none","No","?")))</f>
        <v/>
      </c>
      <c r="X442" s="10" t="str">
        <f aca="false">IF(C442="","",IF(OR(E442="",E442="unknown"),D442,E442))</f>
        <v/>
      </c>
      <c r="Y442" s="10" t="str">
        <f aca="false">IF(C442="","",IF(OR(T442="unsuitable",T442="retired",X442="no"),"—",IF(J442="","unrated",IF(AND(X442="full",J442&gt;=Settings!$C$5,OR(O442="untested",O442&gt;=Settings!$C$6)),"A",IF(AND(OR(X442="full",X442="reduced"),J442&gt;=Settings!$C$7,OR(O442="untested",O442&gt;=Settings!$C$8)),"B","C")))))</f>
        <v/>
      </c>
      <c r="Z442" s="11" t="str">
        <f aca="false">IF(C442="","",IF(P442&lt;&gt;"",P442,Y442))</f>
        <v/>
      </c>
    </row>
    <row r="443" customFormat="false" ht="15" hidden="false" customHeight="false" outlineLevel="0" collapsed="false">
      <c r="A443" s="9"/>
      <c r="B443" s="10" t="str">
        <f aca="false">IF(A443="","",IFERROR(INDEX(Parks!$A$2:$A$255,MATCH(A443,Parks!$B$2:$B$255,0)),"?"))</f>
        <v/>
      </c>
      <c r="C443" s="9"/>
      <c r="D443" s="10" t="str">
        <f aca="false">IF(C443="","",IF(SUMPRODUCT(--ISNUMBER(SEARCH({"Nets","Wicket","Diamond","Softball","T-ball","Baseball","Netball","Tennis","Bocce","Pentaque","Petanque","Skate","Car Park","Pond","Bridle","Amphitheatre","Perimeter","Passive"},C443)))&gt;0,"no",IF(SUMPRODUCT(--ISNUMBER(SEARCH({"Cricket","Junior","Mini","Summer Football","Small"},C443)))&gt;0,"reduced",IF(SUMPRODUCT(--ISNUMBER(SEARCH({"Rugby","Football","League","Touch","Gaelic","Australian","Lacrosse","General Sport","Training Area","Ultimate"},C443)))&gt;0,"full","unknown"))))</f>
        <v/>
      </c>
      <c r="E443" s="9"/>
      <c r="F443" s="9"/>
      <c r="G443" s="9"/>
      <c r="H443" s="9"/>
      <c r="I443" s="12"/>
      <c r="J443" s="9"/>
      <c r="K443" s="9"/>
      <c r="L443" s="9"/>
      <c r="M443" s="9"/>
      <c r="N443" s="9"/>
      <c r="O443" s="13" t="str">
        <f aca="false">IF(C443="","",IF(N(M443)+N(N443)&lt;Settings!$C$9,"untested",M443/(M443+N443)))</f>
        <v/>
      </c>
      <c r="P443" s="9"/>
      <c r="Q443" s="9"/>
      <c r="R443" s="9"/>
      <c r="S443" s="12"/>
      <c r="T443" s="9"/>
      <c r="U443" s="9"/>
      <c r="V443" s="9"/>
      <c r="W443" s="10" t="str">
        <f aca="false">IF(C443="","",IF(OR(G443="training",G443="full"),"Yes",IF(G443="none","No","?")))</f>
        <v/>
      </c>
      <c r="X443" s="10" t="str">
        <f aca="false">IF(C443="","",IF(OR(E443="",E443="unknown"),D443,E443))</f>
        <v/>
      </c>
      <c r="Y443" s="10" t="str">
        <f aca="false">IF(C443="","",IF(OR(T443="unsuitable",T443="retired",X443="no"),"—",IF(J443="","unrated",IF(AND(X443="full",J443&gt;=Settings!$C$5,OR(O443="untested",O443&gt;=Settings!$C$6)),"A",IF(AND(OR(X443="full",X443="reduced"),J443&gt;=Settings!$C$7,OR(O443="untested",O443&gt;=Settings!$C$8)),"B","C")))))</f>
        <v/>
      </c>
      <c r="Z443" s="11" t="str">
        <f aca="false">IF(C443="","",IF(P443&lt;&gt;"",P443,Y443))</f>
        <v/>
      </c>
    </row>
    <row r="444" customFormat="false" ht="15" hidden="false" customHeight="false" outlineLevel="0" collapsed="false">
      <c r="A444" s="9"/>
      <c r="B444" s="10" t="str">
        <f aca="false">IF(A444="","",IFERROR(INDEX(Parks!$A$2:$A$255,MATCH(A444,Parks!$B$2:$B$255,0)),"?"))</f>
        <v/>
      </c>
      <c r="C444" s="9"/>
      <c r="D444" s="10" t="str">
        <f aca="false">IF(C444="","",IF(SUMPRODUCT(--ISNUMBER(SEARCH({"Nets","Wicket","Diamond","Softball","T-ball","Baseball","Netball","Tennis","Bocce","Pentaque","Petanque","Skate","Car Park","Pond","Bridle","Amphitheatre","Perimeter","Passive"},C444)))&gt;0,"no",IF(SUMPRODUCT(--ISNUMBER(SEARCH({"Cricket","Junior","Mini","Summer Football","Small"},C444)))&gt;0,"reduced",IF(SUMPRODUCT(--ISNUMBER(SEARCH({"Rugby","Football","League","Touch","Gaelic","Australian","Lacrosse","General Sport","Training Area","Ultimate"},C444)))&gt;0,"full","unknown"))))</f>
        <v/>
      </c>
      <c r="E444" s="9"/>
      <c r="F444" s="9"/>
      <c r="G444" s="9"/>
      <c r="H444" s="9"/>
      <c r="I444" s="12"/>
      <c r="J444" s="9"/>
      <c r="K444" s="9"/>
      <c r="L444" s="9"/>
      <c r="M444" s="9"/>
      <c r="N444" s="9"/>
      <c r="O444" s="13" t="str">
        <f aca="false">IF(C444="","",IF(N(M444)+N(N444)&lt;Settings!$C$9,"untested",M444/(M444+N444)))</f>
        <v/>
      </c>
      <c r="P444" s="9"/>
      <c r="Q444" s="9"/>
      <c r="R444" s="9"/>
      <c r="S444" s="12"/>
      <c r="T444" s="9"/>
      <c r="U444" s="9"/>
      <c r="V444" s="9"/>
      <c r="W444" s="10" t="str">
        <f aca="false">IF(C444="","",IF(OR(G444="training",G444="full"),"Yes",IF(G444="none","No","?")))</f>
        <v/>
      </c>
      <c r="X444" s="10" t="str">
        <f aca="false">IF(C444="","",IF(OR(E444="",E444="unknown"),D444,E444))</f>
        <v/>
      </c>
      <c r="Y444" s="10" t="str">
        <f aca="false">IF(C444="","",IF(OR(T444="unsuitable",T444="retired",X444="no"),"—",IF(J444="","unrated",IF(AND(X444="full",J444&gt;=Settings!$C$5,OR(O444="untested",O444&gt;=Settings!$C$6)),"A",IF(AND(OR(X444="full",X444="reduced"),J444&gt;=Settings!$C$7,OR(O444="untested",O444&gt;=Settings!$C$8)),"B","C")))))</f>
        <v/>
      </c>
      <c r="Z444" s="11" t="str">
        <f aca="false">IF(C444="","",IF(P444&lt;&gt;"",P444,Y444))</f>
        <v/>
      </c>
    </row>
    <row r="445" customFormat="false" ht="15" hidden="false" customHeight="false" outlineLevel="0" collapsed="false">
      <c r="A445" s="9"/>
      <c r="B445" s="10" t="str">
        <f aca="false">IF(A445="","",IFERROR(INDEX(Parks!$A$2:$A$255,MATCH(A445,Parks!$B$2:$B$255,0)),"?"))</f>
        <v/>
      </c>
      <c r="C445" s="9"/>
      <c r="D445" s="10" t="str">
        <f aca="false">IF(C445="","",IF(SUMPRODUCT(--ISNUMBER(SEARCH({"Nets","Wicket","Diamond","Softball","T-ball","Baseball","Netball","Tennis","Bocce","Pentaque","Petanque","Skate","Car Park","Pond","Bridle","Amphitheatre","Perimeter","Passive"},C445)))&gt;0,"no",IF(SUMPRODUCT(--ISNUMBER(SEARCH({"Cricket","Junior","Mini","Summer Football","Small"},C445)))&gt;0,"reduced",IF(SUMPRODUCT(--ISNUMBER(SEARCH({"Rugby","Football","League","Touch","Gaelic","Australian","Lacrosse","General Sport","Training Area","Ultimate"},C445)))&gt;0,"full","unknown"))))</f>
        <v/>
      </c>
      <c r="E445" s="9"/>
      <c r="F445" s="9"/>
      <c r="G445" s="9"/>
      <c r="H445" s="9"/>
      <c r="I445" s="12"/>
      <c r="J445" s="9"/>
      <c r="K445" s="9"/>
      <c r="L445" s="9"/>
      <c r="M445" s="9"/>
      <c r="N445" s="9"/>
      <c r="O445" s="13" t="str">
        <f aca="false">IF(C445="","",IF(N(M445)+N(N445)&lt;Settings!$C$9,"untested",M445/(M445+N445)))</f>
        <v/>
      </c>
      <c r="P445" s="9"/>
      <c r="Q445" s="9"/>
      <c r="R445" s="9"/>
      <c r="S445" s="12"/>
      <c r="T445" s="9"/>
      <c r="U445" s="9"/>
      <c r="V445" s="9"/>
      <c r="W445" s="10" t="str">
        <f aca="false">IF(C445="","",IF(OR(G445="training",G445="full"),"Yes",IF(G445="none","No","?")))</f>
        <v/>
      </c>
      <c r="X445" s="10" t="str">
        <f aca="false">IF(C445="","",IF(OR(E445="",E445="unknown"),D445,E445))</f>
        <v/>
      </c>
      <c r="Y445" s="10" t="str">
        <f aca="false">IF(C445="","",IF(OR(T445="unsuitable",T445="retired",X445="no"),"—",IF(J445="","unrated",IF(AND(X445="full",J445&gt;=Settings!$C$5,OR(O445="untested",O445&gt;=Settings!$C$6)),"A",IF(AND(OR(X445="full",X445="reduced"),J445&gt;=Settings!$C$7,OR(O445="untested",O445&gt;=Settings!$C$8)),"B","C")))))</f>
        <v/>
      </c>
      <c r="Z445" s="11" t="str">
        <f aca="false">IF(C445="","",IF(P445&lt;&gt;"",P445,Y445))</f>
        <v/>
      </c>
    </row>
    <row r="446" customFormat="false" ht="15" hidden="false" customHeight="false" outlineLevel="0" collapsed="false">
      <c r="A446" s="9"/>
      <c r="B446" s="10" t="str">
        <f aca="false">IF(A446="","",IFERROR(INDEX(Parks!$A$2:$A$255,MATCH(A446,Parks!$B$2:$B$255,0)),"?"))</f>
        <v/>
      </c>
      <c r="C446" s="9"/>
      <c r="D446" s="10" t="str">
        <f aca="false">IF(C446="","",IF(SUMPRODUCT(--ISNUMBER(SEARCH({"Nets","Wicket","Diamond","Softball","T-ball","Baseball","Netball","Tennis","Bocce","Pentaque","Petanque","Skate","Car Park","Pond","Bridle","Amphitheatre","Perimeter","Passive"},C446)))&gt;0,"no",IF(SUMPRODUCT(--ISNUMBER(SEARCH({"Cricket","Junior","Mini","Summer Football","Small"},C446)))&gt;0,"reduced",IF(SUMPRODUCT(--ISNUMBER(SEARCH({"Rugby","Football","League","Touch","Gaelic","Australian","Lacrosse","General Sport","Training Area","Ultimate"},C446)))&gt;0,"full","unknown"))))</f>
        <v/>
      </c>
      <c r="E446" s="9"/>
      <c r="F446" s="9"/>
      <c r="G446" s="9"/>
      <c r="H446" s="9"/>
      <c r="I446" s="12"/>
      <c r="J446" s="9"/>
      <c r="K446" s="9"/>
      <c r="L446" s="9"/>
      <c r="M446" s="9"/>
      <c r="N446" s="9"/>
      <c r="O446" s="13" t="str">
        <f aca="false">IF(C446="","",IF(N(M446)+N(N446)&lt;Settings!$C$9,"untested",M446/(M446+N446)))</f>
        <v/>
      </c>
      <c r="P446" s="9"/>
      <c r="Q446" s="9"/>
      <c r="R446" s="9"/>
      <c r="S446" s="12"/>
      <c r="T446" s="9"/>
      <c r="U446" s="9"/>
      <c r="V446" s="9"/>
      <c r="W446" s="10" t="str">
        <f aca="false">IF(C446="","",IF(OR(G446="training",G446="full"),"Yes",IF(G446="none","No","?")))</f>
        <v/>
      </c>
      <c r="X446" s="10" t="str">
        <f aca="false">IF(C446="","",IF(OR(E446="",E446="unknown"),D446,E446))</f>
        <v/>
      </c>
      <c r="Y446" s="10" t="str">
        <f aca="false">IF(C446="","",IF(OR(T446="unsuitable",T446="retired",X446="no"),"—",IF(J446="","unrated",IF(AND(X446="full",J446&gt;=Settings!$C$5,OR(O446="untested",O446&gt;=Settings!$C$6)),"A",IF(AND(OR(X446="full",X446="reduced"),J446&gt;=Settings!$C$7,OR(O446="untested",O446&gt;=Settings!$C$8)),"B","C")))))</f>
        <v/>
      </c>
      <c r="Z446" s="11" t="str">
        <f aca="false">IF(C446="","",IF(P446&lt;&gt;"",P446,Y446))</f>
        <v/>
      </c>
    </row>
    <row r="447" customFormat="false" ht="15" hidden="false" customHeight="false" outlineLevel="0" collapsed="false">
      <c r="A447" s="9"/>
      <c r="B447" s="10" t="str">
        <f aca="false">IF(A447="","",IFERROR(INDEX(Parks!$A$2:$A$255,MATCH(A447,Parks!$B$2:$B$255,0)),"?"))</f>
        <v/>
      </c>
      <c r="C447" s="9"/>
      <c r="D447" s="10" t="str">
        <f aca="false">IF(C447="","",IF(SUMPRODUCT(--ISNUMBER(SEARCH({"Nets","Wicket","Diamond","Softball","T-ball","Baseball","Netball","Tennis","Bocce","Pentaque","Petanque","Skate","Car Park","Pond","Bridle","Amphitheatre","Perimeter","Passive"},C447)))&gt;0,"no",IF(SUMPRODUCT(--ISNUMBER(SEARCH({"Cricket","Junior","Mini","Summer Football","Small"},C447)))&gt;0,"reduced",IF(SUMPRODUCT(--ISNUMBER(SEARCH({"Rugby","Football","League","Touch","Gaelic","Australian","Lacrosse","General Sport","Training Area","Ultimate"},C447)))&gt;0,"full","unknown"))))</f>
        <v/>
      </c>
      <c r="E447" s="9"/>
      <c r="F447" s="9"/>
      <c r="G447" s="9"/>
      <c r="H447" s="9"/>
      <c r="I447" s="12"/>
      <c r="J447" s="9"/>
      <c r="K447" s="9"/>
      <c r="L447" s="9"/>
      <c r="M447" s="9"/>
      <c r="N447" s="9"/>
      <c r="O447" s="13" t="str">
        <f aca="false">IF(C447="","",IF(N(M447)+N(N447)&lt;Settings!$C$9,"untested",M447/(M447+N447)))</f>
        <v/>
      </c>
      <c r="P447" s="9"/>
      <c r="Q447" s="9"/>
      <c r="R447" s="9"/>
      <c r="S447" s="12"/>
      <c r="T447" s="9"/>
      <c r="U447" s="9"/>
      <c r="V447" s="9"/>
      <c r="W447" s="10" t="str">
        <f aca="false">IF(C447="","",IF(OR(G447="training",G447="full"),"Yes",IF(G447="none","No","?")))</f>
        <v/>
      </c>
      <c r="X447" s="10" t="str">
        <f aca="false">IF(C447="","",IF(OR(E447="",E447="unknown"),D447,E447))</f>
        <v/>
      </c>
      <c r="Y447" s="10" t="str">
        <f aca="false">IF(C447="","",IF(OR(T447="unsuitable",T447="retired",X447="no"),"—",IF(J447="","unrated",IF(AND(X447="full",J447&gt;=Settings!$C$5,OR(O447="untested",O447&gt;=Settings!$C$6)),"A",IF(AND(OR(X447="full",X447="reduced"),J447&gt;=Settings!$C$7,OR(O447="untested",O447&gt;=Settings!$C$8)),"B","C")))))</f>
        <v/>
      </c>
      <c r="Z447" s="11" t="str">
        <f aca="false">IF(C447="","",IF(P447&lt;&gt;"",P447,Y447))</f>
        <v/>
      </c>
    </row>
    <row r="448" customFormat="false" ht="15" hidden="false" customHeight="false" outlineLevel="0" collapsed="false">
      <c r="A448" s="9"/>
      <c r="B448" s="10" t="str">
        <f aca="false">IF(A448="","",IFERROR(INDEX(Parks!$A$2:$A$255,MATCH(A448,Parks!$B$2:$B$255,0)),"?"))</f>
        <v/>
      </c>
      <c r="C448" s="9"/>
      <c r="D448" s="10" t="str">
        <f aca="false">IF(C448="","",IF(SUMPRODUCT(--ISNUMBER(SEARCH({"Nets","Wicket","Diamond","Softball","T-ball","Baseball","Netball","Tennis","Bocce","Pentaque","Petanque","Skate","Car Park","Pond","Bridle","Amphitheatre","Perimeter","Passive"},C448)))&gt;0,"no",IF(SUMPRODUCT(--ISNUMBER(SEARCH({"Cricket","Junior","Mini","Summer Football","Small"},C448)))&gt;0,"reduced",IF(SUMPRODUCT(--ISNUMBER(SEARCH({"Rugby","Football","League","Touch","Gaelic","Australian","Lacrosse","General Sport","Training Area","Ultimate"},C448)))&gt;0,"full","unknown"))))</f>
        <v/>
      </c>
      <c r="E448" s="9"/>
      <c r="F448" s="9"/>
      <c r="G448" s="9"/>
      <c r="H448" s="9"/>
      <c r="I448" s="12"/>
      <c r="J448" s="9"/>
      <c r="K448" s="9"/>
      <c r="L448" s="9"/>
      <c r="M448" s="9"/>
      <c r="N448" s="9"/>
      <c r="O448" s="13" t="str">
        <f aca="false">IF(C448="","",IF(N(M448)+N(N448)&lt;Settings!$C$9,"untested",M448/(M448+N448)))</f>
        <v/>
      </c>
      <c r="P448" s="9"/>
      <c r="Q448" s="9"/>
      <c r="R448" s="9"/>
      <c r="S448" s="12"/>
      <c r="T448" s="9"/>
      <c r="U448" s="9"/>
      <c r="V448" s="9"/>
      <c r="W448" s="10" t="str">
        <f aca="false">IF(C448="","",IF(OR(G448="training",G448="full"),"Yes",IF(G448="none","No","?")))</f>
        <v/>
      </c>
      <c r="X448" s="10" t="str">
        <f aca="false">IF(C448="","",IF(OR(E448="",E448="unknown"),D448,E448))</f>
        <v/>
      </c>
      <c r="Y448" s="10" t="str">
        <f aca="false">IF(C448="","",IF(OR(T448="unsuitable",T448="retired",X448="no"),"—",IF(J448="","unrated",IF(AND(X448="full",J448&gt;=Settings!$C$5,OR(O448="untested",O448&gt;=Settings!$C$6)),"A",IF(AND(OR(X448="full",X448="reduced"),J448&gt;=Settings!$C$7,OR(O448="untested",O448&gt;=Settings!$C$8)),"B","C")))))</f>
        <v/>
      </c>
      <c r="Z448" s="11" t="str">
        <f aca="false">IF(C448="","",IF(P448&lt;&gt;"",P448,Y448))</f>
        <v/>
      </c>
    </row>
    <row r="449" customFormat="false" ht="15" hidden="false" customHeight="false" outlineLevel="0" collapsed="false">
      <c r="A449" s="9"/>
      <c r="B449" s="10" t="str">
        <f aca="false">IF(A449="","",IFERROR(INDEX(Parks!$A$2:$A$255,MATCH(A449,Parks!$B$2:$B$255,0)),"?"))</f>
        <v/>
      </c>
      <c r="C449" s="9"/>
      <c r="D449" s="10" t="str">
        <f aca="false">IF(C449="","",IF(SUMPRODUCT(--ISNUMBER(SEARCH({"Nets","Wicket","Diamond","Softball","T-ball","Baseball","Netball","Tennis","Bocce","Pentaque","Petanque","Skate","Car Park","Pond","Bridle","Amphitheatre","Perimeter","Passive"},C449)))&gt;0,"no",IF(SUMPRODUCT(--ISNUMBER(SEARCH({"Cricket","Junior","Mini","Summer Football","Small"},C449)))&gt;0,"reduced",IF(SUMPRODUCT(--ISNUMBER(SEARCH({"Rugby","Football","League","Touch","Gaelic","Australian","Lacrosse","General Sport","Training Area","Ultimate"},C449)))&gt;0,"full","unknown"))))</f>
        <v/>
      </c>
      <c r="E449" s="9"/>
      <c r="F449" s="9"/>
      <c r="G449" s="9"/>
      <c r="H449" s="9"/>
      <c r="I449" s="12"/>
      <c r="J449" s="9"/>
      <c r="K449" s="9"/>
      <c r="L449" s="9"/>
      <c r="M449" s="9"/>
      <c r="N449" s="9"/>
      <c r="O449" s="13" t="str">
        <f aca="false">IF(C449="","",IF(N(M449)+N(N449)&lt;Settings!$C$9,"untested",M449/(M449+N449)))</f>
        <v/>
      </c>
      <c r="P449" s="9"/>
      <c r="Q449" s="9"/>
      <c r="R449" s="9"/>
      <c r="S449" s="12"/>
      <c r="T449" s="9"/>
      <c r="U449" s="9"/>
      <c r="V449" s="9"/>
      <c r="W449" s="10" t="str">
        <f aca="false">IF(C449="","",IF(OR(G449="training",G449="full"),"Yes",IF(G449="none","No","?")))</f>
        <v/>
      </c>
      <c r="X449" s="10" t="str">
        <f aca="false">IF(C449="","",IF(OR(E449="",E449="unknown"),D449,E449))</f>
        <v/>
      </c>
      <c r="Y449" s="10" t="str">
        <f aca="false">IF(C449="","",IF(OR(T449="unsuitable",T449="retired",X449="no"),"—",IF(J449="","unrated",IF(AND(X449="full",J449&gt;=Settings!$C$5,OR(O449="untested",O449&gt;=Settings!$C$6)),"A",IF(AND(OR(X449="full",X449="reduced"),J449&gt;=Settings!$C$7,OR(O449="untested",O449&gt;=Settings!$C$8)),"B","C")))))</f>
        <v/>
      </c>
      <c r="Z449" s="11" t="str">
        <f aca="false">IF(C449="","",IF(P449&lt;&gt;"",P449,Y449))</f>
        <v/>
      </c>
    </row>
    <row r="450" customFormat="false" ht="15" hidden="false" customHeight="false" outlineLevel="0" collapsed="false">
      <c r="A450" s="9"/>
      <c r="B450" s="10" t="str">
        <f aca="false">IF(A450="","",IFERROR(INDEX(Parks!$A$2:$A$255,MATCH(A450,Parks!$B$2:$B$255,0)),"?"))</f>
        <v/>
      </c>
      <c r="C450" s="9"/>
      <c r="D450" s="10" t="str">
        <f aca="false">IF(C450="","",IF(SUMPRODUCT(--ISNUMBER(SEARCH({"Nets","Wicket","Diamond","Softball","T-ball","Baseball","Netball","Tennis","Bocce","Pentaque","Petanque","Skate","Car Park","Pond","Bridle","Amphitheatre","Perimeter","Passive"},C450)))&gt;0,"no",IF(SUMPRODUCT(--ISNUMBER(SEARCH({"Cricket","Junior","Mini","Summer Football","Small"},C450)))&gt;0,"reduced",IF(SUMPRODUCT(--ISNUMBER(SEARCH({"Rugby","Football","League","Touch","Gaelic","Australian","Lacrosse","General Sport","Training Area","Ultimate"},C450)))&gt;0,"full","unknown"))))</f>
        <v/>
      </c>
      <c r="E450" s="9"/>
      <c r="F450" s="9"/>
      <c r="G450" s="9"/>
      <c r="H450" s="9"/>
      <c r="I450" s="12"/>
      <c r="J450" s="9"/>
      <c r="K450" s="9"/>
      <c r="L450" s="9"/>
      <c r="M450" s="9"/>
      <c r="N450" s="9"/>
      <c r="O450" s="13" t="str">
        <f aca="false">IF(C450="","",IF(N(M450)+N(N450)&lt;Settings!$C$9,"untested",M450/(M450+N450)))</f>
        <v/>
      </c>
      <c r="P450" s="9"/>
      <c r="Q450" s="9"/>
      <c r="R450" s="9"/>
      <c r="S450" s="12"/>
      <c r="T450" s="9"/>
      <c r="U450" s="9"/>
      <c r="V450" s="9"/>
      <c r="W450" s="10" t="str">
        <f aca="false">IF(C450="","",IF(OR(G450="training",G450="full"),"Yes",IF(G450="none","No","?")))</f>
        <v/>
      </c>
      <c r="X450" s="10" t="str">
        <f aca="false">IF(C450="","",IF(OR(E450="",E450="unknown"),D450,E450))</f>
        <v/>
      </c>
      <c r="Y450" s="10" t="str">
        <f aca="false">IF(C450="","",IF(OR(T450="unsuitable",T450="retired",X450="no"),"—",IF(J450="","unrated",IF(AND(X450="full",J450&gt;=Settings!$C$5,OR(O450="untested",O450&gt;=Settings!$C$6)),"A",IF(AND(OR(X450="full",X450="reduced"),J450&gt;=Settings!$C$7,OR(O450="untested",O450&gt;=Settings!$C$8)),"B","C")))))</f>
        <v/>
      </c>
      <c r="Z450" s="11" t="str">
        <f aca="false">IF(C450="","",IF(P450&lt;&gt;"",P450,Y450))</f>
        <v/>
      </c>
    </row>
    <row r="451" customFormat="false" ht="15" hidden="false" customHeight="false" outlineLevel="0" collapsed="false">
      <c r="A451" s="9"/>
      <c r="B451" s="10" t="str">
        <f aca="false">IF(A451="","",IFERROR(INDEX(Parks!$A$2:$A$255,MATCH(A451,Parks!$B$2:$B$255,0)),"?"))</f>
        <v/>
      </c>
      <c r="C451" s="9"/>
      <c r="D451" s="10" t="str">
        <f aca="false">IF(C451="","",IF(SUMPRODUCT(--ISNUMBER(SEARCH({"Nets","Wicket","Diamond","Softball","T-ball","Baseball","Netball","Tennis","Bocce","Pentaque","Petanque","Skate","Car Park","Pond","Bridle","Amphitheatre","Perimeter","Passive"},C451)))&gt;0,"no",IF(SUMPRODUCT(--ISNUMBER(SEARCH({"Cricket","Junior","Mini","Summer Football","Small"},C451)))&gt;0,"reduced",IF(SUMPRODUCT(--ISNUMBER(SEARCH({"Rugby","Football","League","Touch","Gaelic","Australian","Lacrosse","General Sport","Training Area","Ultimate"},C451)))&gt;0,"full","unknown"))))</f>
        <v/>
      </c>
      <c r="E451" s="9"/>
      <c r="F451" s="9"/>
      <c r="G451" s="9"/>
      <c r="H451" s="9"/>
      <c r="I451" s="12"/>
      <c r="J451" s="9"/>
      <c r="K451" s="9"/>
      <c r="L451" s="9"/>
      <c r="M451" s="9"/>
      <c r="N451" s="9"/>
      <c r="O451" s="13" t="str">
        <f aca="false">IF(C451="","",IF(N(M451)+N(N451)&lt;Settings!$C$9,"untested",M451/(M451+N451)))</f>
        <v/>
      </c>
      <c r="P451" s="9"/>
      <c r="Q451" s="9"/>
      <c r="R451" s="9"/>
      <c r="S451" s="12"/>
      <c r="T451" s="9"/>
      <c r="U451" s="9"/>
      <c r="V451" s="9"/>
      <c r="W451" s="10" t="str">
        <f aca="false">IF(C451="","",IF(OR(G451="training",G451="full"),"Yes",IF(G451="none","No","?")))</f>
        <v/>
      </c>
      <c r="X451" s="10" t="str">
        <f aca="false">IF(C451="","",IF(OR(E451="",E451="unknown"),D451,E451))</f>
        <v/>
      </c>
      <c r="Y451" s="10" t="str">
        <f aca="false">IF(C451="","",IF(OR(T451="unsuitable",T451="retired",X451="no"),"—",IF(J451="","unrated",IF(AND(X451="full",J451&gt;=Settings!$C$5,OR(O451="untested",O451&gt;=Settings!$C$6)),"A",IF(AND(OR(X451="full",X451="reduced"),J451&gt;=Settings!$C$7,OR(O451="untested",O451&gt;=Settings!$C$8)),"B","C")))))</f>
        <v/>
      </c>
      <c r="Z451" s="11" t="str">
        <f aca="false">IF(C451="","",IF(P451&lt;&gt;"",P451,Y451))</f>
        <v/>
      </c>
    </row>
    <row r="452" customFormat="false" ht="15" hidden="false" customHeight="false" outlineLevel="0" collapsed="false">
      <c r="A452" s="9"/>
      <c r="B452" s="10" t="str">
        <f aca="false">IF(A452="","",IFERROR(INDEX(Parks!$A$2:$A$255,MATCH(A452,Parks!$B$2:$B$255,0)),"?"))</f>
        <v/>
      </c>
      <c r="C452" s="9"/>
      <c r="D452" s="10" t="str">
        <f aca="false">IF(C452="","",IF(SUMPRODUCT(--ISNUMBER(SEARCH({"Nets","Wicket","Diamond","Softball","T-ball","Baseball","Netball","Tennis","Bocce","Pentaque","Petanque","Skate","Car Park","Pond","Bridle","Amphitheatre","Perimeter","Passive"},C452)))&gt;0,"no",IF(SUMPRODUCT(--ISNUMBER(SEARCH({"Cricket","Junior","Mini","Summer Football","Small"},C452)))&gt;0,"reduced",IF(SUMPRODUCT(--ISNUMBER(SEARCH({"Rugby","Football","League","Touch","Gaelic","Australian","Lacrosse","General Sport","Training Area","Ultimate"},C452)))&gt;0,"full","unknown"))))</f>
        <v/>
      </c>
      <c r="E452" s="9"/>
      <c r="F452" s="9"/>
      <c r="G452" s="9"/>
      <c r="H452" s="9"/>
      <c r="I452" s="12"/>
      <c r="J452" s="9"/>
      <c r="K452" s="9"/>
      <c r="L452" s="9"/>
      <c r="M452" s="9"/>
      <c r="N452" s="9"/>
      <c r="O452" s="13" t="str">
        <f aca="false">IF(C452="","",IF(N(M452)+N(N452)&lt;Settings!$C$9,"untested",M452/(M452+N452)))</f>
        <v/>
      </c>
      <c r="P452" s="9"/>
      <c r="Q452" s="9"/>
      <c r="R452" s="9"/>
      <c r="S452" s="12"/>
      <c r="T452" s="9"/>
      <c r="U452" s="9"/>
      <c r="V452" s="9"/>
      <c r="W452" s="10" t="str">
        <f aca="false">IF(C452="","",IF(OR(G452="training",G452="full"),"Yes",IF(G452="none","No","?")))</f>
        <v/>
      </c>
      <c r="X452" s="10" t="str">
        <f aca="false">IF(C452="","",IF(OR(E452="",E452="unknown"),D452,E452))</f>
        <v/>
      </c>
      <c r="Y452" s="10" t="str">
        <f aca="false">IF(C452="","",IF(OR(T452="unsuitable",T452="retired",X452="no"),"—",IF(J452="","unrated",IF(AND(X452="full",J452&gt;=Settings!$C$5,OR(O452="untested",O452&gt;=Settings!$C$6)),"A",IF(AND(OR(X452="full",X452="reduced"),J452&gt;=Settings!$C$7,OR(O452="untested",O452&gt;=Settings!$C$8)),"B","C")))))</f>
        <v/>
      </c>
      <c r="Z452" s="11" t="str">
        <f aca="false">IF(C452="","",IF(P452&lt;&gt;"",P452,Y452))</f>
        <v/>
      </c>
    </row>
    <row r="453" customFormat="false" ht="15" hidden="false" customHeight="false" outlineLevel="0" collapsed="false">
      <c r="A453" s="9"/>
      <c r="B453" s="10" t="str">
        <f aca="false">IF(A453="","",IFERROR(INDEX(Parks!$A$2:$A$255,MATCH(A453,Parks!$B$2:$B$255,0)),"?"))</f>
        <v/>
      </c>
      <c r="C453" s="9"/>
      <c r="D453" s="10" t="str">
        <f aca="false">IF(C453="","",IF(SUMPRODUCT(--ISNUMBER(SEARCH({"Nets","Wicket","Diamond","Softball","T-ball","Baseball","Netball","Tennis","Bocce","Pentaque","Petanque","Skate","Car Park","Pond","Bridle","Amphitheatre","Perimeter","Passive"},C453)))&gt;0,"no",IF(SUMPRODUCT(--ISNUMBER(SEARCH({"Cricket","Junior","Mini","Summer Football","Small"},C453)))&gt;0,"reduced",IF(SUMPRODUCT(--ISNUMBER(SEARCH({"Rugby","Football","League","Touch","Gaelic","Australian","Lacrosse","General Sport","Training Area","Ultimate"},C453)))&gt;0,"full","unknown"))))</f>
        <v/>
      </c>
      <c r="E453" s="9"/>
      <c r="F453" s="9"/>
      <c r="G453" s="9"/>
      <c r="H453" s="9"/>
      <c r="I453" s="12"/>
      <c r="J453" s="9"/>
      <c r="K453" s="9"/>
      <c r="L453" s="9"/>
      <c r="M453" s="9"/>
      <c r="N453" s="9"/>
      <c r="O453" s="13" t="str">
        <f aca="false">IF(C453="","",IF(N(M453)+N(N453)&lt;Settings!$C$9,"untested",M453/(M453+N453)))</f>
        <v/>
      </c>
      <c r="P453" s="9"/>
      <c r="Q453" s="9"/>
      <c r="R453" s="9"/>
      <c r="S453" s="12"/>
      <c r="T453" s="9"/>
      <c r="U453" s="9"/>
      <c r="V453" s="9"/>
      <c r="W453" s="10" t="str">
        <f aca="false">IF(C453="","",IF(OR(G453="training",G453="full"),"Yes",IF(G453="none","No","?")))</f>
        <v/>
      </c>
      <c r="X453" s="10" t="str">
        <f aca="false">IF(C453="","",IF(OR(E453="",E453="unknown"),D453,E453))</f>
        <v/>
      </c>
      <c r="Y453" s="10" t="str">
        <f aca="false">IF(C453="","",IF(OR(T453="unsuitable",T453="retired",X453="no"),"—",IF(J453="","unrated",IF(AND(X453="full",J453&gt;=Settings!$C$5,OR(O453="untested",O453&gt;=Settings!$C$6)),"A",IF(AND(OR(X453="full",X453="reduced"),J453&gt;=Settings!$C$7,OR(O453="untested",O453&gt;=Settings!$C$8)),"B","C")))))</f>
        <v/>
      </c>
      <c r="Z453" s="11" t="str">
        <f aca="false">IF(C453="","",IF(P453&lt;&gt;"",P453,Y453))</f>
        <v/>
      </c>
    </row>
    <row r="454" customFormat="false" ht="15" hidden="false" customHeight="false" outlineLevel="0" collapsed="false">
      <c r="A454" s="9"/>
      <c r="B454" s="10" t="str">
        <f aca="false">IF(A454="","",IFERROR(INDEX(Parks!$A$2:$A$255,MATCH(A454,Parks!$B$2:$B$255,0)),"?"))</f>
        <v/>
      </c>
      <c r="C454" s="9"/>
      <c r="D454" s="10" t="str">
        <f aca="false">IF(C454="","",IF(SUMPRODUCT(--ISNUMBER(SEARCH({"Nets","Wicket","Diamond","Softball","T-ball","Baseball","Netball","Tennis","Bocce","Pentaque","Petanque","Skate","Car Park","Pond","Bridle","Amphitheatre","Perimeter","Passive"},C454)))&gt;0,"no",IF(SUMPRODUCT(--ISNUMBER(SEARCH({"Cricket","Junior","Mini","Summer Football","Small"},C454)))&gt;0,"reduced",IF(SUMPRODUCT(--ISNUMBER(SEARCH({"Rugby","Football","League","Touch","Gaelic","Australian","Lacrosse","General Sport","Training Area","Ultimate"},C454)))&gt;0,"full","unknown"))))</f>
        <v/>
      </c>
      <c r="E454" s="9"/>
      <c r="F454" s="9"/>
      <c r="G454" s="9"/>
      <c r="H454" s="9"/>
      <c r="I454" s="12"/>
      <c r="J454" s="9"/>
      <c r="K454" s="9"/>
      <c r="L454" s="9"/>
      <c r="M454" s="9"/>
      <c r="N454" s="9"/>
      <c r="O454" s="13" t="str">
        <f aca="false">IF(C454="","",IF(N(M454)+N(N454)&lt;Settings!$C$9,"untested",M454/(M454+N454)))</f>
        <v/>
      </c>
      <c r="P454" s="9"/>
      <c r="Q454" s="9"/>
      <c r="R454" s="9"/>
      <c r="S454" s="12"/>
      <c r="T454" s="9"/>
      <c r="U454" s="9"/>
      <c r="V454" s="9"/>
      <c r="W454" s="10" t="str">
        <f aca="false">IF(C454="","",IF(OR(G454="training",G454="full"),"Yes",IF(G454="none","No","?")))</f>
        <v/>
      </c>
      <c r="X454" s="10" t="str">
        <f aca="false">IF(C454="","",IF(OR(E454="",E454="unknown"),D454,E454))</f>
        <v/>
      </c>
      <c r="Y454" s="10" t="str">
        <f aca="false">IF(C454="","",IF(OR(T454="unsuitable",T454="retired",X454="no"),"—",IF(J454="","unrated",IF(AND(X454="full",J454&gt;=Settings!$C$5,OR(O454="untested",O454&gt;=Settings!$C$6)),"A",IF(AND(OR(X454="full",X454="reduced"),J454&gt;=Settings!$C$7,OR(O454="untested",O454&gt;=Settings!$C$8)),"B","C")))))</f>
        <v/>
      </c>
      <c r="Z454" s="11" t="str">
        <f aca="false">IF(C454="","",IF(P454&lt;&gt;"",P454,Y454))</f>
        <v/>
      </c>
    </row>
    <row r="455" customFormat="false" ht="15" hidden="false" customHeight="false" outlineLevel="0" collapsed="false">
      <c r="A455" s="9"/>
      <c r="B455" s="10" t="str">
        <f aca="false">IF(A455="","",IFERROR(INDEX(Parks!$A$2:$A$255,MATCH(A455,Parks!$B$2:$B$255,0)),"?"))</f>
        <v/>
      </c>
      <c r="C455" s="9"/>
      <c r="D455" s="10" t="str">
        <f aca="false">IF(C455="","",IF(SUMPRODUCT(--ISNUMBER(SEARCH({"Nets","Wicket","Diamond","Softball","T-ball","Baseball","Netball","Tennis","Bocce","Pentaque","Petanque","Skate","Car Park","Pond","Bridle","Amphitheatre","Perimeter","Passive"},C455)))&gt;0,"no",IF(SUMPRODUCT(--ISNUMBER(SEARCH({"Cricket","Junior","Mini","Summer Football","Small"},C455)))&gt;0,"reduced",IF(SUMPRODUCT(--ISNUMBER(SEARCH({"Rugby","Football","League","Touch","Gaelic","Australian","Lacrosse","General Sport","Training Area","Ultimate"},C455)))&gt;0,"full","unknown"))))</f>
        <v/>
      </c>
      <c r="E455" s="9"/>
      <c r="F455" s="9"/>
      <c r="G455" s="9"/>
      <c r="H455" s="9"/>
      <c r="I455" s="12"/>
      <c r="J455" s="9"/>
      <c r="K455" s="9"/>
      <c r="L455" s="9"/>
      <c r="M455" s="9"/>
      <c r="N455" s="9"/>
      <c r="O455" s="13" t="str">
        <f aca="false">IF(C455="","",IF(N(M455)+N(N455)&lt;Settings!$C$9,"untested",M455/(M455+N455)))</f>
        <v/>
      </c>
      <c r="P455" s="9"/>
      <c r="Q455" s="9"/>
      <c r="R455" s="9"/>
      <c r="S455" s="12"/>
      <c r="T455" s="9"/>
      <c r="U455" s="9"/>
      <c r="V455" s="9"/>
      <c r="W455" s="10" t="str">
        <f aca="false">IF(C455="","",IF(OR(G455="training",G455="full"),"Yes",IF(G455="none","No","?")))</f>
        <v/>
      </c>
      <c r="X455" s="10" t="str">
        <f aca="false">IF(C455="","",IF(OR(E455="",E455="unknown"),D455,E455))</f>
        <v/>
      </c>
      <c r="Y455" s="10" t="str">
        <f aca="false">IF(C455="","",IF(OR(T455="unsuitable",T455="retired",X455="no"),"—",IF(J455="","unrated",IF(AND(X455="full",J455&gt;=Settings!$C$5,OR(O455="untested",O455&gt;=Settings!$C$6)),"A",IF(AND(OR(X455="full",X455="reduced"),J455&gt;=Settings!$C$7,OR(O455="untested",O455&gt;=Settings!$C$8)),"B","C")))))</f>
        <v/>
      </c>
      <c r="Z455" s="11" t="str">
        <f aca="false">IF(C455="","",IF(P455&lt;&gt;"",P455,Y455))</f>
        <v/>
      </c>
    </row>
    <row r="456" customFormat="false" ht="15" hidden="false" customHeight="false" outlineLevel="0" collapsed="false">
      <c r="A456" s="9"/>
      <c r="B456" s="10" t="str">
        <f aca="false">IF(A456="","",IFERROR(INDEX(Parks!$A$2:$A$255,MATCH(A456,Parks!$B$2:$B$255,0)),"?"))</f>
        <v/>
      </c>
      <c r="C456" s="9"/>
      <c r="D456" s="10" t="str">
        <f aca="false">IF(C456="","",IF(SUMPRODUCT(--ISNUMBER(SEARCH({"Nets","Wicket","Diamond","Softball","T-ball","Baseball","Netball","Tennis","Bocce","Pentaque","Petanque","Skate","Car Park","Pond","Bridle","Amphitheatre","Perimeter","Passive"},C456)))&gt;0,"no",IF(SUMPRODUCT(--ISNUMBER(SEARCH({"Cricket","Junior","Mini","Summer Football","Small"},C456)))&gt;0,"reduced",IF(SUMPRODUCT(--ISNUMBER(SEARCH({"Rugby","Football","League","Touch","Gaelic","Australian","Lacrosse","General Sport","Training Area","Ultimate"},C456)))&gt;0,"full","unknown"))))</f>
        <v/>
      </c>
      <c r="E456" s="9"/>
      <c r="F456" s="9"/>
      <c r="G456" s="9"/>
      <c r="H456" s="9"/>
      <c r="I456" s="12"/>
      <c r="J456" s="9"/>
      <c r="K456" s="9"/>
      <c r="L456" s="9"/>
      <c r="M456" s="9"/>
      <c r="N456" s="9"/>
      <c r="O456" s="13" t="str">
        <f aca="false">IF(C456="","",IF(N(M456)+N(N456)&lt;Settings!$C$9,"untested",M456/(M456+N456)))</f>
        <v/>
      </c>
      <c r="P456" s="9"/>
      <c r="Q456" s="9"/>
      <c r="R456" s="9"/>
      <c r="S456" s="12"/>
      <c r="T456" s="9"/>
      <c r="U456" s="9"/>
      <c r="V456" s="9"/>
      <c r="W456" s="10" t="str">
        <f aca="false">IF(C456="","",IF(OR(G456="training",G456="full"),"Yes",IF(G456="none","No","?")))</f>
        <v/>
      </c>
      <c r="X456" s="10" t="str">
        <f aca="false">IF(C456="","",IF(OR(E456="",E456="unknown"),D456,E456))</f>
        <v/>
      </c>
      <c r="Y456" s="10" t="str">
        <f aca="false">IF(C456="","",IF(OR(T456="unsuitable",T456="retired",X456="no"),"—",IF(J456="","unrated",IF(AND(X456="full",J456&gt;=Settings!$C$5,OR(O456="untested",O456&gt;=Settings!$C$6)),"A",IF(AND(OR(X456="full",X456="reduced"),J456&gt;=Settings!$C$7,OR(O456="untested",O456&gt;=Settings!$C$8)),"B","C")))))</f>
        <v/>
      </c>
      <c r="Z456" s="11" t="str">
        <f aca="false">IF(C456="","",IF(P456&lt;&gt;"",P456,Y456))</f>
        <v/>
      </c>
    </row>
    <row r="457" customFormat="false" ht="15" hidden="false" customHeight="false" outlineLevel="0" collapsed="false">
      <c r="A457" s="9"/>
      <c r="B457" s="10" t="str">
        <f aca="false">IF(A457="","",IFERROR(INDEX(Parks!$A$2:$A$255,MATCH(A457,Parks!$B$2:$B$255,0)),"?"))</f>
        <v/>
      </c>
      <c r="C457" s="9"/>
      <c r="D457" s="10" t="str">
        <f aca="false">IF(C457="","",IF(SUMPRODUCT(--ISNUMBER(SEARCH({"Nets","Wicket","Diamond","Softball","T-ball","Baseball","Netball","Tennis","Bocce","Pentaque","Petanque","Skate","Car Park","Pond","Bridle","Amphitheatre","Perimeter","Passive"},C457)))&gt;0,"no",IF(SUMPRODUCT(--ISNUMBER(SEARCH({"Cricket","Junior","Mini","Summer Football","Small"},C457)))&gt;0,"reduced",IF(SUMPRODUCT(--ISNUMBER(SEARCH({"Rugby","Football","League","Touch","Gaelic","Australian","Lacrosse","General Sport","Training Area","Ultimate"},C457)))&gt;0,"full","unknown"))))</f>
        <v/>
      </c>
      <c r="E457" s="9"/>
      <c r="F457" s="9"/>
      <c r="G457" s="9"/>
      <c r="H457" s="9"/>
      <c r="I457" s="12"/>
      <c r="J457" s="9"/>
      <c r="K457" s="9"/>
      <c r="L457" s="9"/>
      <c r="M457" s="9"/>
      <c r="N457" s="9"/>
      <c r="O457" s="13" t="str">
        <f aca="false">IF(C457="","",IF(N(M457)+N(N457)&lt;Settings!$C$9,"untested",M457/(M457+N457)))</f>
        <v/>
      </c>
      <c r="P457" s="9"/>
      <c r="Q457" s="9"/>
      <c r="R457" s="9"/>
      <c r="S457" s="12"/>
      <c r="T457" s="9"/>
      <c r="U457" s="9"/>
      <c r="V457" s="9"/>
      <c r="W457" s="10" t="str">
        <f aca="false">IF(C457="","",IF(OR(G457="training",G457="full"),"Yes",IF(G457="none","No","?")))</f>
        <v/>
      </c>
      <c r="X457" s="10" t="str">
        <f aca="false">IF(C457="","",IF(OR(E457="",E457="unknown"),D457,E457))</f>
        <v/>
      </c>
      <c r="Y457" s="10" t="str">
        <f aca="false">IF(C457="","",IF(OR(T457="unsuitable",T457="retired",X457="no"),"—",IF(J457="","unrated",IF(AND(X457="full",J457&gt;=Settings!$C$5,OR(O457="untested",O457&gt;=Settings!$C$6)),"A",IF(AND(OR(X457="full",X457="reduced"),J457&gt;=Settings!$C$7,OR(O457="untested",O457&gt;=Settings!$C$8)),"B","C")))))</f>
        <v/>
      </c>
      <c r="Z457" s="11" t="str">
        <f aca="false">IF(C457="","",IF(P457&lt;&gt;"",P457,Y457))</f>
        <v/>
      </c>
    </row>
    <row r="458" customFormat="false" ht="15" hidden="false" customHeight="false" outlineLevel="0" collapsed="false">
      <c r="A458" s="9"/>
      <c r="B458" s="10" t="str">
        <f aca="false">IF(A458="","",IFERROR(INDEX(Parks!$A$2:$A$255,MATCH(A458,Parks!$B$2:$B$255,0)),"?"))</f>
        <v/>
      </c>
      <c r="C458" s="9"/>
      <c r="D458" s="10" t="str">
        <f aca="false">IF(C458="","",IF(SUMPRODUCT(--ISNUMBER(SEARCH({"Nets","Wicket","Diamond","Softball","T-ball","Baseball","Netball","Tennis","Bocce","Pentaque","Petanque","Skate","Car Park","Pond","Bridle","Amphitheatre","Perimeter","Passive"},C458)))&gt;0,"no",IF(SUMPRODUCT(--ISNUMBER(SEARCH({"Cricket","Junior","Mini","Summer Football","Small"},C458)))&gt;0,"reduced",IF(SUMPRODUCT(--ISNUMBER(SEARCH({"Rugby","Football","League","Touch","Gaelic","Australian","Lacrosse","General Sport","Training Area","Ultimate"},C458)))&gt;0,"full","unknown"))))</f>
        <v/>
      </c>
      <c r="E458" s="9"/>
      <c r="F458" s="9"/>
      <c r="G458" s="9"/>
      <c r="H458" s="9"/>
      <c r="I458" s="12"/>
      <c r="J458" s="9"/>
      <c r="K458" s="9"/>
      <c r="L458" s="9"/>
      <c r="M458" s="9"/>
      <c r="N458" s="9"/>
      <c r="O458" s="13" t="str">
        <f aca="false">IF(C458="","",IF(N(M458)+N(N458)&lt;Settings!$C$9,"untested",M458/(M458+N458)))</f>
        <v/>
      </c>
      <c r="P458" s="9"/>
      <c r="Q458" s="9"/>
      <c r="R458" s="9"/>
      <c r="S458" s="12"/>
      <c r="T458" s="9"/>
      <c r="U458" s="9"/>
      <c r="V458" s="9"/>
      <c r="W458" s="10" t="str">
        <f aca="false">IF(C458="","",IF(OR(G458="training",G458="full"),"Yes",IF(G458="none","No","?")))</f>
        <v/>
      </c>
      <c r="X458" s="10" t="str">
        <f aca="false">IF(C458="","",IF(OR(E458="",E458="unknown"),D458,E458))</f>
        <v/>
      </c>
      <c r="Y458" s="10" t="str">
        <f aca="false">IF(C458="","",IF(OR(T458="unsuitable",T458="retired",X458="no"),"—",IF(J458="","unrated",IF(AND(X458="full",J458&gt;=Settings!$C$5,OR(O458="untested",O458&gt;=Settings!$C$6)),"A",IF(AND(OR(X458="full",X458="reduced"),J458&gt;=Settings!$C$7,OR(O458="untested",O458&gt;=Settings!$C$8)),"B","C")))))</f>
        <v/>
      </c>
      <c r="Z458" s="11" t="str">
        <f aca="false">IF(C458="","",IF(P458&lt;&gt;"",P458,Y458))</f>
        <v/>
      </c>
    </row>
    <row r="459" customFormat="false" ht="15" hidden="false" customHeight="false" outlineLevel="0" collapsed="false">
      <c r="A459" s="9"/>
      <c r="B459" s="10" t="str">
        <f aca="false">IF(A459="","",IFERROR(INDEX(Parks!$A$2:$A$255,MATCH(A459,Parks!$B$2:$B$255,0)),"?"))</f>
        <v/>
      </c>
      <c r="C459" s="9"/>
      <c r="D459" s="10" t="str">
        <f aca="false">IF(C459="","",IF(SUMPRODUCT(--ISNUMBER(SEARCH({"Nets","Wicket","Diamond","Softball","T-ball","Baseball","Netball","Tennis","Bocce","Pentaque","Petanque","Skate","Car Park","Pond","Bridle","Amphitheatre","Perimeter","Passive"},C459)))&gt;0,"no",IF(SUMPRODUCT(--ISNUMBER(SEARCH({"Cricket","Junior","Mini","Summer Football","Small"},C459)))&gt;0,"reduced",IF(SUMPRODUCT(--ISNUMBER(SEARCH({"Rugby","Football","League","Touch","Gaelic","Australian","Lacrosse","General Sport","Training Area","Ultimate"},C459)))&gt;0,"full","unknown"))))</f>
        <v/>
      </c>
      <c r="E459" s="9"/>
      <c r="F459" s="9"/>
      <c r="G459" s="9"/>
      <c r="H459" s="9"/>
      <c r="I459" s="12"/>
      <c r="J459" s="9"/>
      <c r="K459" s="9"/>
      <c r="L459" s="9"/>
      <c r="M459" s="9"/>
      <c r="N459" s="9"/>
      <c r="O459" s="13" t="str">
        <f aca="false">IF(C459="","",IF(N(M459)+N(N459)&lt;Settings!$C$9,"untested",M459/(M459+N459)))</f>
        <v/>
      </c>
      <c r="P459" s="9"/>
      <c r="Q459" s="9"/>
      <c r="R459" s="9"/>
      <c r="S459" s="12"/>
      <c r="T459" s="9"/>
      <c r="U459" s="9"/>
      <c r="V459" s="9"/>
      <c r="W459" s="10" t="str">
        <f aca="false">IF(C459="","",IF(OR(G459="training",G459="full"),"Yes",IF(G459="none","No","?")))</f>
        <v/>
      </c>
      <c r="X459" s="10" t="str">
        <f aca="false">IF(C459="","",IF(OR(E459="",E459="unknown"),D459,E459))</f>
        <v/>
      </c>
      <c r="Y459" s="10" t="str">
        <f aca="false">IF(C459="","",IF(OR(T459="unsuitable",T459="retired",X459="no"),"—",IF(J459="","unrated",IF(AND(X459="full",J459&gt;=Settings!$C$5,OR(O459="untested",O459&gt;=Settings!$C$6)),"A",IF(AND(OR(X459="full",X459="reduced"),J459&gt;=Settings!$C$7,OR(O459="untested",O459&gt;=Settings!$C$8)),"B","C")))))</f>
        <v/>
      </c>
      <c r="Z459" s="11" t="str">
        <f aca="false">IF(C459="","",IF(P459&lt;&gt;"",P459,Y459))</f>
        <v/>
      </c>
    </row>
    <row r="460" customFormat="false" ht="15" hidden="false" customHeight="false" outlineLevel="0" collapsed="false">
      <c r="A460" s="9"/>
      <c r="B460" s="10" t="str">
        <f aca="false">IF(A460="","",IFERROR(INDEX(Parks!$A$2:$A$255,MATCH(A460,Parks!$B$2:$B$255,0)),"?"))</f>
        <v/>
      </c>
      <c r="C460" s="9"/>
      <c r="D460" s="10" t="str">
        <f aca="false">IF(C460="","",IF(SUMPRODUCT(--ISNUMBER(SEARCH({"Nets","Wicket","Diamond","Softball","T-ball","Baseball","Netball","Tennis","Bocce","Pentaque","Petanque","Skate","Car Park","Pond","Bridle","Amphitheatre","Perimeter","Passive"},C460)))&gt;0,"no",IF(SUMPRODUCT(--ISNUMBER(SEARCH({"Cricket","Junior","Mini","Summer Football","Small"},C460)))&gt;0,"reduced",IF(SUMPRODUCT(--ISNUMBER(SEARCH({"Rugby","Football","League","Touch","Gaelic","Australian","Lacrosse","General Sport","Training Area","Ultimate"},C460)))&gt;0,"full","unknown"))))</f>
        <v/>
      </c>
      <c r="E460" s="9"/>
      <c r="F460" s="9"/>
      <c r="G460" s="9"/>
      <c r="H460" s="9"/>
      <c r="I460" s="12"/>
      <c r="J460" s="9"/>
      <c r="K460" s="9"/>
      <c r="L460" s="9"/>
      <c r="M460" s="9"/>
      <c r="N460" s="9"/>
      <c r="O460" s="13" t="str">
        <f aca="false">IF(C460="","",IF(N(M460)+N(N460)&lt;Settings!$C$9,"untested",M460/(M460+N460)))</f>
        <v/>
      </c>
      <c r="P460" s="9"/>
      <c r="Q460" s="9"/>
      <c r="R460" s="9"/>
      <c r="S460" s="12"/>
      <c r="T460" s="9"/>
      <c r="U460" s="9"/>
      <c r="V460" s="9"/>
      <c r="W460" s="10" t="str">
        <f aca="false">IF(C460="","",IF(OR(G460="training",G460="full"),"Yes",IF(G460="none","No","?")))</f>
        <v/>
      </c>
      <c r="X460" s="10" t="str">
        <f aca="false">IF(C460="","",IF(OR(E460="",E460="unknown"),D460,E460))</f>
        <v/>
      </c>
      <c r="Y460" s="10" t="str">
        <f aca="false">IF(C460="","",IF(OR(T460="unsuitable",T460="retired",X460="no"),"—",IF(J460="","unrated",IF(AND(X460="full",J460&gt;=Settings!$C$5,OR(O460="untested",O460&gt;=Settings!$C$6)),"A",IF(AND(OR(X460="full",X460="reduced"),J460&gt;=Settings!$C$7,OR(O460="untested",O460&gt;=Settings!$C$8)),"B","C")))))</f>
        <v/>
      </c>
      <c r="Z460" s="11" t="str">
        <f aca="false">IF(C460="","",IF(P460&lt;&gt;"",P460,Y460))</f>
        <v/>
      </c>
    </row>
    <row r="461" customFormat="false" ht="15" hidden="false" customHeight="false" outlineLevel="0" collapsed="false">
      <c r="A461" s="9"/>
      <c r="B461" s="10" t="str">
        <f aca="false">IF(A461="","",IFERROR(INDEX(Parks!$A$2:$A$255,MATCH(A461,Parks!$B$2:$B$255,0)),"?"))</f>
        <v/>
      </c>
      <c r="C461" s="9"/>
      <c r="D461" s="10" t="str">
        <f aca="false">IF(C461="","",IF(SUMPRODUCT(--ISNUMBER(SEARCH({"Nets","Wicket","Diamond","Softball","T-ball","Baseball","Netball","Tennis","Bocce","Pentaque","Petanque","Skate","Car Park","Pond","Bridle","Amphitheatre","Perimeter","Passive"},C461)))&gt;0,"no",IF(SUMPRODUCT(--ISNUMBER(SEARCH({"Cricket","Junior","Mini","Summer Football","Small"},C461)))&gt;0,"reduced",IF(SUMPRODUCT(--ISNUMBER(SEARCH({"Rugby","Football","League","Touch","Gaelic","Australian","Lacrosse","General Sport","Training Area","Ultimate"},C461)))&gt;0,"full","unknown"))))</f>
        <v/>
      </c>
      <c r="E461" s="9"/>
      <c r="F461" s="9"/>
      <c r="G461" s="9"/>
      <c r="H461" s="9"/>
      <c r="I461" s="12"/>
      <c r="J461" s="9"/>
      <c r="K461" s="9"/>
      <c r="L461" s="9"/>
      <c r="M461" s="9"/>
      <c r="N461" s="9"/>
      <c r="O461" s="13" t="str">
        <f aca="false">IF(C461="","",IF(N(M461)+N(N461)&lt;Settings!$C$9,"untested",M461/(M461+N461)))</f>
        <v/>
      </c>
      <c r="P461" s="9"/>
      <c r="Q461" s="9"/>
      <c r="R461" s="9"/>
      <c r="S461" s="12"/>
      <c r="T461" s="9"/>
      <c r="U461" s="9"/>
      <c r="V461" s="9"/>
      <c r="W461" s="10" t="str">
        <f aca="false">IF(C461="","",IF(OR(G461="training",G461="full"),"Yes",IF(G461="none","No","?")))</f>
        <v/>
      </c>
      <c r="X461" s="10" t="str">
        <f aca="false">IF(C461="","",IF(OR(E461="",E461="unknown"),D461,E461))</f>
        <v/>
      </c>
      <c r="Y461" s="10" t="str">
        <f aca="false">IF(C461="","",IF(OR(T461="unsuitable",T461="retired",X461="no"),"—",IF(J461="","unrated",IF(AND(X461="full",J461&gt;=Settings!$C$5,OR(O461="untested",O461&gt;=Settings!$C$6)),"A",IF(AND(OR(X461="full",X461="reduced"),J461&gt;=Settings!$C$7,OR(O461="untested",O461&gt;=Settings!$C$8)),"B","C")))))</f>
        <v/>
      </c>
      <c r="Z461" s="11" t="str">
        <f aca="false">IF(C461="","",IF(P461&lt;&gt;"",P461,Y461))</f>
        <v/>
      </c>
    </row>
    <row r="462" customFormat="false" ht="15" hidden="false" customHeight="false" outlineLevel="0" collapsed="false">
      <c r="A462" s="9"/>
      <c r="B462" s="10" t="str">
        <f aca="false">IF(A462="","",IFERROR(INDEX(Parks!$A$2:$A$255,MATCH(A462,Parks!$B$2:$B$255,0)),"?"))</f>
        <v/>
      </c>
      <c r="C462" s="9"/>
      <c r="D462" s="10" t="str">
        <f aca="false">IF(C462="","",IF(SUMPRODUCT(--ISNUMBER(SEARCH({"Nets","Wicket","Diamond","Softball","T-ball","Baseball","Netball","Tennis","Bocce","Pentaque","Petanque","Skate","Car Park","Pond","Bridle","Amphitheatre","Perimeter","Passive"},C462)))&gt;0,"no",IF(SUMPRODUCT(--ISNUMBER(SEARCH({"Cricket","Junior","Mini","Summer Football","Small"},C462)))&gt;0,"reduced",IF(SUMPRODUCT(--ISNUMBER(SEARCH({"Rugby","Football","League","Touch","Gaelic","Australian","Lacrosse","General Sport","Training Area","Ultimate"},C462)))&gt;0,"full","unknown"))))</f>
        <v/>
      </c>
      <c r="E462" s="9"/>
      <c r="F462" s="9"/>
      <c r="G462" s="9"/>
      <c r="H462" s="9"/>
      <c r="I462" s="12"/>
      <c r="J462" s="9"/>
      <c r="K462" s="9"/>
      <c r="L462" s="9"/>
      <c r="M462" s="9"/>
      <c r="N462" s="9"/>
      <c r="O462" s="13" t="str">
        <f aca="false">IF(C462="","",IF(N(M462)+N(N462)&lt;Settings!$C$9,"untested",M462/(M462+N462)))</f>
        <v/>
      </c>
      <c r="P462" s="9"/>
      <c r="Q462" s="9"/>
      <c r="R462" s="9"/>
      <c r="S462" s="12"/>
      <c r="T462" s="9"/>
      <c r="U462" s="9"/>
      <c r="V462" s="9"/>
      <c r="W462" s="10" t="str">
        <f aca="false">IF(C462="","",IF(OR(G462="training",G462="full"),"Yes",IF(G462="none","No","?")))</f>
        <v/>
      </c>
      <c r="X462" s="10" t="str">
        <f aca="false">IF(C462="","",IF(OR(E462="",E462="unknown"),D462,E462))</f>
        <v/>
      </c>
      <c r="Y462" s="10" t="str">
        <f aca="false">IF(C462="","",IF(OR(T462="unsuitable",T462="retired",X462="no"),"—",IF(J462="","unrated",IF(AND(X462="full",J462&gt;=Settings!$C$5,OR(O462="untested",O462&gt;=Settings!$C$6)),"A",IF(AND(OR(X462="full",X462="reduced"),J462&gt;=Settings!$C$7,OR(O462="untested",O462&gt;=Settings!$C$8)),"B","C")))))</f>
        <v/>
      </c>
      <c r="Z462" s="11" t="str">
        <f aca="false">IF(C462="","",IF(P462&lt;&gt;"",P462,Y462))</f>
        <v/>
      </c>
    </row>
    <row r="463" customFormat="false" ht="15" hidden="false" customHeight="false" outlineLevel="0" collapsed="false">
      <c r="A463" s="9"/>
      <c r="B463" s="10" t="str">
        <f aca="false">IF(A463="","",IFERROR(INDEX(Parks!$A$2:$A$255,MATCH(A463,Parks!$B$2:$B$255,0)),"?"))</f>
        <v/>
      </c>
      <c r="C463" s="9"/>
      <c r="D463" s="10" t="str">
        <f aca="false">IF(C463="","",IF(SUMPRODUCT(--ISNUMBER(SEARCH({"Nets","Wicket","Diamond","Softball","T-ball","Baseball","Netball","Tennis","Bocce","Pentaque","Petanque","Skate","Car Park","Pond","Bridle","Amphitheatre","Perimeter","Passive"},C463)))&gt;0,"no",IF(SUMPRODUCT(--ISNUMBER(SEARCH({"Cricket","Junior","Mini","Summer Football","Small"},C463)))&gt;0,"reduced",IF(SUMPRODUCT(--ISNUMBER(SEARCH({"Rugby","Football","League","Touch","Gaelic","Australian","Lacrosse","General Sport","Training Area","Ultimate"},C463)))&gt;0,"full","unknown"))))</f>
        <v/>
      </c>
      <c r="E463" s="9"/>
      <c r="F463" s="9"/>
      <c r="G463" s="9"/>
      <c r="H463" s="9"/>
      <c r="I463" s="12"/>
      <c r="J463" s="9"/>
      <c r="K463" s="9"/>
      <c r="L463" s="9"/>
      <c r="M463" s="9"/>
      <c r="N463" s="9"/>
      <c r="O463" s="13" t="str">
        <f aca="false">IF(C463="","",IF(N(M463)+N(N463)&lt;Settings!$C$9,"untested",M463/(M463+N463)))</f>
        <v/>
      </c>
      <c r="P463" s="9"/>
      <c r="Q463" s="9"/>
      <c r="R463" s="9"/>
      <c r="S463" s="12"/>
      <c r="T463" s="9"/>
      <c r="U463" s="9"/>
      <c r="V463" s="9"/>
      <c r="W463" s="10" t="str">
        <f aca="false">IF(C463="","",IF(OR(G463="training",G463="full"),"Yes",IF(G463="none","No","?")))</f>
        <v/>
      </c>
      <c r="X463" s="10" t="str">
        <f aca="false">IF(C463="","",IF(OR(E463="",E463="unknown"),D463,E463))</f>
        <v/>
      </c>
      <c r="Y463" s="10" t="str">
        <f aca="false">IF(C463="","",IF(OR(T463="unsuitable",T463="retired",X463="no"),"—",IF(J463="","unrated",IF(AND(X463="full",J463&gt;=Settings!$C$5,OR(O463="untested",O463&gt;=Settings!$C$6)),"A",IF(AND(OR(X463="full",X463="reduced"),J463&gt;=Settings!$C$7,OR(O463="untested",O463&gt;=Settings!$C$8)),"B","C")))))</f>
        <v/>
      </c>
      <c r="Z463" s="11" t="str">
        <f aca="false">IF(C463="","",IF(P463&lt;&gt;"",P463,Y463))</f>
        <v/>
      </c>
    </row>
    <row r="464" customFormat="false" ht="15" hidden="false" customHeight="false" outlineLevel="0" collapsed="false">
      <c r="A464" s="9"/>
      <c r="B464" s="10" t="str">
        <f aca="false">IF(A464="","",IFERROR(INDEX(Parks!$A$2:$A$255,MATCH(A464,Parks!$B$2:$B$255,0)),"?"))</f>
        <v/>
      </c>
      <c r="C464" s="9"/>
      <c r="D464" s="10" t="str">
        <f aca="false">IF(C464="","",IF(SUMPRODUCT(--ISNUMBER(SEARCH({"Nets","Wicket","Diamond","Softball","T-ball","Baseball","Netball","Tennis","Bocce","Pentaque","Petanque","Skate","Car Park","Pond","Bridle","Amphitheatre","Perimeter","Passive"},C464)))&gt;0,"no",IF(SUMPRODUCT(--ISNUMBER(SEARCH({"Cricket","Junior","Mini","Summer Football","Small"},C464)))&gt;0,"reduced",IF(SUMPRODUCT(--ISNUMBER(SEARCH({"Rugby","Football","League","Touch","Gaelic","Australian","Lacrosse","General Sport","Training Area","Ultimate"},C464)))&gt;0,"full","unknown"))))</f>
        <v/>
      </c>
      <c r="E464" s="9"/>
      <c r="F464" s="9"/>
      <c r="G464" s="9"/>
      <c r="H464" s="9"/>
      <c r="I464" s="12"/>
      <c r="J464" s="9"/>
      <c r="K464" s="9"/>
      <c r="L464" s="9"/>
      <c r="M464" s="9"/>
      <c r="N464" s="9"/>
      <c r="O464" s="13" t="str">
        <f aca="false">IF(C464="","",IF(N(M464)+N(N464)&lt;Settings!$C$9,"untested",M464/(M464+N464)))</f>
        <v/>
      </c>
      <c r="P464" s="9"/>
      <c r="Q464" s="9"/>
      <c r="R464" s="9"/>
      <c r="S464" s="12"/>
      <c r="T464" s="9"/>
      <c r="U464" s="9"/>
      <c r="V464" s="9"/>
      <c r="W464" s="10" t="str">
        <f aca="false">IF(C464="","",IF(OR(G464="training",G464="full"),"Yes",IF(G464="none","No","?")))</f>
        <v/>
      </c>
      <c r="X464" s="10" t="str">
        <f aca="false">IF(C464="","",IF(OR(E464="",E464="unknown"),D464,E464))</f>
        <v/>
      </c>
      <c r="Y464" s="10" t="str">
        <f aca="false">IF(C464="","",IF(OR(T464="unsuitable",T464="retired",X464="no"),"—",IF(J464="","unrated",IF(AND(X464="full",J464&gt;=Settings!$C$5,OR(O464="untested",O464&gt;=Settings!$C$6)),"A",IF(AND(OR(X464="full",X464="reduced"),J464&gt;=Settings!$C$7,OR(O464="untested",O464&gt;=Settings!$C$8)),"B","C")))))</f>
        <v/>
      </c>
      <c r="Z464" s="11" t="str">
        <f aca="false">IF(C464="","",IF(P464&lt;&gt;"",P464,Y464))</f>
        <v/>
      </c>
    </row>
    <row r="465" customFormat="false" ht="15" hidden="false" customHeight="false" outlineLevel="0" collapsed="false">
      <c r="A465" s="9"/>
      <c r="B465" s="10" t="str">
        <f aca="false">IF(A465="","",IFERROR(INDEX(Parks!$A$2:$A$255,MATCH(A465,Parks!$B$2:$B$255,0)),"?"))</f>
        <v/>
      </c>
      <c r="C465" s="9"/>
      <c r="D465" s="10" t="str">
        <f aca="false">IF(C465="","",IF(SUMPRODUCT(--ISNUMBER(SEARCH({"Nets","Wicket","Diamond","Softball","T-ball","Baseball","Netball","Tennis","Bocce","Pentaque","Petanque","Skate","Car Park","Pond","Bridle","Amphitheatre","Perimeter","Passive"},C465)))&gt;0,"no",IF(SUMPRODUCT(--ISNUMBER(SEARCH({"Cricket","Junior","Mini","Summer Football","Small"},C465)))&gt;0,"reduced",IF(SUMPRODUCT(--ISNUMBER(SEARCH({"Rugby","Football","League","Touch","Gaelic","Australian","Lacrosse","General Sport","Training Area","Ultimate"},C465)))&gt;0,"full","unknown"))))</f>
        <v/>
      </c>
      <c r="E465" s="9"/>
      <c r="F465" s="9"/>
      <c r="G465" s="9"/>
      <c r="H465" s="9"/>
      <c r="I465" s="12"/>
      <c r="J465" s="9"/>
      <c r="K465" s="9"/>
      <c r="L465" s="9"/>
      <c r="M465" s="9"/>
      <c r="N465" s="9"/>
      <c r="O465" s="13" t="str">
        <f aca="false">IF(C465="","",IF(N(M465)+N(N465)&lt;Settings!$C$9,"untested",M465/(M465+N465)))</f>
        <v/>
      </c>
      <c r="P465" s="9"/>
      <c r="Q465" s="9"/>
      <c r="R465" s="9"/>
      <c r="S465" s="12"/>
      <c r="T465" s="9"/>
      <c r="U465" s="9"/>
      <c r="V465" s="9"/>
      <c r="W465" s="10" t="str">
        <f aca="false">IF(C465="","",IF(OR(G465="training",G465="full"),"Yes",IF(G465="none","No","?")))</f>
        <v/>
      </c>
      <c r="X465" s="10" t="str">
        <f aca="false">IF(C465="","",IF(OR(E465="",E465="unknown"),D465,E465))</f>
        <v/>
      </c>
      <c r="Y465" s="10" t="str">
        <f aca="false">IF(C465="","",IF(OR(T465="unsuitable",T465="retired",X465="no"),"—",IF(J465="","unrated",IF(AND(X465="full",J465&gt;=Settings!$C$5,OR(O465="untested",O465&gt;=Settings!$C$6)),"A",IF(AND(OR(X465="full",X465="reduced"),J465&gt;=Settings!$C$7,OR(O465="untested",O465&gt;=Settings!$C$8)),"B","C")))))</f>
        <v/>
      </c>
      <c r="Z465" s="11" t="str">
        <f aca="false">IF(C465="","",IF(P465&lt;&gt;"",P465,Y465))</f>
        <v/>
      </c>
    </row>
    <row r="466" customFormat="false" ht="15" hidden="false" customHeight="false" outlineLevel="0" collapsed="false">
      <c r="A466" s="9"/>
      <c r="B466" s="10" t="str">
        <f aca="false">IF(A466="","",IFERROR(INDEX(Parks!$A$2:$A$255,MATCH(A466,Parks!$B$2:$B$255,0)),"?"))</f>
        <v/>
      </c>
      <c r="C466" s="9"/>
      <c r="D466" s="10" t="str">
        <f aca="false">IF(C466="","",IF(SUMPRODUCT(--ISNUMBER(SEARCH({"Nets","Wicket","Diamond","Softball","T-ball","Baseball","Netball","Tennis","Bocce","Pentaque","Petanque","Skate","Car Park","Pond","Bridle","Amphitheatre","Perimeter","Passive"},C466)))&gt;0,"no",IF(SUMPRODUCT(--ISNUMBER(SEARCH({"Cricket","Junior","Mini","Summer Football","Small"},C466)))&gt;0,"reduced",IF(SUMPRODUCT(--ISNUMBER(SEARCH({"Rugby","Football","League","Touch","Gaelic","Australian","Lacrosse","General Sport","Training Area","Ultimate"},C466)))&gt;0,"full","unknown"))))</f>
        <v/>
      </c>
      <c r="E466" s="9"/>
      <c r="F466" s="9"/>
      <c r="G466" s="9"/>
      <c r="H466" s="9"/>
      <c r="I466" s="12"/>
      <c r="J466" s="9"/>
      <c r="K466" s="9"/>
      <c r="L466" s="9"/>
      <c r="M466" s="9"/>
      <c r="N466" s="9"/>
      <c r="O466" s="13" t="str">
        <f aca="false">IF(C466="","",IF(N(M466)+N(N466)&lt;Settings!$C$9,"untested",M466/(M466+N466)))</f>
        <v/>
      </c>
      <c r="P466" s="9"/>
      <c r="Q466" s="9"/>
      <c r="R466" s="9"/>
      <c r="S466" s="12"/>
      <c r="T466" s="9"/>
      <c r="U466" s="9"/>
      <c r="V466" s="9"/>
      <c r="W466" s="10" t="str">
        <f aca="false">IF(C466="","",IF(OR(G466="training",G466="full"),"Yes",IF(G466="none","No","?")))</f>
        <v/>
      </c>
      <c r="X466" s="10" t="str">
        <f aca="false">IF(C466="","",IF(OR(E466="",E466="unknown"),D466,E466))</f>
        <v/>
      </c>
      <c r="Y466" s="10" t="str">
        <f aca="false">IF(C466="","",IF(OR(T466="unsuitable",T466="retired",X466="no"),"—",IF(J466="","unrated",IF(AND(X466="full",J466&gt;=Settings!$C$5,OR(O466="untested",O466&gt;=Settings!$C$6)),"A",IF(AND(OR(X466="full",X466="reduced"),J466&gt;=Settings!$C$7,OR(O466="untested",O466&gt;=Settings!$C$8)),"B","C")))))</f>
        <v/>
      </c>
      <c r="Z466" s="11" t="str">
        <f aca="false">IF(C466="","",IF(P466&lt;&gt;"",P466,Y466))</f>
        <v/>
      </c>
    </row>
    <row r="467" customFormat="false" ht="15" hidden="false" customHeight="false" outlineLevel="0" collapsed="false">
      <c r="A467" s="9"/>
      <c r="B467" s="10" t="str">
        <f aca="false">IF(A467="","",IFERROR(INDEX(Parks!$A$2:$A$255,MATCH(A467,Parks!$B$2:$B$255,0)),"?"))</f>
        <v/>
      </c>
      <c r="C467" s="9"/>
      <c r="D467" s="10" t="str">
        <f aca="false">IF(C467="","",IF(SUMPRODUCT(--ISNUMBER(SEARCH({"Nets","Wicket","Diamond","Softball","T-ball","Baseball","Netball","Tennis","Bocce","Pentaque","Petanque","Skate","Car Park","Pond","Bridle","Amphitheatre","Perimeter","Passive"},C467)))&gt;0,"no",IF(SUMPRODUCT(--ISNUMBER(SEARCH({"Cricket","Junior","Mini","Summer Football","Small"},C467)))&gt;0,"reduced",IF(SUMPRODUCT(--ISNUMBER(SEARCH({"Rugby","Football","League","Touch","Gaelic","Australian","Lacrosse","General Sport","Training Area","Ultimate"},C467)))&gt;0,"full","unknown"))))</f>
        <v/>
      </c>
      <c r="E467" s="9"/>
      <c r="F467" s="9"/>
      <c r="G467" s="9"/>
      <c r="H467" s="9"/>
      <c r="I467" s="12"/>
      <c r="J467" s="9"/>
      <c r="K467" s="9"/>
      <c r="L467" s="9"/>
      <c r="M467" s="9"/>
      <c r="N467" s="9"/>
      <c r="O467" s="13" t="str">
        <f aca="false">IF(C467="","",IF(N(M467)+N(N467)&lt;Settings!$C$9,"untested",M467/(M467+N467)))</f>
        <v/>
      </c>
      <c r="P467" s="9"/>
      <c r="Q467" s="9"/>
      <c r="R467" s="9"/>
      <c r="S467" s="12"/>
      <c r="T467" s="9"/>
      <c r="U467" s="9"/>
      <c r="V467" s="9"/>
      <c r="W467" s="10" t="str">
        <f aca="false">IF(C467="","",IF(OR(G467="training",G467="full"),"Yes",IF(G467="none","No","?")))</f>
        <v/>
      </c>
      <c r="X467" s="10" t="str">
        <f aca="false">IF(C467="","",IF(OR(E467="",E467="unknown"),D467,E467))</f>
        <v/>
      </c>
      <c r="Y467" s="10" t="str">
        <f aca="false">IF(C467="","",IF(OR(T467="unsuitable",T467="retired",X467="no"),"—",IF(J467="","unrated",IF(AND(X467="full",J467&gt;=Settings!$C$5,OR(O467="untested",O467&gt;=Settings!$C$6)),"A",IF(AND(OR(X467="full",X467="reduced"),J467&gt;=Settings!$C$7,OR(O467="untested",O467&gt;=Settings!$C$8)),"B","C")))))</f>
        <v/>
      </c>
      <c r="Z467" s="11" t="str">
        <f aca="false">IF(C467="","",IF(P467&lt;&gt;"",P467,Y467))</f>
        <v/>
      </c>
    </row>
    <row r="468" customFormat="false" ht="15" hidden="false" customHeight="false" outlineLevel="0" collapsed="false">
      <c r="A468" s="9"/>
      <c r="B468" s="10" t="str">
        <f aca="false">IF(A468="","",IFERROR(INDEX(Parks!$A$2:$A$255,MATCH(A468,Parks!$B$2:$B$255,0)),"?"))</f>
        <v/>
      </c>
      <c r="C468" s="9"/>
      <c r="D468" s="10" t="str">
        <f aca="false">IF(C468="","",IF(SUMPRODUCT(--ISNUMBER(SEARCH({"Nets","Wicket","Diamond","Softball","T-ball","Baseball","Netball","Tennis","Bocce","Pentaque","Petanque","Skate","Car Park","Pond","Bridle","Amphitheatre","Perimeter","Passive"},C468)))&gt;0,"no",IF(SUMPRODUCT(--ISNUMBER(SEARCH({"Cricket","Junior","Mini","Summer Football","Small"},C468)))&gt;0,"reduced",IF(SUMPRODUCT(--ISNUMBER(SEARCH({"Rugby","Football","League","Touch","Gaelic","Australian","Lacrosse","General Sport","Training Area","Ultimate"},C468)))&gt;0,"full","unknown"))))</f>
        <v/>
      </c>
      <c r="E468" s="9"/>
      <c r="F468" s="9"/>
      <c r="G468" s="9"/>
      <c r="H468" s="9"/>
      <c r="I468" s="12"/>
      <c r="J468" s="9"/>
      <c r="K468" s="9"/>
      <c r="L468" s="9"/>
      <c r="M468" s="9"/>
      <c r="N468" s="9"/>
      <c r="O468" s="13" t="str">
        <f aca="false">IF(C468="","",IF(N(M468)+N(N468)&lt;Settings!$C$9,"untested",M468/(M468+N468)))</f>
        <v/>
      </c>
      <c r="P468" s="9"/>
      <c r="Q468" s="9"/>
      <c r="R468" s="9"/>
      <c r="S468" s="12"/>
      <c r="T468" s="9"/>
      <c r="U468" s="9"/>
      <c r="V468" s="9"/>
      <c r="W468" s="10" t="str">
        <f aca="false">IF(C468="","",IF(OR(G468="training",G468="full"),"Yes",IF(G468="none","No","?")))</f>
        <v/>
      </c>
      <c r="X468" s="10" t="str">
        <f aca="false">IF(C468="","",IF(OR(E468="",E468="unknown"),D468,E468))</f>
        <v/>
      </c>
      <c r="Y468" s="10" t="str">
        <f aca="false">IF(C468="","",IF(OR(T468="unsuitable",T468="retired",X468="no"),"—",IF(J468="","unrated",IF(AND(X468="full",J468&gt;=Settings!$C$5,OR(O468="untested",O468&gt;=Settings!$C$6)),"A",IF(AND(OR(X468="full",X468="reduced"),J468&gt;=Settings!$C$7,OR(O468="untested",O468&gt;=Settings!$C$8)),"B","C")))))</f>
        <v/>
      </c>
      <c r="Z468" s="11" t="str">
        <f aca="false">IF(C468="","",IF(P468&lt;&gt;"",P468,Y468))</f>
        <v/>
      </c>
    </row>
    <row r="469" customFormat="false" ht="15" hidden="false" customHeight="false" outlineLevel="0" collapsed="false">
      <c r="A469" s="9"/>
      <c r="B469" s="10" t="str">
        <f aca="false">IF(A469="","",IFERROR(INDEX(Parks!$A$2:$A$255,MATCH(A469,Parks!$B$2:$B$255,0)),"?"))</f>
        <v/>
      </c>
      <c r="C469" s="9"/>
      <c r="D469" s="10" t="str">
        <f aca="false">IF(C469="","",IF(SUMPRODUCT(--ISNUMBER(SEARCH({"Nets","Wicket","Diamond","Softball","T-ball","Baseball","Netball","Tennis","Bocce","Pentaque","Petanque","Skate","Car Park","Pond","Bridle","Amphitheatre","Perimeter","Passive"},C469)))&gt;0,"no",IF(SUMPRODUCT(--ISNUMBER(SEARCH({"Cricket","Junior","Mini","Summer Football","Small"},C469)))&gt;0,"reduced",IF(SUMPRODUCT(--ISNUMBER(SEARCH({"Rugby","Football","League","Touch","Gaelic","Australian","Lacrosse","General Sport","Training Area","Ultimate"},C469)))&gt;0,"full","unknown"))))</f>
        <v/>
      </c>
      <c r="E469" s="9"/>
      <c r="F469" s="9"/>
      <c r="G469" s="9"/>
      <c r="H469" s="9"/>
      <c r="I469" s="12"/>
      <c r="J469" s="9"/>
      <c r="K469" s="9"/>
      <c r="L469" s="9"/>
      <c r="M469" s="9"/>
      <c r="N469" s="9"/>
      <c r="O469" s="13" t="str">
        <f aca="false">IF(C469="","",IF(N(M469)+N(N469)&lt;Settings!$C$9,"untested",M469/(M469+N469)))</f>
        <v/>
      </c>
      <c r="P469" s="9"/>
      <c r="Q469" s="9"/>
      <c r="R469" s="9"/>
      <c r="S469" s="12"/>
      <c r="T469" s="9"/>
      <c r="U469" s="9"/>
      <c r="V469" s="9"/>
      <c r="W469" s="10" t="str">
        <f aca="false">IF(C469="","",IF(OR(G469="training",G469="full"),"Yes",IF(G469="none","No","?")))</f>
        <v/>
      </c>
      <c r="X469" s="10" t="str">
        <f aca="false">IF(C469="","",IF(OR(E469="",E469="unknown"),D469,E469))</f>
        <v/>
      </c>
      <c r="Y469" s="10" t="str">
        <f aca="false">IF(C469="","",IF(OR(T469="unsuitable",T469="retired",X469="no"),"—",IF(J469="","unrated",IF(AND(X469="full",J469&gt;=Settings!$C$5,OR(O469="untested",O469&gt;=Settings!$C$6)),"A",IF(AND(OR(X469="full",X469="reduced"),J469&gt;=Settings!$C$7,OR(O469="untested",O469&gt;=Settings!$C$8)),"B","C")))))</f>
        <v/>
      </c>
      <c r="Z469" s="11" t="str">
        <f aca="false">IF(C469="","",IF(P469&lt;&gt;"",P469,Y469))</f>
        <v/>
      </c>
    </row>
    <row r="470" customFormat="false" ht="15" hidden="false" customHeight="false" outlineLevel="0" collapsed="false">
      <c r="A470" s="9"/>
      <c r="B470" s="10" t="str">
        <f aca="false">IF(A470="","",IFERROR(INDEX(Parks!$A$2:$A$255,MATCH(A470,Parks!$B$2:$B$255,0)),"?"))</f>
        <v/>
      </c>
      <c r="C470" s="9"/>
      <c r="D470" s="10" t="str">
        <f aca="false">IF(C470="","",IF(SUMPRODUCT(--ISNUMBER(SEARCH({"Nets","Wicket","Diamond","Softball","T-ball","Baseball","Netball","Tennis","Bocce","Pentaque","Petanque","Skate","Car Park","Pond","Bridle","Amphitheatre","Perimeter","Passive"},C470)))&gt;0,"no",IF(SUMPRODUCT(--ISNUMBER(SEARCH({"Cricket","Junior","Mini","Summer Football","Small"},C470)))&gt;0,"reduced",IF(SUMPRODUCT(--ISNUMBER(SEARCH({"Rugby","Football","League","Touch","Gaelic","Australian","Lacrosse","General Sport","Training Area","Ultimate"},C470)))&gt;0,"full","unknown"))))</f>
        <v/>
      </c>
      <c r="E470" s="9"/>
      <c r="F470" s="9"/>
      <c r="G470" s="9"/>
      <c r="H470" s="9"/>
      <c r="I470" s="12"/>
      <c r="J470" s="9"/>
      <c r="K470" s="9"/>
      <c r="L470" s="9"/>
      <c r="M470" s="9"/>
      <c r="N470" s="9"/>
      <c r="O470" s="13" t="str">
        <f aca="false">IF(C470="","",IF(N(M470)+N(N470)&lt;Settings!$C$9,"untested",M470/(M470+N470)))</f>
        <v/>
      </c>
      <c r="P470" s="9"/>
      <c r="Q470" s="9"/>
      <c r="R470" s="9"/>
      <c r="S470" s="12"/>
      <c r="T470" s="9"/>
      <c r="U470" s="9"/>
      <c r="V470" s="9"/>
      <c r="W470" s="10" t="str">
        <f aca="false">IF(C470="","",IF(OR(G470="training",G470="full"),"Yes",IF(G470="none","No","?")))</f>
        <v/>
      </c>
      <c r="X470" s="10" t="str">
        <f aca="false">IF(C470="","",IF(OR(E470="",E470="unknown"),D470,E470))</f>
        <v/>
      </c>
      <c r="Y470" s="10" t="str">
        <f aca="false">IF(C470="","",IF(OR(T470="unsuitable",T470="retired",X470="no"),"—",IF(J470="","unrated",IF(AND(X470="full",J470&gt;=Settings!$C$5,OR(O470="untested",O470&gt;=Settings!$C$6)),"A",IF(AND(OR(X470="full",X470="reduced"),J470&gt;=Settings!$C$7,OR(O470="untested",O470&gt;=Settings!$C$8)),"B","C")))))</f>
        <v/>
      </c>
      <c r="Z470" s="11" t="str">
        <f aca="false">IF(C470="","",IF(P470&lt;&gt;"",P470,Y470))</f>
        <v/>
      </c>
    </row>
    <row r="471" customFormat="false" ht="15" hidden="false" customHeight="false" outlineLevel="0" collapsed="false">
      <c r="A471" s="9"/>
      <c r="B471" s="10" t="str">
        <f aca="false">IF(A471="","",IFERROR(INDEX(Parks!$A$2:$A$255,MATCH(A471,Parks!$B$2:$B$255,0)),"?"))</f>
        <v/>
      </c>
      <c r="C471" s="9"/>
      <c r="D471" s="10" t="str">
        <f aca="false">IF(C471="","",IF(SUMPRODUCT(--ISNUMBER(SEARCH({"Nets","Wicket","Diamond","Softball","T-ball","Baseball","Netball","Tennis","Bocce","Pentaque","Petanque","Skate","Car Park","Pond","Bridle","Amphitheatre","Perimeter","Passive"},C471)))&gt;0,"no",IF(SUMPRODUCT(--ISNUMBER(SEARCH({"Cricket","Junior","Mini","Summer Football","Small"},C471)))&gt;0,"reduced",IF(SUMPRODUCT(--ISNUMBER(SEARCH({"Rugby","Football","League","Touch","Gaelic","Australian","Lacrosse","General Sport","Training Area","Ultimate"},C471)))&gt;0,"full","unknown"))))</f>
        <v/>
      </c>
      <c r="E471" s="9"/>
      <c r="F471" s="9"/>
      <c r="G471" s="9"/>
      <c r="H471" s="9"/>
      <c r="I471" s="12"/>
      <c r="J471" s="9"/>
      <c r="K471" s="9"/>
      <c r="L471" s="9"/>
      <c r="M471" s="9"/>
      <c r="N471" s="9"/>
      <c r="O471" s="13" t="str">
        <f aca="false">IF(C471="","",IF(N(M471)+N(N471)&lt;Settings!$C$9,"untested",M471/(M471+N471)))</f>
        <v/>
      </c>
      <c r="P471" s="9"/>
      <c r="Q471" s="9"/>
      <c r="R471" s="9"/>
      <c r="S471" s="12"/>
      <c r="T471" s="9"/>
      <c r="U471" s="9"/>
      <c r="V471" s="9"/>
      <c r="W471" s="10" t="str">
        <f aca="false">IF(C471="","",IF(OR(G471="training",G471="full"),"Yes",IF(G471="none","No","?")))</f>
        <v/>
      </c>
      <c r="X471" s="10" t="str">
        <f aca="false">IF(C471="","",IF(OR(E471="",E471="unknown"),D471,E471))</f>
        <v/>
      </c>
      <c r="Y471" s="10" t="str">
        <f aca="false">IF(C471="","",IF(OR(T471="unsuitable",T471="retired",X471="no"),"—",IF(J471="","unrated",IF(AND(X471="full",J471&gt;=Settings!$C$5,OR(O471="untested",O471&gt;=Settings!$C$6)),"A",IF(AND(OR(X471="full",X471="reduced"),J471&gt;=Settings!$C$7,OR(O471="untested",O471&gt;=Settings!$C$8)),"B","C")))))</f>
        <v/>
      </c>
      <c r="Z471" s="11" t="str">
        <f aca="false">IF(C471="","",IF(P471&lt;&gt;"",P471,Y471))</f>
        <v/>
      </c>
    </row>
    <row r="472" customFormat="false" ht="15" hidden="false" customHeight="false" outlineLevel="0" collapsed="false">
      <c r="A472" s="9"/>
      <c r="B472" s="10" t="str">
        <f aca="false">IF(A472="","",IFERROR(INDEX(Parks!$A$2:$A$255,MATCH(A472,Parks!$B$2:$B$255,0)),"?"))</f>
        <v/>
      </c>
      <c r="C472" s="9"/>
      <c r="D472" s="10" t="str">
        <f aca="false">IF(C472="","",IF(SUMPRODUCT(--ISNUMBER(SEARCH({"Nets","Wicket","Diamond","Softball","T-ball","Baseball","Netball","Tennis","Bocce","Pentaque","Petanque","Skate","Car Park","Pond","Bridle","Amphitheatre","Perimeter","Passive"},C472)))&gt;0,"no",IF(SUMPRODUCT(--ISNUMBER(SEARCH({"Cricket","Junior","Mini","Summer Football","Small"},C472)))&gt;0,"reduced",IF(SUMPRODUCT(--ISNUMBER(SEARCH({"Rugby","Football","League","Touch","Gaelic","Australian","Lacrosse","General Sport","Training Area","Ultimate"},C472)))&gt;0,"full","unknown"))))</f>
        <v/>
      </c>
      <c r="E472" s="9"/>
      <c r="F472" s="9"/>
      <c r="G472" s="9"/>
      <c r="H472" s="9"/>
      <c r="I472" s="12"/>
      <c r="J472" s="9"/>
      <c r="K472" s="9"/>
      <c r="L472" s="9"/>
      <c r="M472" s="9"/>
      <c r="N472" s="9"/>
      <c r="O472" s="13" t="str">
        <f aca="false">IF(C472="","",IF(N(M472)+N(N472)&lt;Settings!$C$9,"untested",M472/(M472+N472)))</f>
        <v/>
      </c>
      <c r="P472" s="9"/>
      <c r="Q472" s="9"/>
      <c r="R472" s="9"/>
      <c r="S472" s="12"/>
      <c r="T472" s="9"/>
      <c r="U472" s="9"/>
      <c r="V472" s="9"/>
      <c r="W472" s="10" t="str">
        <f aca="false">IF(C472="","",IF(OR(G472="training",G472="full"),"Yes",IF(G472="none","No","?")))</f>
        <v/>
      </c>
      <c r="X472" s="10" t="str">
        <f aca="false">IF(C472="","",IF(OR(E472="",E472="unknown"),D472,E472))</f>
        <v/>
      </c>
      <c r="Y472" s="10" t="str">
        <f aca="false">IF(C472="","",IF(OR(T472="unsuitable",T472="retired",X472="no"),"—",IF(J472="","unrated",IF(AND(X472="full",J472&gt;=Settings!$C$5,OR(O472="untested",O472&gt;=Settings!$C$6)),"A",IF(AND(OR(X472="full",X472="reduced"),J472&gt;=Settings!$C$7,OR(O472="untested",O472&gt;=Settings!$C$8)),"B","C")))))</f>
        <v/>
      </c>
      <c r="Z472" s="11" t="str">
        <f aca="false">IF(C472="","",IF(P472&lt;&gt;"",P472,Y472))</f>
        <v/>
      </c>
    </row>
    <row r="473" customFormat="false" ht="15" hidden="false" customHeight="false" outlineLevel="0" collapsed="false">
      <c r="A473" s="9"/>
      <c r="B473" s="10" t="str">
        <f aca="false">IF(A473="","",IFERROR(INDEX(Parks!$A$2:$A$255,MATCH(A473,Parks!$B$2:$B$255,0)),"?"))</f>
        <v/>
      </c>
      <c r="C473" s="9"/>
      <c r="D473" s="10" t="str">
        <f aca="false">IF(C473="","",IF(SUMPRODUCT(--ISNUMBER(SEARCH({"Nets","Wicket","Diamond","Softball","T-ball","Baseball","Netball","Tennis","Bocce","Pentaque","Petanque","Skate","Car Park","Pond","Bridle","Amphitheatre","Perimeter","Passive"},C473)))&gt;0,"no",IF(SUMPRODUCT(--ISNUMBER(SEARCH({"Cricket","Junior","Mini","Summer Football","Small"},C473)))&gt;0,"reduced",IF(SUMPRODUCT(--ISNUMBER(SEARCH({"Rugby","Football","League","Touch","Gaelic","Australian","Lacrosse","General Sport","Training Area","Ultimate"},C473)))&gt;0,"full","unknown"))))</f>
        <v/>
      </c>
      <c r="E473" s="9"/>
      <c r="F473" s="9"/>
      <c r="G473" s="9"/>
      <c r="H473" s="9"/>
      <c r="I473" s="12"/>
      <c r="J473" s="9"/>
      <c r="K473" s="9"/>
      <c r="L473" s="9"/>
      <c r="M473" s="9"/>
      <c r="N473" s="9"/>
      <c r="O473" s="13" t="str">
        <f aca="false">IF(C473="","",IF(N(M473)+N(N473)&lt;Settings!$C$9,"untested",M473/(M473+N473)))</f>
        <v/>
      </c>
      <c r="P473" s="9"/>
      <c r="Q473" s="9"/>
      <c r="R473" s="9"/>
      <c r="S473" s="12"/>
      <c r="T473" s="9"/>
      <c r="U473" s="9"/>
      <c r="V473" s="9"/>
      <c r="W473" s="10" t="str">
        <f aca="false">IF(C473="","",IF(OR(G473="training",G473="full"),"Yes",IF(G473="none","No","?")))</f>
        <v/>
      </c>
      <c r="X473" s="10" t="str">
        <f aca="false">IF(C473="","",IF(OR(E473="",E473="unknown"),D473,E473))</f>
        <v/>
      </c>
      <c r="Y473" s="10" t="str">
        <f aca="false">IF(C473="","",IF(OR(T473="unsuitable",T473="retired",X473="no"),"—",IF(J473="","unrated",IF(AND(X473="full",J473&gt;=Settings!$C$5,OR(O473="untested",O473&gt;=Settings!$C$6)),"A",IF(AND(OR(X473="full",X473="reduced"),J473&gt;=Settings!$C$7,OR(O473="untested",O473&gt;=Settings!$C$8)),"B","C")))))</f>
        <v/>
      </c>
      <c r="Z473" s="11" t="str">
        <f aca="false">IF(C473="","",IF(P473&lt;&gt;"",P473,Y473))</f>
        <v/>
      </c>
    </row>
    <row r="474" customFormat="false" ht="15" hidden="false" customHeight="false" outlineLevel="0" collapsed="false">
      <c r="A474" s="9"/>
      <c r="B474" s="10" t="str">
        <f aca="false">IF(A474="","",IFERROR(INDEX(Parks!$A$2:$A$255,MATCH(A474,Parks!$B$2:$B$255,0)),"?"))</f>
        <v/>
      </c>
      <c r="C474" s="9"/>
      <c r="D474" s="10" t="str">
        <f aca="false">IF(C474="","",IF(SUMPRODUCT(--ISNUMBER(SEARCH({"Nets","Wicket","Diamond","Softball","T-ball","Baseball","Netball","Tennis","Bocce","Pentaque","Petanque","Skate","Car Park","Pond","Bridle","Amphitheatre","Perimeter","Passive"},C474)))&gt;0,"no",IF(SUMPRODUCT(--ISNUMBER(SEARCH({"Cricket","Junior","Mini","Summer Football","Small"},C474)))&gt;0,"reduced",IF(SUMPRODUCT(--ISNUMBER(SEARCH({"Rugby","Football","League","Touch","Gaelic","Australian","Lacrosse","General Sport","Training Area","Ultimate"},C474)))&gt;0,"full","unknown"))))</f>
        <v/>
      </c>
      <c r="E474" s="9"/>
      <c r="F474" s="9"/>
      <c r="G474" s="9"/>
      <c r="H474" s="9"/>
      <c r="I474" s="12"/>
      <c r="J474" s="9"/>
      <c r="K474" s="9"/>
      <c r="L474" s="9"/>
      <c r="M474" s="9"/>
      <c r="N474" s="9"/>
      <c r="O474" s="13" t="str">
        <f aca="false">IF(C474="","",IF(N(M474)+N(N474)&lt;Settings!$C$9,"untested",M474/(M474+N474)))</f>
        <v/>
      </c>
      <c r="P474" s="9"/>
      <c r="Q474" s="9"/>
      <c r="R474" s="9"/>
      <c r="S474" s="12"/>
      <c r="T474" s="9"/>
      <c r="U474" s="9"/>
      <c r="V474" s="9"/>
      <c r="W474" s="10" t="str">
        <f aca="false">IF(C474="","",IF(OR(G474="training",G474="full"),"Yes",IF(G474="none","No","?")))</f>
        <v/>
      </c>
      <c r="X474" s="10" t="str">
        <f aca="false">IF(C474="","",IF(OR(E474="",E474="unknown"),D474,E474))</f>
        <v/>
      </c>
      <c r="Y474" s="10" t="str">
        <f aca="false">IF(C474="","",IF(OR(T474="unsuitable",T474="retired",X474="no"),"—",IF(J474="","unrated",IF(AND(X474="full",J474&gt;=Settings!$C$5,OR(O474="untested",O474&gt;=Settings!$C$6)),"A",IF(AND(OR(X474="full",X474="reduced"),J474&gt;=Settings!$C$7,OR(O474="untested",O474&gt;=Settings!$C$8)),"B","C")))))</f>
        <v/>
      </c>
      <c r="Z474" s="11" t="str">
        <f aca="false">IF(C474="","",IF(P474&lt;&gt;"",P474,Y474))</f>
        <v/>
      </c>
    </row>
    <row r="475" customFormat="false" ht="15" hidden="false" customHeight="false" outlineLevel="0" collapsed="false">
      <c r="A475" s="9"/>
      <c r="B475" s="10" t="str">
        <f aca="false">IF(A475="","",IFERROR(INDEX(Parks!$A$2:$A$255,MATCH(A475,Parks!$B$2:$B$255,0)),"?"))</f>
        <v/>
      </c>
      <c r="C475" s="9"/>
      <c r="D475" s="10" t="str">
        <f aca="false">IF(C475="","",IF(SUMPRODUCT(--ISNUMBER(SEARCH({"Nets","Wicket","Diamond","Softball","T-ball","Baseball","Netball","Tennis","Bocce","Pentaque","Petanque","Skate","Car Park","Pond","Bridle","Amphitheatre","Perimeter","Passive"},C475)))&gt;0,"no",IF(SUMPRODUCT(--ISNUMBER(SEARCH({"Cricket","Junior","Mini","Summer Football","Small"},C475)))&gt;0,"reduced",IF(SUMPRODUCT(--ISNUMBER(SEARCH({"Rugby","Football","League","Touch","Gaelic","Australian","Lacrosse","General Sport","Training Area","Ultimate"},C475)))&gt;0,"full","unknown"))))</f>
        <v/>
      </c>
      <c r="E475" s="9"/>
      <c r="F475" s="9"/>
      <c r="G475" s="9"/>
      <c r="H475" s="9"/>
      <c r="I475" s="12"/>
      <c r="J475" s="9"/>
      <c r="K475" s="9"/>
      <c r="L475" s="9"/>
      <c r="M475" s="9"/>
      <c r="N475" s="9"/>
      <c r="O475" s="13" t="str">
        <f aca="false">IF(C475="","",IF(N(M475)+N(N475)&lt;Settings!$C$9,"untested",M475/(M475+N475)))</f>
        <v/>
      </c>
      <c r="P475" s="9"/>
      <c r="Q475" s="9"/>
      <c r="R475" s="9"/>
      <c r="S475" s="12"/>
      <c r="T475" s="9"/>
      <c r="U475" s="9"/>
      <c r="V475" s="9"/>
      <c r="W475" s="10" t="str">
        <f aca="false">IF(C475="","",IF(OR(G475="training",G475="full"),"Yes",IF(G475="none","No","?")))</f>
        <v/>
      </c>
      <c r="X475" s="10" t="str">
        <f aca="false">IF(C475="","",IF(OR(E475="",E475="unknown"),D475,E475))</f>
        <v/>
      </c>
      <c r="Y475" s="10" t="str">
        <f aca="false">IF(C475="","",IF(OR(T475="unsuitable",T475="retired",X475="no"),"—",IF(J475="","unrated",IF(AND(X475="full",J475&gt;=Settings!$C$5,OR(O475="untested",O475&gt;=Settings!$C$6)),"A",IF(AND(OR(X475="full",X475="reduced"),J475&gt;=Settings!$C$7,OR(O475="untested",O475&gt;=Settings!$C$8)),"B","C")))))</f>
        <v/>
      </c>
      <c r="Z475" s="11" t="str">
        <f aca="false">IF(C475="","",IF(P475&lt;&gt;"",P475,Y475))</f>
        <v/>
      </c>
    </row>
    <row r="476" customFormat="false" ht="15" hidden="false" customHeight="false" outlineLevel="0" collapsed="false">
      <c r="A476" s="9"/>
      <c r="B476" s="10" t="str">
        <f aca="false">IF(A476="","",IFERROR(INDEX(Parks!$A$2:$A$255,MATCH(A476,Parks!$B$2:$B$255,0)),"?"))</f>
        <v/>
      </c>
      <c r="C476" s="9"/>
      <c r="D476" s="10" t="str">
        <f aca="false">IF(C476="","",IF(SUMPRODUCT(--ISNUMBER(SEARCH({"Nets","Wicket","Diamond","Softball","T-ball","Baseball","Netball","Tennis","Bocce","Pentaque","Petanque","Skate","Car Park","Pond","Bridle","Amphitheatre","Perimeter","Passive"},C476)))&gt;0,"no",IF(SUMPRODUCT(--ISNUMBER(SEARCH({"Cricket","Junior","Mini","Summer Football","Small"},C476)))&gt;0,"reduced",IF(SUMPRODUCT(--ISNUMBER(SEARCH({"Rugby","Football","League","Touch","Gaelic","Australian","Lacrosse","General Sport","Training Area","Ultimate"},C476)))&gt;0,"full","unknown"))))</f>
        <v/>
      </c>
      <c r="E476" s="9"/>
      <c r="F476" s="9"/>
      <c r="G476" s="9"/>
      <c r="H476" s="9"/>
      <c r="I476" s="12"/>
      <c r="J476" s="9"/>
      <c r="K476" s="9"/>
      <c r="L476" s="9"/>
      <c r="M476" s="9"/>
      <c r="N476" s="9"/>
      <c r="O476" s="13" t="str">
        <f aca="false">IF(C476="","",IF(N(M476)+N(N476)&lt;Settings!$C$9,"untested",M476/(M476+N476)))</f>
        <v/>
      </c>
      <c r="P476" s="9"/>
      <c r="Q476" s="9"/>
      <c r="R476" s="9"/>
      <c r="S476" s="12"/>
      <c r="T476" s="9"/>
      <c r="U476" s="9"/>
      <c r="V476" s="9"/>
      <c r="W476" s="10" t="str">
        <f aca="false">IF(C476="","",IF(OR(G476="training",G476="full"),"Yes",IF(G476="none","No","?")))</f>
        <v/>
      </c>
      <c r="X476" s="10" t="str">
        <f aca="false">IF(C476="","",IF(OR(E476="",E476="unknown"),D476,E476))</f>
        <v/>
      </c>
      <c r="Y476" s="10" t="str">
        <f aca="false">IF(C476="","",IF(OR(T476="unsuitable",T476="retired",X476="no"),"—",IF(J476="","unrated",IF(AND(X476="full",J476&gt;=Settings!$C$5,OR(O476="untested",O476&gt;=Settings!$C$6)),"A",IF(AND(OR(X476="full",X476="reduced"),J476&gt;=Settings!$C$7,OR(O476="untested",O476&gt;=Settings!$C$8)),"B","C")))))</f>
        <v/>
      </c>
      <c r="Z476" s="11" t="str">
        <f aca="false">IF(C476="","",IF(P476&lt;&gt;"",P476,Y476))</f>
        <v/>
      </c>
    </row>
    <row r="477" customFormat="false" ht="15" hidden="false" customHeight="false" outlineLevel="0" collapsed="false">
      <c r="A477" s="9"/>
      <c r="B477" s="10" t="str">
        <f aca="false">IF(A477="","",IFERROR(INDEX(Parks!$A$2:$A$255,MATCH(A477,Parks!$B$2:$B$255,0)),"?"))</f>
        <v/>
      </c>
      <c r="C477" s="9"/>
      <c r="D477" s="10" t="str">
        <f aca="false">IF(C477="","",IF(SUMPRODUCT(--ISNUMBER(SEARCH({"Nets","Wicket","Diamond","Softball","T-ball","Baseball","Netball","Tennis","Bocce","Pentaque","Petanque","Skate","Car Park","Pond","Bridle","Amphitheatre","Perimeter","Passive"},C477)))&gt;0,"no",IF(SUMPRODUCT(--ISNUMBER(SEARCH({"Cricket","Junior","Mini","Summer Football","Small"},C477)))&gt;0,"reduced",IF(SUMPRODUCT(--ISNUMBER(SEARCH({"Rugby","Football","League","Touch","Gaelic","Australian","Lacrosse","General Sport","Training Area","Ultimate"},C477)))&gt;0,"full","unknown"))))</f>
        <v/>
      </c>
      <c r="E477" s="9"/>
      <c r="F477" s="9"/>
      <c r="G477" s="9"/>
      <c r="H477" s="9"/>
      <c r="I477" s="12"/>
      <c r="J477" s="9"/>
      <c r="K477" s="9"/>
      <c r="L477" s="9"/>
      <c r="M477" s="9"/>
      <c r="N477" s="9"/>
      <c r="O477" s="13" t="str">
        <f aca="false">IF(C477="","",IF(N(M477)+N(N477)&lt;Settings!$C$9,"untested",M477/(M477+N477)))</f>
        <v/>
      </c>
      <c r="P477" s="9"/>
      <c r="Q477" s="9"/>
      <c r="R477" s="9"/>
      <c r="S477" s="12"/>
      <c r="T477" s="9"/>
      <c r="U477" s="9"/>
      <c r="V477" s="9"/>
      <c r="W477" s="10" t="str">
        <f aca="false">IF(C477="","",IF(OR(G477="training",G477="full"),"Yes",IF(G477="none","No","?")))</f>
        <v/>
      </c>
      <c r="X477" s="10" t="str">
        <f aca="false">IF(C477="","",IF(OR(E477="",E477="unknown"),D477,E477))</f>
        <v/>
      </c>
      <c r="Y477" s="10" t="str">
        <f aca="false">IF(C477="","",IF(OR(T477="unsuitable",T477="retired",X477="no"),"—",IF(J477="","unrated",IF(AND(X477="full",J477&gt;=Settings!$C$5,OR(O477="untested",O477&gt;=Settings!$C$6)),"A",IF(AND(OR(X477="full",X477="reduced"),J477&gt;=Settings!$C$7,OR(O477="untested",O477&gt;=Settings!$C$8)),"B","C")))))</f>
        <v/>
      </c>
      <c r="Z477" s="11" t="str">
        <f aca="false">IF(C477="","",IF(P477&lt;&gt;"",P477,Y477))</f>
        <v/>
      </c>
    </row>
    <row r="478" customFormat="false" ht="15" hidden="false" customHeight="false" outlineLevel="0" collapsed="false">
      <c r="A478" s="9"/>
      <c r="B478" s="10" t="str">
        <f aca="false">IF(A478="","",IFERROR(INDEX(Parks!$A$2:$A$255,MATCH(A478,Parks!$B$2:$B$255,0)),"?"))</f>
        <v/>
      </c>
      <c r="C478" s="9"/>
      <c r="D478" s="10" t="str">
        <f aca="false">IF(C478="","",IF(SUMPRODUCT(--ISNUMBER(SEARCH({"Nets","Wicket","Diamond","Softball","T-ball","Baseball","Netball","Tennis","Bocce","Pentaque","Petanque","Skate","Car Park","Pond","Bridle","Amphitheatre","Perimeter","Passive"},C478)))&gt;0,"no",IF(SUMPRODUCT(--ISNUMBER(SEARCH({"Cricket","Junior","Mini","Summer Football","Small"},C478)))&gt;0,"reduced",IF(SUMPRODUCT(--ISNUMBER(SEARCH({"Rugby","Football","League","Touch","Gaelic","Australian","Lacrosse","General Sport","Training Area","Ultimate"},C478)))&gt;0,"full","unknown"))))</f>
        <v/>
      </c>
      <c r="E478" s="9"/>
      <c r="F478" s="9"/>
      <c r="G478" s="9"/>
      <c r="H478" s="9"/>
      <c r="I478" s="12"/>
      <c r="J478" s="9"/>
      <c r="K478" s="9"/>
      <c r="L478" s="9"/>
      <c r="M478" s="9"/>
      <c r="N478" s="9"/>
      <c r="O478" s="13" t="str">
        <f aca="false">IF(C478="","",IF(N(M478)+N(N478)&lt;Settings!$C$9,"untested",M478/(M478+N478)))</f>
        <v/>
      </c>
      <c r="P478" s="9"/>
      <c r="Q478" s="9"/>
      <c r="R478" s="9"/>
      <c r="S478" s="12"/>
      <c r="T478" s="9"/>
      <c r="U478" s="9"/>
      <c r="V478" s="9"/>
      <c r="W478" s="10" t="str">
        <f aca="false">IF(C478="","",IF(OR(G478="training",G478="full"),"Yes",IF(G478="none","No","?")))</f>
        <v/>
      </c>
      <c r="X478" s="10" t="str">
        <f aca="false">IF(C478="","",IF(OR(E478="",E478="unknown"),D478,E478))</f>
        <v/>
      </c>
      <c r="Y478" s="10" t="str">
        <f aca="false">IF(C478="","",IF(OR(T478="unsuitable",T478="retired",X478="no"),"—",IF(J478="","unrated",IF(AND(X478="full",J478&gt;=Settings!$C$5,OR(O478="untested",O478&gt;=Settings!$C$6)),"A",IF(AND(OR(X478="full",X478="reduced"),J478&gt;=Settings!$C$7,OR(O478="untested",O478&gt;=Settings!$C$8)),"B","C")))))</f>
        <v/>
      </c>
      <c r="Z478" s="11" t="str">
        <f aca="false">IF(C478="","",IF(P478&lt;&gt;"",P478,Y478))</f>
        <v/>
      </c>
    </row>
    <row r="479" customFormat="false" ht="15" hidden="false" customHeight="false" outlineLevel="0" collapsed="false">
      <c r="A479" s="9"/>
      <c r="B479" s="10" t="str">
        <f aca="false">IF(A479="","",IFERROR(INDEX(Parks!$A$2:$A$255,MATCH(A479,Parks!$B$2:$B$255,0)),"?"))</f>
        <v/>
      </c>
      <c r="C479" s="9"/>
      <c r="D479" s="10" t="str">
        <f aca="false">IF(C479="","",IF(SUMPRODUCT(--ISNUMBER(SEARCH({"Nets","Wicket","Diamond","Softball","T-ball","Baseball","Netball","Tennis","Bocce","Pentaque","Petanque","Skate","Car Park","Pond","Bridle","Amphitheatre","Perimeter","Passive"},C479)))&gt;0,"no",IF(SUMPRODUCT(--ISNUMBER(SEARCH({"Cricket","Junior","Mini","Summer Football","Small"},C479)))&gt;0,"reduced",IF(SUMPRODUCT(--ISNUMBER(SEARCH({"Rugby","Football","League","Touch","Gaelic","Australian","Lacrosse","General Sport","Training Area","Ultimate"},C479)))&gt;0,"full","unknown"))))</f>
        <v/>
      </c>
      <c r="E479" s="9"/>
      <c r="F479" s="9"/>
      <c r="G479" s="9"/>
      <c r="H479" s="9"/>
      <c r="I479" s="12"/>
      <c r="J479" s="9"/>
      <c r="K479" s="9"/>
      <c r="L479" s="9"/>
      <c r="M479" s="9"/>
      <c r="N479" s="9"/>
      <c r="O479" s="13" t="str">
        <f aca="false">IF(C479="","",IF(N(M479)+N(N479)&lt;Settings!$C$9,"untested",M479/(M479+N479)))</f>
        <v/>
      </c>
      <c r="P479" s="9"/>
      <c r="Q479" s="9"/>
      <c r="R479" s="9"/>
      <c r="S479" s="12"/>
      <c r="T479" s="9"/>
      <c r="U479" s="9"/>
      <c r="V479" s="9"/>
      <c r="W479" s="10" t="str">
        <f aca="false">IF(C479="","",IF(OR(G479="training",G479="full"),"Yes",IF(G479="none","No","?")))</f>
        <v/>
      </c>
      <c r="X479" s="10" t="str">
        <f aca="false">IF(C479="","",IF(OR(E479="",E479="unknown"),D479,E479))</f>
        <v/>
      </c>
      <c r="Y479" s="10" t="str">
        <f aca="false">IF(C479="","",IF(OR(T479="unsuitable",T479="retired",X479="no"),"—",IF(J479="","unrated",IF(AND(X479="full",J479&gt;=Settings!$C$5,OR(O479="untested",O479&gt;=Settings!$C$6)),"A",IF(AND(OR(X479="full",X479="reduced"),J479&gt;=Settings!$C$7,OR(O479="untested",O479&gt;=Settings!$C$8)),"B","C")))))</f>
        <v/>
      </c>
      <c r="Z479" s="11" t="str">
        <f aca="false">IF(C479="","",IF(P479&lt;&gt;"",P479,Y479))</f>
        <v/>
      </c>
    </row>
    <row r="480" customFormat="false" ht="15" hidden="false" customHeight="false" outlineLevel="0" collapsed="false">
      <c r="A480" s="9"/>
      <c r="B480" s="10" t="str">
        <f aca="false">IF(A480="","",IFERROR(INDEX(Parks!$A$2:$A$255,MATCH(A480,Parks!$B$2:$B$255,0)),"?"))</f>
        <v/>
      </c>
      <c r="C480" s="9"/>
      <c r="D480" s="10" t="str">
        <f aca="false">IF(C480="","",IF(SUMPRODUCT(--ISNUMBER(SEARCH({"Nets","Wicket","Diamond","Softball","T-ball","Baseball","Netball","Tennis","Bocce","Pentaque","Petanque","Skate","Car Park","Pond","Bridle","Amphitheatre","Perimeter","Passive"},C480)))&gt;0,"no",IF(SUMPRODUCT(--ISNUMBER(SEARCH({"Cricket","Junior","Mini","Summer Football","Small"},C480)))&gt;0,"reduced",IF(SUMPRODUCT(--ISNUMBER(SEARCH({"Rugby","Football","League","Touch","Gaelic","Australian","Lacrosse","General Sport","Training Area","Ultimate"},C480)))&gt;0,"full","unknown"))))</f>
        <v/>
      </c>
      <c r="E480" s="9"/>
      <c r="F480" s="9"/>
      <c r="G480" s="9"/>
      <c r="H480" s="9"/>
      <c r="I480" s="12"/>
      <c r="J480" s="9"/>
      <c r="K480" s="9"/>
      <c r="L480" s="9"/>
      <c r="M480" s="9"/>
      <c r="N480" s="9"/>
      <c r="O480" s="13" t="str">
        <f aca="false">IF(C480="","",IF(N(M480)+N(N480)&lt;Settings!$C$9,"untested",M480/(M480+N480)))</f>
        <v/>
      </c>
      <c r="P480" s="9"/>
      <c r="Q480" s="9"/>
      <c r="R480" s="9"/>
      <c r="S480" s="12"/>
      <c r="T480" s="9"/>
      <c r="U480" s="9"/>
      <c r="V480" s="9"/>
      <c r="W480" s="10" t="str">
        <f aca="false">IF(C480="","",IF(OR(G480="training",G480="full"),"Yes",IF(G480="none","No","?")))</f>
        <v/>
      </c>
      <c r="X480" s="10" t="str">
        <f aca="false">IF(C480="","",IF(OR(E480="",E480="unknown"),D480,E480))</f>
        <v/>
      </c>
      <c r="Y480" s="10" t="str">
        <f aca="false">IF(C480="","",IF(OR(T480="unsuitable",T480="retired",X480="no"),"—",IF(J480="","unrated",IF(AND(X480="full",J480&gt;=Settings!$C$5,OR(O480="untested",O480&gt;=Settings!$C$6)),"A",IF(AND(OR(X480="full",X480="reduced"),J480&gt;=Settings!$C$7,OR(O480="untested",O480&gt;=Settings!$C$8)),"B","C")))))</f>
        <v/>
      </c>
      <c r="Z480" s="11" t="str">
        <f aca="false">IF(C480="","",IF(P480&lt;&gt;"",P480,Y480))</f>
        <v/>
      </c>
    </row>
    <row r="481" customFormat="false" ht="15" hidden="false" customHeight="false" outlineLevel="0" collapsed="false">
      <c r="A481" s="9"/>
      <c r="B481" s="10" t="str">
        <f aca="false">IF(A481="","",IFERROR(INDEX(Parks!$A$2:$A$255,MATCH(A481,Parks!$B$2:$B$255,0)),"?"))</f>
        <v/>
      </c>
      <c r="C481" s="9"/>
      <c r="D481" s="10" t="str">
        <f aca="false">IF(C481="","",IF(SUMPRODUCT(--ISNUMBER(SEARCH({"Nets","Wicket","Diamond","Softball","T-ball","Baseball","Netball","Tennis","Bocce","Pentaque","Petanque","Skate","Car Park","Pond","Bridle","Amphitheatre","Perimeter","Passive"},C481)))&gt;0,"no",IF(SUMPRODUCT(--ISNUMBER(SEARCH({"Cricket","Junior","Mini","Summer Football","Small"},C481)))&gt;0,"reduced",IF(SUMPRODUCT(--ISNUMBER(SEARCH({"Rugby","Football","League","Touch","Gaelic","Australian","Lacrosse","General Sport","Training Area","Ultimate"},C481)))&gt;0,"full","unknown"))))</f>
        <v/>
      </c>
      <c r="E481" s="9"/>
      <c r="F481" s="9"/>
      <c r="G481" s="9"/>
      <c r="H481" s="9"/>
      <c r="I481" s="12"/>
      <c r="J481" s="9"/>
      <c r="K481" s="9"/>
      <c r="L481" s="9"/>
      <c r="M481" s="9"/>
      <c r="N481" s="9"/>
      <c r="O481" s="13" t="str">
        <f aca="false">IF(C481="","",IF(N(M481)+N(N481)&lt;Settings!$C$9,"untested",M481/(M481+N481)))</f>
        <v/>
      </c>
      <c r="P481" s="9"/>
      <c r="Q481" s="9"/>
      <c r="R481" s="9"/>
      <c r="S481" s="12"/>
      <c r="T481" s="9"/>
      <c r="U481" s="9"/>
      <c r="V481" s="9"/>
      <c r="W481" s="10" t="str">
        <f aca="false">IF(C481="","",IF(OR(G481="training",G481="full"),"Yes",IF(G481="none","No","?")))</f>
        <v/>
      </c>
      <c r="X481" s="10" t="str">
        <f aca="false">IF(C481="","",IF(OR(E481="",E481="unknown"),D481,E481))</f>
        <v/>
      </c>
      <c r="Y481" s="10" t="str">
        <f aca="false">IF(C481="","",IF(OR(T481="unsuitable",T481="retired",X481="no"),"—",IF(J481="","unrated",IF(AND(X481="full",J481&gt;=Settings!$C$5,OR(O481="untested",O481&gt;=Settings!$C$6)),"A",IF(AND(OR(X481="full",X481="reduced"),J481&gt;=Settings!$C$7,OR(O481="untested",O481&gt;=Settings!$C$8)),"B","C")))))</f>
        <v/>
      </c>
      <c r="Z481" s="11" t="str">
        <f aca="false">IF(C481="","",IF(P481&lt;&gt;"",P481,Y481))</f>
        <v/>
      </c>
    </row>
    <row r="482" customFormat="false" ht="15" hidden="false" customHeight="false" outlineLevel="0" collapsed="false">
      <c r="A482" s="9"/>
      <c r="B482" s="10" t="str">
        <f aca="false">IF(A482="","",IFERROR(INDEX(Parks!$A$2:$A$255,MATCH(A482,Parks!$B$2:$B$255,0)),"?"))</f>
        <v/>
      </c>
      <c r="C482" s="9"/>
      <c r="D482" s="10" t="str">
        <f aca="false">IF(C482="","",IF(SUMPRODUCT(--ISNUMBER(SEARCH({"Nets","Wicket","Diamond","Softball","T-ball","Baseball","Netball","Tennis","Bocce","Pentaque","Petanque","Skate","Car Park","Pond","Bridle","Amphitheatre","Perimeter","Passive"},C482)))&gt;0,"no",IF(SUMPRODUCT(--ISNUMBER(SEARCH({"Cricket","Junior","Mini","Summer Football","Small"},C482)))&gt;0,"reduced",IF(SUMPRODUCT(--ISNUMBER(SEARCH({"Rugby","Football","League","Touch","Gaelic","Australian","Lacrosse","General Sport","Training Area","Ultimate"},C482)))&gt;0,"full","unknown"))))</f>
        <v/>
      </c>
      <c r="E482" s="9"/>
      <c r="F482" s="9"/>
      <c r="G482" s="9"/>
      <c r="H482" s="9"/>
      <c r="I482" s="12"/>
      <c r="J482" s="9"/>
      <c r="K482" s="9"/>
      <c r="L482" s="9"/>
      <c r="M482" s="9"/>
      <c r="N482" s="9"/>
      <c r="O482" s="13" t="str">
        <f aca="false">IF(C482="","",IF(N(M482)+N(N482)&lt;Settings!$C$9,"untested",M482/(M482+N482)))</f>
        <v/>
      </c>
      <c r="P482" s="9"/>
      <c r="Q482" s="9"/>
      <c r="R482" s="9"/>
      <c r="S482" s="12"/>
      <c r="T482" s="9"/>
      <c r="U482" s="9"/>
      <c r="V482" s="9"/>
      <c r="W482" s="10" t="str">
        <f aca="false">IF(C482="","",IF(OR(G482="training",G482="full"),"Yes",IF(G482="none","No","?")))</f>
        <v/>
      </c>
      <c r="X482" s="10" t="str">
        <f aca="false">IF(C482="","",IF(OR(E482="",E482="unknown"),D482,E482))</f>
        <v/>
      </c>
      <c r="Y482" s="10" t="str">
        <f aca="false">IF(C482="","",IF(OR(T482="unsuitable",T482="retired",X482="no"),"—",IF(J482="","unrated",IF(AND(X482="full",J482&gt;=Settings!$C$5,OR(O482="untested",O482&gt;=Settings!$C$6)),"A",IF(AND(OR(X482="full",X482="reduced"),J482&gt;=Settings!$C$7,OR(O482="untested",O482&gt;=Settings!$C$8)),"B","C")))))</f>
        <v/>
      </c>
      <c r="Z482" s="11" t="str">
        <f aca="false">IF(C482="","",IF(P482&lt;&gt;"",P482,Y482))</f>
        <v/>
      </c>
    </row>
    <row r="483" customFormat="false" ht="15" hidden="false" customHeight="false" outlineLevel="0" collapsed="false">
      <c r="A483" s="9"/>
      <c r="B483" s="10" t="str">
        <f aca="false">IF(A483="","",IFERROR(INDEX(Parks!$A$2:$A$255,MATCH(A483,Parks!$B$2:$B$255,0)),"?"))</f>
        <v/>
      </c>
      <c r="C483" s="9"/>
      <c r="D483" s="10" t="str">
        <f aca="false">IF(C483="","",IF(SUMPRODUCT(--ISNUMBER(SEARCH({"Nets","Wicket","Diamond","Softball","T-ball","Baseball","Netball","Tennis","Bocce","Pentaque","Petanque","Skate","Car Park","Pond","Bridle","Amphitheatre","Perimeter","Passive"},C483)))&gt;0,"no",IF(SUMPRODUCT(--ISNUMBER(SEARCH({"Cricket","Junior","Mini","Summer Football","Small"},C483)))&gt;0,"reduced",IF(SUMPRODUCT(--ISNUMBER(SEARCH({"Rugby","Football","League","Touch","Gaelic","Australian","Lacrosse","General Sport","Training Area","Ultimate"},C483)))&gt;0,"full","unknown"))))</f>
        <v/>
      </c>
      <c r="E483" s="9"/>
      <c r="F483" s="9"/>
      <c r="G483" s="9"/>
      <c r="H483" s="9"/>
      <c r="I483" s="12"/>
      <c r="J483" s="9"/>
      <c r="K483" s="9"/>
      <c r="L483" s="9"/>
      <c r="M483" s="9"/>
      <c r="N483" s="9"/>
      <c r="O483" s="13" t="str">
        <f aca="false">IF(C483="","",IF(N(M483)+N(N483)&lt;Settings!$C$9,"untested",M483/(M483+N483)))</f>
        <v/>
      </c>
      <c r="P483" s="9"/>
      <c r="Q483" s="9"/>
      <c r="R483" s="9"/>
      <c r="S483" s="12"/>
      <c r="T483" s="9"/>
      <c r="U483" s="9"/>
      <c r="V483" s="9"/>
      <c r="W483" s="10" t="str">
        <f aca="false">IF(C483="","",IF(OR(G483="training",G483="full"),"Yes",IF(G483="none","No","?")))</f>
        <v/>
      </c>
      <c r="X483" s="10" t="str">
        <f aca="false">IF(C483="","",IF(OR(E483="",E483="unknown"),D483,E483))</f>
        <v/>
      </c>
      <c r="Y483" s="10" t="str">
        <f aca="false">IF(C483="","",IF(OR(T483="unsuitable",T483="retired",X483="no"),"—",IF(J483="","unrated",IF(AND(X483="full",J483&gt;=Settings!$C$5,OR(O483="untested",O483&gt;=Settings!$C$6)),"A",IF(AND(OR(X483="full",X483="reduced"),J483&gt;=Settings!$C$7,OR(O483="untested",O483&gt;=Settings!$C$8)),"B","C")))))</f>
        <v/>
      </c>
      <c r="Z483" s="11" t="str">
        <f aca="false">IF(C483="","",IF(P483&lt;&gt;"",P483,Y483))</f>
        <v/>
      </c>
    </row>
    <row r="484" customFormat="false" ht="15" hidden="false" customHeight="false" outlineLevel="0" collapsed="false">
      <c r="A484" s="9"/>
      <c r="B484" s="10" t="str">
        <f aca="false">IF(A484="","",IFERROR(INDEX(Parks!$A$2:$A$255,MATCH(A484,Parks!$B$2:$B$255,0)),"?"))</f>
        <v/>
      </c>
      <c r="C484" s="9"/>
      <c r="D484" s="10" t="str">
        <f aca="false">IF(C484="","",IF(SUMPRODUCT(--ISNUMBER(SEARCH({"Nets","Wicket","Diamond","Softball","T-ball","Baseball","Netball","Tennis","Bocce","Pentaque","Petanque","Skate","Car Park","Pond","Bridle","Amphitheatre","Perimeter","Passive"},C484)))&gt;0,"no",IF(SUMPRODUCT(--ISNUMBER(SEARCH({"Cricket","Junior","Mini","Summer Football","Small"},C484)))&gt;0,"reduced",IF(SUMPRODUCT(--ISNUMBER(SEARCH({"Rugby","Football","League","Touch","Gaelic","Australian","Lacrosse","General Sport","Training Area","Ultimate"},C484)))&gt;0,"full","unknown"))))</f>
        <v/>
      </c>
      <c r="E484" s="9"/>
      <c r="F484" s="9"/>
      <c r="G484" s="9"/>
      <c r="H484" s="9"/>
      <c r="I484" s="12"/>
      <c r="J484" s="9"/>
      <c r="K484" s="9"/>
      <c r="L484" s="9"/>
      <c r="M484" s="9"/>
      <c r="N484" s="9"/>
      <c r="O484" s="13" t="str">
        <f aca="false">IF(C484="","",IF(N(M484)+N(N484)&lt;Settings!$C$9,"untested",M484/(M484+N484)))</f>
        <v/>
      </c>
      <c r="P484" s="9"/>
      <c r="Q484" s="9"/>
      <c r="R484" s="9"/>
      <c r="S484" s="12"/>
      <c r="T484" s="9"/>
      <c r="U484" s="9"/>
      <c r="V484" s="9"/>
      <c r="W484" s="10" t="str">
        <f aca="false">IF(C484="","",IF(OR(G484="training",G484="full"),"Yes",IF(G484="none","No","?")))</f>
        <v/>
      </c>
      <c r="X484" s="10" t="str">
        <f aca="false">IF(C484="","",IF(OR(E484="",E484="unknown"),D484,E484))</f>
        <v/>
      </c>
      <c r="Y484" s="10" t="str">
        <f aca="false">IF(C484="","",IF(OR(T484="unsuitable",T484="retired",X484="no"),"—",IF(J484="","unrated",IF(AND(X484="full",J484&gt;=Settings!$C$5,OR(O484="untested",O484&gt;=Settings!$C$6)),"A",IF(AND(OR(X484="full",X484="reduced"),J484&gt;=Settings!$C$7,OR(O484="untested",O484&gt;=Settings!$C$8)),"B","C")))))</f>
        <v/>
      </c>
      <c r="Z484" s="11" t="str">
        <f aca="false">IF(C484="","",IF(P484&lt;&gt;"",P484,Y484))</f>
        <v/>
      </c>
    </row>
    <row r="485" customFormat="false" ht="15" hidden="false" customHeight="false" outlineLevel="0" collapsed="false">
      <c r="A485" s="9"/>
      <c r="B485" s="10" t="str">
        <f aca="false">IF(A485="","",IFERROR(INDEX(Parks!$A$2:$A$255,MATCH(A485,Parks!$B$2:$B$255,0)),"?"))</f>
        <v/>
      </c>
      <c r="C485" s="9"/>
      <c r="D485" s="10" t="str">
        <f aca="false">IF(C485="","",IF(SUMPRODUCT(--ISNUMBER(SEARCH({"Nets","Wicket","Diamond","Softball","T-ball","Baseball","Netball","Tennis","Bocce","Pentaque","Petanque","Skate","Car Park","Pond","Bridle","Amphitheatre","Perimeter","Passive"},C485)))&gt;0,"no",IF(SUMPRODUCT(--ISNUMBER(SEARCH({"Cricket","Junior","Mini","Summer Football","Small"},C485)))&gt;0,"reduced",IF(SUMPRODUCT(--ISNUMBER(SEARCH({"Rugby","Football","League","Touch","Gaelic","Australian","Lacrosse","General Sport","Training Area","Ultimate"},C485)))&gt;0,"full","unknown"))))</f>
        <v/>
      </c>
      <c r="E485" s="9"/>
      <c r="F485" s="9"/>
      <c r="G485" s="9"/>
      <c r="H485" s="9"/>
      <c r="I485" s="12"/>
      <c r="J485" s="9"/>
      <c r="K485" s="9"/>
      <c r="L485" s="9"/>
      <c r="M485" s="9"/>
      <c r="N485" s="9"/>
      <c r="O485" s="13" t="str">
        <f aca="false">IF(C485="","",IF(N(M485)+N(N485)&lt;Settings!$C$9,"untested",M485/(M485+N485)))</f>
        <v/>
      </c>
      <c r="P485" s="9"/>
      <c r="Q485" s="9"/>
      <c r="R485" s="9"/>
      <c r="S485" s="12"/>
      <c r="T485" s="9"/>
      <c r="U485" s="9"/>
      <c r="V485" s="9"/>
      <c r="W485" s="10" t="str">
        <f aca="false">IF(C485="","",IF(OR(G485="training",G485="full"),"Yes",IF(G485="none","No","?")))</f>
        <v/>
      </c>
      <c r="X485" s="10" t="str">
        <f aca="false">IF(C485="","",IF(OR(E485="",E485="unknown"),D485,E485))</f>
        <v/>
      </c>
      <c r="Y485" s="10" t="str">
        <f aca="false">IF(C485="","",IF(OR(T485="unsuitable",T485="retired",X485="no"),"—",IF(J485="","unrated",IF(AND(X485="full",J485&gt;=Settings!$C$5,OR(O485="untested",O485&gt;=Settings!$C$6)),"A",IF(AND(OR(X485="full",X485="reduced"),J485&gt;=Settings!$C$7,OR(O485="untested",O485&gt;=Settings!$C$8)),"B","C")))))</f>
        <v/>
      </c>
      <c r="Z485" s="11" t="str">
        <f aca="false">IF(C485="","",IF(P485&lt;&gt;"",P485,Y485))</f>
        <v/>
      </c>
    </row>
    <row r="486" customFormat="false" ht="15" hidden="false" customHeight="false" outlineLevel="0" collapsed="false">
      <c r="A486" s="9"/>
      <c r="B486" s="10" t="str">
        <f aca="false">IF(A486="","",IFERROR(INDEX(Parks!$A$2:$A$255,MATCH(A486,Parks!$B$2:$B$255,0)),"?"))</f>
        <v/>
      </c>
      <c r="C486" s="9"/>
      <c r="D486" s="10" t="str">
        <f aca="false">IF(C486="","",IF(SUMPRODUCT(--ISNUMBER(SEARCH({"Nets","Wicket","Diamond","Softball","T-ball","Baseball","Netball","Tennis","Bocce","Pentaque","Petanque","Skate","Car Park","Pond","Bridle","Amphitheatre","Perimeter","Passive"},C486)))&gt;0,"no",IF(SUMPRODUCT(--ISNUMBER(SEARCH({"Cricket","Junior","Mini","Summer Football","Small"},C486)))&gt;0,"reduced",IF(SUMPRODUCT(--ISNUMBER(SEARCH({"Rugby","Football","League","Touch","Gaelic","Australian","Lacrosse","General Sport","Training Area","Ultimate"},C486)))&gt;0,"full","unknown"))))</f>
        <v/>
      </c>
      <c r="E486" s="9"/>
      <c r="F486" s="9"/>
      <c r="G486" s="9"/>
      <c r="H486" s="9"/>
      <c r="I486" s="12"/>
      <c r="J486" s="9"/>
      <c r="K486" s="9"/>
      <c r="L486" s="9"/>
      <c r="M486" s="9"/>
      <c r="N486" s="9"/>
      <c r="O486" s="13" t="str">
        <f aca="false">IF(C486="","",IF(N(M486)+N(N486)&lt;Settings!$C$9,"untested",M486/(M486+N486)))</f>
        <v/>
      </c>
      <c r="P486" s="9"/>
      <c r="Q486" s="9"/>
      <c r="R486" s="9"/>
      <c r="S486" s="12"/>
      <c r="T486" s="9"/>
      <c r="U486" s="9"/>
      <c r="V486" s="9"/>
      <c r="W486" s="10" t="str">
        <f aca="false">IF(C486="","",IF(OR(G486="training",G486="full"),"Yes",IF(G486="none","No","?")))</f>
        <v/>
      </c>
      <c r="X486" s="10" t="str">
        <f aca="false">IF(C486="","",IF(OR(E486="",E486="unknown"),D486,E486))</f>
        <v/>
      </c>
      <c r="Y486" s="10" t="str">
        <f aca="false">IF(C486="","",IF(OR(T486="unsuitable",T486="retired",X486="no"),"—",IF(J486="","unrated",IF(AND(X486="full",J486&gt;=Settings!$C$5,OR(O486="untested",O486&gt;=Settings!$C$6)),"A",IF(AND(OR(X486="full",X486="reduced"),J486&gt;=Settings!$C$7,OR(O486="untested",O486&gt;=Settings!$C$8)),"B","C")))))</f>
        <v/>
      </c>
      <c r="Z486" s="11" t="str">
        <f aca="false">IF(C486="","",IF(P486&lt;&gt;"",P486,Y486))</f>
        <v/>
      </c>
    </row>
    <row r="487" customFormat="false" ht="15" hidden="false" customHeight="false" outlineLevel="0" collapsed="false">
      <c r="A487" s="9"/>
      <c r="B487" s="10" t="str">
        <f aca="false">IF(A487="","",IFERROR(INDEX(Parks!$A$2:$A$255,MATCH(A487,Parks!$B$2:$B$255,0)),"?"))</f>
        <v/>
      </c>
      <c r="C487" s="9"/>
      <c r="D487" s="10" t="str">
        <f aca="false">IF(C487="","",IF(SUMPRODUCT(--ISNUMBER(SEARCH({"Nets","Wicket","Diamond","Softball","T-ball","Baseball","Netball","Tennis","Bocce","Pentaque","Petanque","Skate","Car Park","Pond","Bridle","Amphitheatre","Perimeter","Passive"},C487)))&gt;0,"no",IF(SUMPRODUCT(--ISNUMBER(SEARCH({"Cricket","Junior","Mini","Summer Football","Small"},C487)))&gt;0,"reduced",IF(SUMPRODUCT(--ISNUMBER(SEARCH({"Rugby","Football","League","Touch","Gaelic","Australian","Lacrosse","General Sport","Training Area","Ultimate"},C487)))&gt;0,"full","unknown"))))</f>
        <v/>
      </c>
      <c r="E487" s="9"/>
      <c r="F487" s="9"/>
      <c r="G487" s="9"/>
      <c r="H487" s="9"/>
      <c r="I487" s="12"/>
      <c r="J487" s="9"/>
      <c r="K487" s="9"/>
      <c r="L487" s="9"/>
      <c r="M487" s="9"/>
      <c r="N487" s="9"/>
      <c r="O487" s="13" t="str">
        <f aca="false">IF(C487="","",IF(N(M487)+N(N487)&lt;Settings!$C$9,"untested",M487/(M487+N487)))</f>
        <v/>
      </c>
      <c r="P487" s="9"/>
      <c r="Q487" s="9"/>
      <c r="R487" s="9"/>
      <c r="S487" s="12"/>
      <c r="T487" s="9"/>
      <c r="U487" s="9"/>
      <c r="V487" s="9"/>
      <c r="W487" s="10" t="str">
        <f aca="false">IF(C487="","",IF(OR(G487="training",G487="full"),"Yes",IF(G487="none","No","?")))</f>
        <v/>
      </c>
      <c r="X487" s="10" t="str">
        <f aca="false">IF(C487="","",IF(OR(E487="",E487="unknown"),D487,E487))</f>
        <v/>
      </c>
      <c r="Y487" s="10" t="str">
        <f aca="false">IF(C487="","",IF(OR(T487="unsuitable",T487="retired",X487="no"),"—",IF(J487="","unrated",IF(AND(X487="full",J487&gt;=Settings!$C$5,OR(O487="untested",O487&gt;=Settings!$C$6)),"A",IF(AND(OR(X487="full",X487="reduced"),J487&gt;=Settings!$C$7,OR(O487="untested",O487&gt;=Settings!$C$8)),"B","C")))))</f>
        <v/>
      </c>
      <c r="Z487" s="11" t="str">
        <f aca="false">IF(C487="","",IF(P487&lt;&gt;"",P487,Y487))</f>
        <v/>
      </c>
    </row>
    <row r="488" customFormat="false" ht="15" hidden="false" customHeight="false" outlineLevel="0" collapsed="false">
      <c r="A488" s="9"/>
      <c r="B488" s="10" t="str">
        <f aca="false">IF(A488="","",IFERROR(INDEX(Parks!$A$2:$A$255,MATCH(A488,Parks!$B$2:$B$255,0)),"?"))</f>
        <v/>
      </c>
      <c r="C488" s="9"/>
      <c r="D488" s="10" t="str">
        <f aca="false">IF(C488="","",IF(SUMPRODUCT(--ISNUMBER(SEARCH({"Nets","Wicket","Diamond","Softball","T-ball","Baseball","Netball","Tennis","Bocce","Pentaque","Petanque","Skate","Car Park","Pond","Bridle","Amphitheatre","Perimeter","Passive"},C488)))&gt;0,"no",IF(SUMPRODUCT(--ISNUMBER(SEARCH({"Cricket","Junior","Mini","Summer Football","Small"},C488)))&gt;0,"reduced",IF(SUMPRODUCT(--ISNUMBER(SEARCH({"Rugby","Football","League","Touch","Gaelic","Australian","Lacrosse","General Sport","Training Area","Ultimate"},C488)))&gt;0,"full","unknown"))))</f>
        <v/>
      </c>
      <c r="E488" s="9"/>
      <c r="F488" s="9"/>
      <c r="G488" s="9"/>
      <c r="H488" s="9"/>
      <c r="I488" s="12"/>
      <c r="J488" s="9"/>
      <c r="K488" s="9"/>
      <c r="L488" s="9"/>
      <c r="M488" s="9"/>
      <c r="N488" s="9"/>
      <c r="O488" s="13" t="str">
        <f aca="false">IF(C488="","",IF(N(M488)+N(N488)&lt;Settings!$C$9,"untested",M488/(M488+N488)))</f>
        <v/>
      </c>
      <c r="P488" s="9"/>
      <c r="Q488" s="9"/>
      <c r="R488" s="9"/>
      <c r="S488" s="12"/>
      <c r="T488" s="9"/>
      <c r="U488" s="9"/>
      <c r="V488" s="9"/>
      <c r="W488" s="10" t="str">
        <f aca="false">IF(C488="","",IF(OR(G488="training",G488="full"),"Yes",IF(G488="none","No","?")))</f>
        <v/>
      </c>
      <c r="X488" s="10" t="str">
        <f aca="false">IF(C488="","",IF(OR(E488="",E488="unknown"),D488,E488))</f>
        <v/>
      </c>
      <c r="Y488" s="10" t="str">
        <f aca="false">IF(C488="","",IF(OR(T488="unsuitable",T488="retired",X488="no"),"—",IF(J488="","unrated",IF(AND(X488="full",J488&gt;=Settings!$C$5,OR(O488="untested",O488&gt;=Settings!$C$6)),"A",IF(AND(OR(X488="full",X488="reduced"),J488&gt;=Settings!$C$7,OR(O488="untested",O488&gt;=Settings!$C$8)),"B","C")))))</f>
        <v/>
      </c>
      <c r="Z488" s="11" t="str">
        <f aca="false">IF(C488="","",IF(P488&lt;&gt;"",P488,Y488))</f>
        <v/>
      </c>
    </row>
    <row r="489" customFormat="false" ht="15" hidden="false" customHeight="false" outlineLevel="0" collapsed="false">
      <c r="A489" s="9"/>
      <c r="B489" s="10" t="str">
        <f aca="false">IF(A489="","",IFERROR(INDEX(Parks!$A$2:$A$255,MATCH(A489,Parks!$B$2:$B$255,0)),"?"))</f>
        <v/>
      </c>
      <c r="C489" s="9"/>
      <c r="D489" s="10" t="str">
        <f aca="false">IF(C489="","",IF(SUMPRODUCT(--ISNUMBER(SEARCH({"Nets","Wicket","Diamond","Softball","T-ball","Baseball","Netball","Tennis","Bocce","Pentaque","Petanque","Skate","Car Park","Pond","Bridle","Amphitheatre","Perimeter","Passive"},C489)))&gt;0,"no",IF(SUMPRODUCT(--ISNUMBER(SEARCH({"Cricket","Junior","Mini","Summer Football","Small"},C489)))&gt;0,"reduced",IF(SUMPRODUCT(--ISNUMBER(SEARCH({"Rugby","Football","League","Touch","Gaelic","Australian","Lacrosse","General Sport","Training Area","Ultimate"},C489)))&gt;0,"full","unknown"))))</f>
        <v/>
      </c>
      <c r="E489" s="9"/>
      <c r="F489" s="9"/>
      <c r="G489" s="9"/>
      <c r="H489" s="9"/>
      <c r="I489" s="12"/>
      <c r="J489" s="9"/>
      <c r="K489" s="9"/>
      <c r="L489" s="9"/>
      <c r="M489" s="9"/>
      <c r="N489" s="9"/>
      <c r="O489" s="13" t="str">
        <f aca="false">IF(C489="","",IF(N(M489)+N(N489)&lt;Settings!$C$9,"untested",M489/(M489+N489)))</f>
        <v/>
      </c>
      <c r="P489" s="9"/>
      <c r="Q489" s="9"/>
      <c r="R489" s="9"/>
      <c r="S489" s="12"/>
      <c r="T489" s="9"/>
      <c r="U489" s="9"/>
      <c r="V489" s="9"/>
      <c r="W489" s="10" t="str">
        <f aca="false">IF(C489="","",IF(OR(G489="training",G489="full"),"Yes",IF(G489="none","No","?")))</f>
        <v/>
      </c>
      <c r="X489" s="10" t="str">
        <f aca="false">IF(C489="","",IF(OR(E489="",E489="unknown"),D489,E489))</f>
        <v/>
      </c>
      <c r="Y489" s="10" t="str">
        <f aca="false">IF(C489="","",IF(OR(T489="unsuitable",T489="retired",X489="no"),"—",IF(J489="","unrated",IF(AND(X489="full",J489&gt;=Settings!$C$5,OR(O489="untested",O489&gt;=Settings!$C$6)),"A",IF(AND(OR(X489="full",X489="reduced"),J489&gt;=Settings!$C$7,OR(O489="untested",O489&gt;=Settings!$C$8)),"B","C")))))</f>
        <v/>
      </c>
      <c r="Z489" s="11" t="str">
        <f aca="false">IF(C489="","",IF(P489&lt;&gt;"",P489,Y489))</f>
        <v/>
      </c>
    </row>
    <row r="490" customFormat="false" ht="15" hidden="false" customHeight="false" outlineLevel="0" collapsed="false">
      <c r="A490" s="9"/>
      <c r="B490" s="10" t="str">
        <f aca="false">IF(A490="","",IFERROR(INDEX(Parks!$A$2:$A$255,MATCH(A490,Parks!$B$2:$B$255,0)),"?"))</f>
        <v/>
      </c>
      <c r="C490" s="9"/>
      <c r="D490" s="10" t="str">
        <f aca="false">IF(C490="","",IF(SUMPRODUCT(--ISNUMBER(SEARCH({"Nets","Wicket","Diamond","Softball","T-ball","Baseball","Netball","Tennis","Bocce","Pentaque","Petanque","Skate","Car Park","Pond","Bridle","Amphitheatre","Perimeter","Passive"},C490)))&gt;0,"no",IF(SUMPRODUCT(--ISNUMBER(SEARCH({"Cricket","Junior","Mini","Summer Football","Small"},C490)))&gt;0,"reduced",IF(SUMPRODUCT(--ISNUMBER(SEARCH({"Rugby","Football","League","Touch","Gaelic","Australian","Lacrosse","General Sport","Training Area","Ultimate"},C490)))&gt;0,"full","unknown"))))</f>
        <v/>
      </c>
      <c r="E490" s="9"/>
      <c r="F490" s="9"/>
      <c r="G490" s="9"/>
      <c r="H490" s="9"/>
      <c r="I490" s="12"/>
      <c r="J490" s="9"/>
      <c r="K490" s="9"/>
      <c r="L490" s="9"/>
      <c r="M490" s="9"/>
      <c r="N490" s="9"/>
      <c r="O490" s="13" t="str">
        <f aca="false">IF(C490="","",IF(N(M490)+N(N490)&lt;Settings!$C$9,"untested",M490/(M490+N490)))</f>
        <v/>
      </c>
      <c r="P490" s="9"/>
      <c r="Q490" s="9"/>
      <c r="R490" s="9"/>
      <c r="S490" s="12"/>
      <c r="T490" s="9"/>
      <c r="U490" s="9"/>
      <c r="V490" s="9"/>
      <c r="W490" s="10" t="str">
        <f aca="false">IF(C490="","",IF(OR(G490="training",G490="full"),"Yes",IF(G490="none","No","?")))</f>
        <v/>
      </c>
      <c r="X490" s="10" t="str">
        <f aca="false">IF(C490="","",IF(OR(E490="",E490="unknown"),D490,E490))</f>
        <v/>
      </c>
      <c r="Y490" s="10" t="str">
        <f aca="false">IF(C490="","",IF(OR(T490="unsuitable",T490="retired",X490="no"),"—",IF(J490="","unrated",IF(AND(X490="full",J490&gt;=Settings!$C$5,OR(O490="untested",O490&gt;=Settings!$C$6)),"A",IF(AND(OR(X490="full",X490="reduced"),J490&gt;=Settings!$C$7,OR(O490="untested",O490&gt;=Settings!$C$8)),"B","C")))))</f>
        <v/>
      </c>
      <c r="Z490" s="11" t="str">
        <f aca="false">IF(C490="","",IF(P490&lt;&gt;"",P490,Y490))</f>
        <v/>
      </c>
    </row>
    <row r="491" customFormat="false" ht="15" hidden="false" customHeight="false" outlineLevel="0" collapsed="false">
      <c r="A491" s="9"/>
      <c r="B491" s="10" t="str">
        <f aca="false">IF(A491="","",IFERROR(INDEX(Parks!$A$2:$A$255,MATCH(A491,Parks!$B$2:$B$255,0)),"?"))</f>
        <v/>
      </c>
      <c r="C491" s="9"/>
      <c r="D491" s="10" t="str">
        <f aca="false">IF(C491="","",IF(SUMPRODUCT(--ISNUMBER(SEARCH({"Nets","Wicket","Diamond","Softball","T-ball","Baseball","Netball","Tennis","Bocce","Pentaque","Petanque","Skate","Car Park","Pond","Bridle","Amphitheatre","Perimeter","Passive"},C491)))&gt;0,"no",IF(SUMPRODUCT(--ISNUMBER(SEARCH({"Cricket","Junior","Mini","Summer Football","Small"},C491)))&gt;0,"reduced",IF(SUMPRODUCT(--ISNUMBER(SEARCH({"Rugby","Football","League","Touch","Gaelic","Australian","Lacrosse","General Sport","Training Area","Ultimate"},C491)))&gt;0,"full","unknown"))))</f>
        <v/>
      </c>
      <c r="E491" s="9"/>
      <c r="F491" s="9"/>
      <c r="G491" s="9"/>
      <c r="H491" s="9"/>
      <c r="I491" s="12"/>
      <c r="J491" s="9"/>
      <c r="K491" s="9"/>
      <c r="L491" s="9"/>
      <c r="M491" s="9"/>
      <c r="N491" s="9"/>
      <c r="O491" s="13" t="str">
        <f aca="false">IF(C491="","",IF(N(M491)+N(N491)&lt;Settings!$C$9,"untested",M491/(M491+N491)))</f>
        <v/>
      </c>
      <c r="P491" s="9"/>
      <c r="Q491" s="9"/>
      <c r="R491" s="9"/>
      <c r="S491" s="12"/>
      <c r="T491" s="9"/>
      <c r="U491" s="9"/>
      <c r="V491" s="9"/>
      <c r="W491" s="10" t="str">
        <f aca="false">IF(C491="","",IF(OR(G491="training",G491="full"),"Yes",IF(G491="none","No","?")))</f>
        <v/>
      </c>
      <c r="X491" s="10" t="str">
        <f aca="false">IF(C491="","",IF(OR(E491="",E491="unknown"),D491,E491))</f>
        <v/>
      </c>
      <c r="Y491" s="10" t="str">
        <f aca="false">IF(C491="","",IF(OR(T491="unsuitable",T491="retired",X491="no"),"—",IF(J491="","unrated",IF(AND(X491="full",J491&gt;=Settings!$C$5,OR(O491="untested",O491&gt;=Settings!$C$6)),"A",IF(AND(OR(X491="full",X491="reduced"),J491&gt;=Settings!$C$7,OR(O491="untested",O491&gt;=Settings!$C$8)),"B","C")))))</f>
        <v/>
      </c>
      <c r="Z491" s="11" t="str">
        <f aca="false">IF(C491="","",IF(P491&lt;&gt;"",P491,Y491))</f>
        <v/>
      </c>
    </row>
    <row r="492" customFormat="false" ht="15" hidden="false" customHeight="false" outlineLevel="0" collapsed="false">
      <c r="A492" s="9"/>
      <c r="B492" s="10" t="str">
        <f aca="false">IF(A492="","",IFERROR(INDEX(Parks!$A$2:$A$255,MATCH(A492,Parks!$B$2:$B$255,0)),"?"))</f>
        <v/>
      </c>
      <c r="C492" s="9"/>
      <c r="D492" s="10" t="str">
        <f aca="false">IF(C492="","",IF(SUMPRODUCT(--ISNUMBER(SEARCH({"Nets","Wicket","Diamond","Softball","T-ball","Baseball","Netball","Tennis","Bocce","Pentaque","Petanque","Skate","Car Park","Pond","Bridle","Amphitheatre","Perimeter","Passive"},C492)))&gt;0,"no",IF(SUMPRODUCT(--ISNUMBER(SEARCH({"Cricket","Junior","Mini","Summer Football","Small"},C492)))&gt;0,"reduced",IF(SUMPRODUCT(--ISNUMBER(SEARCH({"Rugby","Football","League","Touch","Gaelic","Australian","Lacrosse","General Sport","Training Area","Ultimate"},C492)))&gt;0,"full","unknown"))))</f>
        <v/>
      </c>
      <c r="E492" s="9"/>
      <c r="F492" s="9"/>
      <c r="G492" s="9"/>
      <c r="H492" s="9"/>
      <c r="I492" s="12"/>
      <c r="J492" s="9"/>
      <c r="K492" s="9"/>
      <c r="L492" s="9"/>
      <c r="M492" s="9"/>
      <c r="N492" s="9"/>
      <c r="O492" s="13" t="str">
        <f aca="false">IF(C492="","",IF(N(M492)+N(N492)&lt;Settings!$C$9,"untested",M492/(M492+N492)))</f>
        <v/>
      </c>
      <c r="P492" s="9"/>
      <c r="Q492" s="9"/>
      <c r="R492" s="9"/>
      <c r="S492" s="12"/>
      <c r="T492" s="9"/>
      <c r="U492" s="9"/>
      <c r="V492" s="9"/>
      <c r="W492" s="10" t="str">
        <f aca="false">IF(C492="","",IF(OR(G492="training",G492="full"),"Yes",IF(G492="none","No","?")))</f>
        <v/>
      </c>
      <c r="X492" s="10" t="str">
        <f aca="false">IF(C492="","",IF(OR(E492="",E492="unknown"),D492,E492))</f>
        <v/>
      </c>
      <c r="Y492" s="10" t="str">
        <f aca="false">IF(C492="","",IF(OR(T492="unsuitable",T492="retired",X492="no"),"—",IF(J492="","unrated",IF(AND(X492="full",J492&gt;=Settings!$C$5,OR(O492="untested",O492&gt;=Settings!$C$6)),"A",IF(AND(OR(X492="full",X492="reduced"),J492&gt;=Settings!$C$7,OR(O492="untested",O492&gt;=Settings!$C$8)),"B","C")))))</f>
        <v/>
      </c>
      <c r="Z492" s="11" t="str">
        <f aca="false">IF(C492="","",IF(P492&lt;&gt;"",P492,Y492))</f>
        <v/>
      </c>
    </row>
    <row r="493" customFormat="false" ht="15" hidden="false" customHeight="false" outlineLevel="0" collapsed="false">
      <c r="A493" s="9"/>
      <c r="B493" s="10" t="str">
        <f aca="false">IF(A493="","",IFERROR(INDEX(Parks!$A$2:$A$255,MATCH(A493,Parks!$B$2:$B$255,0)),"?"))</f>
        <v/>
      </c>
      <c r="C493" s="9"/>
      <c r="D493" s="10" t="str">
        <f aca="false">IF(C493="","",IF(SUMPRODUCT(--ISNUMBER(SEARCH({"Nets","Wicket","Diamond","Softball","T-ball","Baseball","Netball","Tennis","Bocce","Pentaque","Petanque","Skate","Car Park","Pond","Bridle","Amphitheatre","Perimeter","Passive"},C493)))&gt;0,"no",IF(SUMPRODUCT(--ISNUMBER(SEARCH({"Cricket","Junior","Mini","Summer Football","Small"},C493)))&gt;0,"reduced",IF(SUMPRODUCT(--ISNUMBER(SEARCH({"Rugby","Football","League","Touch","Gaelic","Australian","Lacrosse","General Sport","Training Area","Ultimate"},C493)))&gt;0,"full","unknown"))))</f>
        <v/>
      </c>
      <c r="E493" s="9"/>
      <c r="F493" s="9"/>
      <c r="G493" s="9"/>
      <c r="H493" s="9"/>
      <c r="I493" s="12"/>
      <c r="J493" s="9"/>
      <c r="K493" s="9"/>
      <c r="L493" s="9"/>
      <c r="M493" s="9"/>
      <c r="N493" s="9"/>
      <c r="O493" s="13" t="str">
        <f aca="false">IF(C493="","",IF(N(M493)+N(N493)&lt;Settings!$C$9,"untested",M493/(M493+N493)))</f>
        <v/>
      </c>
      <c r="P493" s="9"/>
      <c r="Q493" s="9"/>
      <c r="R493" s="9"/>
      <c r="S493" s="12"/>
      <c r="T493" s="9"/>
      <c r="U493" s="9"/>
      <c r="V493" s="9"/>
      <c r="W493" s="10" t="str">
        <f aca="false">IF(C493="","",IF(OR(G493="training",G493="full"),"Yes",IF(G493="none","No","?")))</f>
        <v/>
      </c>
      <c r="X493" s="10" t="str">
        <f aca="false">IF(C493="","",IF(OR(E493="",E493="unknown"),D493,E493))</f>
        <v/>
      </c>
      <c r="Y493" s="10" t="str">
        <f aca="false">IF(C493="","",IF(OR(T493="unsuitable",T493="retired",X493="no"),"—",IF(J493="","unrated",IF(AND(X493="full",J493&gt;=Settings!$C$5,OR(O493="untested",O493&gt;=Settings!$C$6)),"A",IF(AND(OR(X493="full",X493="reduced"),J493&gt;=Settings!$C$7,OR(O493="untested",O493&gt;=Settings!$C$8)),"B","C")))))</f>
        <v/>
      </c>
      <c r="Z493" s="11" t="str">
        <f aca="false">IF(C493="","",IF(P493&lt;&gt;"",P493,Y493))</f>
        <v/>
      </c>
    </row>
    <row r="494" customFormat="false" ht="15" hidden="false" customHeight="false" outlineLevel="0" collapsed="false">
      <c r="A494" s="9"/>
      <c r="B494" s="10" t="str">
        <f aca="false">IF(A494="","",IFERROR(INDEX(Parks!$A$2:$A$255,MATCH(A494,Parks!$B$2:$B$255,0)),"?"))</f>
        <v/>
      </c>
      <c r="C494" s="9"/>
      <c r="D494" s="10" t="str">
        <f aca="false">IF(C494="","",IF(SUMPRODUCT(--ISNUMBER(SEARCH({"Nets","Wicket","Diamond","Softball","T-ball","Baseball","Netball","Tennis","Bocce","Pentaque","Petanque","Skate","Car Park","Pond","Bridle","Amphitheatre","Perimeter","Passive"},C494)))&gt;0,"no",IF(SUMPRODUCT(--ISNUMBER(SEARCH({"Cricket","Junior","Mini","Summer Football","Small"},C494)))&gt;0,"reduced",IF(SUMPRODUCT(--ISNUMBER(SEARCH({"Rugby","Football","League","Touch","Gaelic","Australian","Lacrosse","General Sport","Training Area","Ultimate"},C494)))&gt;0,"full","unknown"))))</f>
        <v/>
      </c>
      <c r="E494" s="9"/>
      <c r="F494" s="9"/>
      <c r="G494" s="9"/>
      <c r="H494" s="9"/>
      <c r="I494" s="12"/>
      <c r="J494" s="9"/>
      <c r="K494" s="9"/>
      <c r="L494" s="9"/>
      <c r="M494" s="9"/>
      <c r="N494" s="9"/>
      <c r="O494" s="13" t="str">
        <f aca="false">IF(C494="","",IF(N(M494)+N(N494)&lt;Settings!$C$9,"untested",M494/(M494+N494)))</f>
        <v/>
      </c>
      <c r="P494" s="9"/>
      <c r="Q494" s="9"/>
      <c r="R494" s="9"/>
      <c r="S494" s="12"/>
      <c r="T494" s="9"/>
      <c r="U494" s="9"/>
      <c r="V494" s="9"/>
      <c r="W494" s="10" t="str">
        <f aca="false">IF(C494="","",IF(OR(G494="training",G494="full"),"Yes",IF(G494="none","No","?")))</f>
        <v/>
      </c>
      <c r="X494" s="10" t="str">
        <f aca="false">IF(C494="","",IF(OR(E494="",E494="unknown"),D494,E494))</f>
        <v/>
      </c>
      <c r="Y494" s="10" t="str">
        <f aca="false">IF(C494="","",IF(OR(T494="unsuitable",T494="retired",X494="no"),"—",IF(J494="","unrated",IF(AND(X494="full",J494&gt;=Settings!$C$5,OR(O494="untested",O494&gt;=Settings!$C$6)),"A",IF(AND(OR(X494="full",X494="reduced"),J494&gt;=Settings!$C$7,OR(O494="untested",O494&gt;=Settings!$C$8)),"B","C")))))</f>
        <v/>
      </c>
      <c r="Z494" s="11" t="str">
        <f aca="false">IF(C494="","",IF(P494&lt;&gt;"",P494,Y494))</f>
        <v/>
      </c>
    </row>
    <row r="495" customFormat="false" ht="15" hidden="false" customHeight="false" outlineLevel="0" collapsed="false">
      <c r="A495" s="9"/>
      <c r="B495" s="10" t="str">
        <f aca="false">IF(A495="","",IFERROR(INDEX(Parks!$A$2:$A$255,MATCH(A495,Parks!$B$2:$B$255,0)),"?"))</f>
        <v/>
      </c>
      <c r="C495" s="9"/>
      <c r="D495" s="10" t="str">
        <f aca="false">IF(C495="","",IF(SUMPRODUCT(--ISNUMBER(SEARCH({"Nets","Wicket","Diamond","Softball","T-ball","Baseball","Netball","Tennis","Bocce","Pentaque","Petanque","Skate","Car Park","Pond","Bridle","Amphitheatre","Perimeter","Passive"},C495)))&gt;0,"no",IF(SUMPRODUCT(--ISNUMBER(SEARCH({"Cricket","Junior","Mini","Summer Football","Small"},C495)))&gt;0,"reduced",IF(SUMPRODUCT(--ISNUMBER(SEARCH({"Rugby","Football","League","Touch","Gaelic","Australian","Lacrosse","General Sport","Training Area","Ultimate"},C495)))&gt;0,"full","unknown"))))</f>
        <v/>
      </c>
      <c r="E495" s="9"/>
      <c r="F495" s="9"/>
      <c r="G495" s="9"/>
      <c r="H495" s="9"/>
      <c r="I495" s="12"/>
      <c r="J495" s="9"/>
      <c r="K495" s="9"/>
      <c r="L495" s="9"/>
      <c r="M495" s="9"/>
      <c r="N495" s="9"/>
      <c r="O495" s="13" t="str">
        <f aca="false">IF(C495="","",IF(N(M495)+N(N495)&lt;Settings!$C$9,"untested",M495/(M495+N495)))</f>
        <v/>
      </c>
      <c r="P495" s="9"/>
      <c r="Q495" s="9"/>
      <c r="R495" s="9"/>
      <c r="S495" s="12"/>
      <c r="T495" s="9"/>
      <c r="U495" s="9"/>
      <c r="V495" s="9"/>
      <c r="W495" s="10" t="str">
        <f aca="false">IF(C495="","",IF(OR(G495="training",G495="full"),"Yes",IF(G495="none","No","?")))</f>
        <v/>
      </c>
      <c r="X495" s="10" t="str">
        <f aca="false">IF(C495="","",IF(OR(E495="",E495="unknown"),D495,E495))</f>
        <v/>
      </c>
      <c r="Y495" s="10" t="str">
        <f aca="false">IF(C495="","",IF(OR(T495="unsuitable",T495="retired",X495="no"),"—",IF(J495="","unrated",IF(AND(X495="full",J495&gt;=Settings!$C$5,OR(O495="untested",O495&gt;=Settings!$C$6)),"A",IF(AND(OR(X495="full",X495="reduced"),J495&gt;=Settings!$C$7,OR(O495="untested",O495&gt;=Settings!$C$8)),"B","C")))))</f>
        <v/>
      </c>
      <c r="Z495" s="11" t="str">
        <f aca="false">IF(C495="","",IF(P495&lt;&gt;"",P495,Y495))</f>
        <v/>
      </c>
    </row>
    <row r="496" customFormat="false" ht="15" hidden="false" customHeight="false" outlineLevel="0" collapsed="false">
      <c r="A496" s="9"/>
      <c r="B496" s="10" t="str">
        <f aca="false">IF(A496="","",IFERROR(INDEX(Parks!$A$2:$A$255,MATCH(A496,Parks!$B$2:$B$255,0)),"?"))</f>
        <v/>
      </c>
      <c r="C496" s="9"/>
      <c r="D496" s="10" t="str">
        <f aca="false">IF(C496="","",IF(SUMPRODUCT(--ISNUMBER(SEARCH({"Nets","Wicket","Diamond","Softball","T-ball","Baseball","Netball","Tennis","Bocce","Pentaque","Petanque","Skate","Car Park","Pond","Bridle","Amphitheatre","Perimeter","Passive"},C496)))&gt;0,"no",IF(SUMPRODUCT(--ISNUMBER(SEARCH({"Cricket","Junior","Mini","Summer Football","Small"},C496)))&gt;0,"reduced",IF(SUMPRODUCT(--ISNUMBER(SEARCH({"Rugby","Football","League","Touch","Gaelic","Australian","Lacrosse","General Sport","Training Area","Ultimate"},C496)))&gt;0,"full","unknown"))))</f>
        <v/>
      </c>
      <c r="E496" s="9"/>
      <c r="F496" s="9"/>
      <c r="G496" s="9"/>
      <c r="H496" s="9"/>
      <c r="I496" s="12"/>
      <c r="J496" s="9"/>
      <c r="K496" s="9"/>
      <c r="L496" s="9"/>
      <c r="M496" s="9"/>
      <c r="N496" s="9"/>
      <c r="O496" s="13" t="str">
        <f aca="false">IF(C496="","",IF(N(M496)+N(N496)&lt;Settings!$C$9,"untested",M496/(M496+N496)))</f>
        <v/>
      </c>
      <c r="P496" s="9"/>
      <c r="Q496" s="9"/>
      <c r="R496" s="9"/>
      <c r="S496" s="12"/>
      <c r="T496" s="9"/>
      <c r="U496" s="9"/>
      <c r="V496" s="9"/>
      <c r="W496" s="10" t="str">
        <f aca="false">IF(C496="","",IF(OR(G496="training",G496="full"),"Yes",IF(G496="none","No","?")))</f>
        <v/>
      </c>
      <c r="X496" s="10" t="str">
        <f aca="false">IF(C496="","",IF(OR(E496="",E496="unknown"),D496,E496))</f>
        <v/>
      </c>
      <c r="Y496" s="10" t="str">
        <f aca="false">IF(C496="","",IF(OR(T496="unsuitable",T496="retired",X496="no"),"—",IF(J496="","unrated",IF(AND(X496="full",J496&gt;=Settings!$C$5,OR(O496="untested",O496&gt;=Settings!$C$6)),"A",IF(AND(OR(X496="full",X496="reduced"),J496&gt;=Settings!$C$7,OR(O496="untested",O496&gt;=Settings!$C$8)),"B","C")))))</f>
        <v/>
      </c>
      <c r="Z496" s="11" t="str">
        <f aca="false">IF(C496="","",IF(P496&lt;&gt;"",P496,Y496))</f>
        <v/>
      </c>
    </row>
    <row r="497" customFormat="false" ht="15" hidden="false" customHeight="false" outlineLevel="0" collapsed="false">
      <c r="A497" s="9"/>
      <c r="B497" s="10" t="str">
        <f aca="false">IF(A497="","",IFERROR(INDEX(Parks!$A$2:$A$255,MATCH(A497,Parks!$B$2:$B$255,0)),"?"))</f>
        <v/>
      </c>
      <c r="C497" s="9"/>
      <c r="D497" s="10" t="str">
        <f aca="false">IF(C497="","",IF(SUMPRODUCT(--ISNUMBER(SEARCH({"Nets","Wicket","Diamond","Softball","T-ball","Baseball","Netball","Tennis","Bocce","Pentaque","Petanque","Skate","Car Park","Pond","Bridle","Amphitheatre","Perimeter","Passive"},C497)))&gt;0,"no",IF(SUMPRODUCT(--ISNUMBER(SEARCH({"Cricket","Junior","Mini","Summer Football","Small"},C497)))&gt;0,"reduced",IF(SUMPRODUCT(--ISNUMBER(SEARCH({"Rugby","Football","League","Touch","Gaelic","Australian","Lacrosse","General Sport","Training Area","Ultimate"},C497)))&gt;0,"full","unknown"))))</f>
        <v/>
      </c>
      <c r="E497" s="9"/>
      <c r="F497" s="9"/>
      <c r="G497" s="9"/>
      <c r="H497" s="9"/>
      <c r="I497" s="12"/>
      <c r="J497" s="9"/>
      <c r="K497" s="9"/>
      <c r="L497" s="9"/>
      <c r="M497" s="9"/>
      <c r="N497" s="9"/>
      <c r="O497" s="13" t="str">
        <f aca="false">IF(C497="","",IF(N(M497)+N(N497)&lt;Settings!$C$9,"untested",M497/(M497+N497)))</f>
        <v/>
      </c>
      <c r="P497" s="9"/>
      <c r="Q497" s="9"/>
      <c r="R497" s="9"/>
      <c r="S497" s="12"/>
      <c r="T497" s="9"/>
      <c r="U497" s="9"/>
      <c r="V497" s="9"/>
      <c r="W497" s="10" t="str">
        <f aca="false">IF(C497="","",IF(OR(G497="training",G497="full"),"Yes",IF(G497="none","No","?")))</f>
        <v/>
      </c>
      <c r="X497" s="10" t="str">
        <f aca="false">IF(C497="","",IF(OR(E497="",E497="unknown"),D497,E497))</f>
        <v/>
      </c>
      <c r="Y497" s="10" t="str">
        <f aca="false">IF(C497="","",IF(OR(T497="unsuitable",T497="retired",X497="no"),"—",IF(J497="","unrated",IF(AND(X497="full",J497&gt;=Settings!$C$5,OR(O497="untested",O497&gt;=Settings!$C$6)),"A",IF(AND(OR(X497="full",X497="reduced"),J497&gt;=Settings!$C$7,OR(O497="untested",O497&gt;=Settings!$C$8)),"B","C")))))</f>
        <v/>
      </c>
      <c r="Z497" s="11" t="str">
        <f aca="false">IF(C497="","",IF(P497&lt;&gt;"",P497,Y497))</f>
        <v/>
      </c>
    </row>
    <row r="498" customFormat="false" ht="15" hidden="false" customHeight="false" outlineLevel="0" collapsed="false">
      <c r="A498" s="9"/>
      <c r="B498" s="10" t="str">
        <f aca="false">IF(A498="","",IFERROR(INDEX(Parks!$A$2:$A$255,MATCH(A498,Parks!$B$2:$B$255,0)),"?"))</f>
        <v/>
      </c>
      <c r="C498" s="9"/>
      <c r="D498" s="10" t="str">
        <f aca="false">IF(C498="","",IF(SUMPRODUCT(--ISNUMBER(SEARCH({"Nets","Wicket","Diamond","Softball","T-ball","Baseball","Netball","Tennis","Bocce","Pentaque","Petanque","Skate","Car Park","Pond","Bridle","Amphitheatre","Perimeter","Passive"},C498)))&gt;0,"no",IF(SUMPRODUCT(--ISNUMBER(SEARCH({"Cricket","Junior","Mini","Summer Football","Small"},C498)))&gt;0,"reduced",IF(SUMPRODUCT(--ISNUMBER(SEARCH({"Rugby","Football","League","Touch","Gaelic","Australian","Lacrosse","General Sport","Training Area","Ultimate"},C498)))&gt;0,"full","unknown"))))</f>
        <v/>
      </c>
      <c r="E498" s="9"/>
      <c r="F498" s="9"/>
      <c r="G498" s="9"/>
      <c r="H498" s="9"/>
      <c r="I498" s="12"/>
      <c r="J498" s="9"/>
      <c r="K498" s="9"/>
      <c r="L498" s="9"/>
      <c r="M498" s="9"/>
      <c r="N498" s="9"/>
      <c r="O498" s="13" t="str">
        <f aca="false">IF(C498="","",IF(N(M498)+N(N498)&lt;Settings!$C$9,"untested",M498/(M498+N498)))</f>
        <v/>
      </c>
      <c r="P498" s="9"/>
      <c r="Q498" s="9"/>
      <c r="R498" s="9"/>
      <c r="S498" s="12"/>
      <c r="T498" s="9"/>
      <c r="U498" s="9"/>
      <c r="V498" s="9"/>
      <c r="W498" s="10" t="str">
        <f aca="false">IF(C498="","",IF(OR(G498="training",G498="full"),"Yes",IF(G498="none","No","?")))</f>
        <v/>
      </c>
      <c r="X498" s="10" t="str">
        <f aca="false">IF(C498="","",IF(OR(E498="",E498="unknown"),D498,E498))</f>
        <v/>
      </c>
      <c r="Y498" s="10" t="str">
        <f aca="false">IF(C498="","",IF(OR(T498="unsuitable",T498="retired",X498="no"),"—",IF(J498="","unrated",IF(AND(X498="full",J498&gt;=Settings!$C$5,OR(O498="untested",O498&gt;=Settings!$C$6)),"A",IF(AND(OR(X498="full",X498="reduced"),J498&gt;=Settings!$C$7,OR(O498="untested",O498&gt;=Settings!$C$8)),"B","C")))))</f>
        <v/>
      </c>
      <c r="Z498" s="11" t="str">
        <f aca="false">IF(C498="","",IF(P498&lt;&gt;"",P498,Y498))</f>
        <v/>
      </c>
    </row>
    <row r="499" customFormat="false" ht="15" hidden="false" customHeight="false" outlineLevel="0" collapsed="false">
      <c r="A499" s="9"/>
      <c r="B499" s="10" t="str">
        <f aca="false">IF(A499="","",IFERROR(INDEX(Parks!$A$2:$A$255,MATCH(A499,Parks!$B$2:$B$255,0)),"?"))</f>
        <v/>
      </c>
      <c r="C499" s="9"/>
      <c r="D499" s="10" t="str">
        <f aca="false">IF(C499="","",IF(SUMPRODUCT(--ISNUMBER(SEARCH({"Nets","Wicket","Diamond","Softball","T-ball","Baseball","Netball","Tennis","Bocce","Pentaque","Petanque","Skate","Car Park","Pond","Bridle","Amphitheatre","Perimeter","Passive"},C499)))&gt;0,"no",IF(SUMPRODUCT(--ISNUMBER(SEARCH({"Cricket","Junior","Mini","Summer Football","Small"},C499)))&gt;0,"reduced",IF(SUMPRODUCT(--ISNUMBER(SEARCH({"Rugby","Football","League","Touch","Gaelic","Australian","Lacrosse","General Sport","Training Area","Ultimate"},C499)))&gt;0,"full","unknown"))))</f>
        <v/>
      </c>
      <c r="E499" s="9"/>
      <c r="F499" s="9"/>
      <c r="G499" s="9"/>
      <c r="H499" s="9"/>
      <c r="I499" s="12"/>
      <c r="J499" s="9"/>
      <c r="K499" s="9"/>
      <c r="L499" s="9"/>
      <c r="M499" s="9"/>
      <c r="N499" s="9"/>
      <c r="O499" s="13" t="str">
        <f aca="false">IF(C499="","",IF(N(M499)+N(N499)&lt;Settings!$C$9,"untested",M499/(M499+N499)))</f>
        <v/>
      </c>
      <c r="P499" s="9"/>
      <c r="Q499" s="9"/>
      <c r="R499" s="9"/>
      <c r="S499" s="12"/>
      <c r="T499" s="9"/>
      <c r="U499" s="9"/>
      <c r="V499" s="9"/>
      <c r="W499" s="10" t="str">
        <f aca="false">IF(C499="","",IF(OR(G499="training",G499="full"),"Yes",IF(G499="none","No","?")))</f>
        <v/>
      </c>
      <c r="X499" s="10" t="str">
        <f aca="false">IF(C499="","",IF(OR(E499="",E499="unknown"),D499,E499))</f>
        <v/>
      </c>
      <c r="Y499" s="10" t="str">
        <f aca="false">IF(C499="","",IF(OR(T499="unsuitable",T499="retired",X499="no"),"—",IF(J499="","unrated",IF(AND(X499="full",J499&gt;=Settings!$C$5,OR(O499="untested",O499&gt;=Settings!$C$6)),"A",IF(AND(OR(X499="full",X499="reduced"),J499&gt;=Settings!$C$7,OR(O499="untested",O499&gt;=Settings!$C$8)),"B","C")))))</f>
        <v/>
      </c>
      <c r="Z499" s="11" t="str">
        <f aca="false">IF(C499="","",IF(P499&lt;&gt;"",P499,Y499))</f>
        <v/>
      </c>
    </row>
    <row r="500" customFormat="false" ht="15" hidden="false" customHeight="false" outlineLevel="0" collapsed="false">
      <c r="A500" s="9"/>
      <c r="B500" s="10" t="str">
        <f aca="false">IF(A500="","",IFERROR(INDEX(Parks!$A$2:$A$255,MATCH(A500,Parks!$B$2:$B$255,0)),"?"))</f>
        <v/>
      </c>
      <c r="C500" s="9"/>
      <c r="D500" s="10" t="str">
        <f aca="false">IF(C500="","",IF(SUMPRODUCT(--ISNUMBER(SEARCH({"Nets","Wicket","Diamond","Softball","T-ball","Baseball","Netball","Tennis","Bocce","Pentaque","Petanque","Skate","Car Park","Pond","Bridle","Amphitheatre","Perimeter","Passive"},C500)))&gt;0,"no",IF(SUMPRODUCT(--ISNUMBER(SEARCH({"Cricket","Junior","Mini","Summer Football","Small"},C500)))&gt;0,"reduced",IF(SUMPRODUCT(--ISNUMBER(SEARCH({"Rugby","Football","League","Touch","Gaelic","Australian","Lacrosse","General Sport","Training Area","Ultimate"},C500)))&gt;0,"full","unknown"))))</f>
        <v/>
      </c>
      <c r="E500" s="9"/>
      <c r="F500" s="9"/>
      <c r="G500" s="9"/>
      <c r="H500" s="9"/>
      <c r="I500" s="12"/>
      <c r="J500" s="9"/>
      <c r="K500" s="9"/>
      <c r="L500" s="9"/>
      <c r="M500" s="9"/>
      <c r="N500" s="9"/>
      <c r="O500" s="13" t="str">
        <f aca="false">IF(C500="","",IF(N(M500)+N(N500)&lt;Settings!$C$9,"untested",M500/(M500+N500)))</f>
        <v/>
      </c>
      <c r="P500" s="9"/>
      <c r="Q500" s="9"/>
      <c r="R500" s="9"/>
      <c r="S500" s="12"/>
      <c r="T500" s="9"/>
      <c r="U500" s="9"/>
      <c r="V500" s="9"/>
      <c r="W500" s="10" t="str">
        <f aca="false">IF(C500="","",IF(OR(G500="training",G500="full"),"Yes",IF(G500="none","No","?")))</f>
        <v/>
      </c>
      <c r="X500" s="10" t="str">
        <f aca="false">IF(C500="","",IF(OR(E500="",E500="unknown"),D500,E500))</f>
        <v/>
      </c>
      <c r="Y500" s="10" t="str">
        <f aca="false">IF(C500="","",IF(OR(T500="unsuitable",T500="retired",X500="no"),"—",IF(J500="","unrated",IF(AND(X500="full",J500&gt;=Settings!$C$5,OR(O500="untested",O500&gt;=Settings!$C$6)),"A",IF(AND(OR(X500="full",X500="reduced"),J500&gt;=Settings!$C$7,OR(O500="untested",O500&gt;=Settings!$C$8)),"B","C")))))</f>
        <v/>
      </c>
      <c r="Z500" s="11" t="str">
        <f aca="false">IF(C500="","",IF(P500&lt;&gt;"",P500,Y500))</f>
        <v/>
      </c>
    </row>
    <row r="501" customFormat="false" ht="15" hidden="false" customHeight="false" outlineLevel="0" collapsed="false">
      <c r="A501" s="9"/>
      <c r="B501" s="10" t="str">
        <f aca="false">IF(A501="","",IFERROR(INDEX(Parks!$A$2:$A$255,MATCH(A501,Parks!$B$2:$B$255,0)),"?"))</f>
        <v/>
      </c>
      <c r="C501" s="9"/>
      <c r="D501" s="10" t="str">
        <f aca="false">IF(C501="","",IF(SUMPRODUCT(--ISNUMBER(SEARCH({"Nets","Wicket","Diamond","Softball","T-ball","Baseball","Netball","Tennis","Bocce","Pentaque","Petanque","Skate","Car Park","Pond","Bridle","Amphitheatre","Perimeter","Passive"},C501)))&gt;0,"no",IF(SUMPRODUCT(--ISNUMBER(SEARCH({"Cricket","Junior","Mini","Summer Football","Small"},C501)))&gt;0,"reduced",IF(SUMPRODUCT(--ISNUMBER(SEARCH({"Rugby","Football","League","Touch","Gaelic","Australian","Lacrosse","General Sport","Training Area","Ultimate"},C501)))&gt;0,"full","unknown"))))</f>
        <v/>
      </c>
      <c r="E501" s="9"/>
      <c r="F501" s="9"/>
      <c r="G501" s="9"/>
      <c r="H501" s="9"/>
      <c r="I501" s="12"/>
      <c r="J501" s="9"/>
      <c r="K501" s="9"/>
      <c r="L501" s="9"/>
      <c r="M501" s="9"/>
      <c r="N501" s="9"/>
      <c r="O501" s="13" t="str">
        <f aca="false">IF(C501="","",IF(N(M501)+N(N501)&lt;Settings!$C$9,"untested",M501/(M501+N501)))</f>
        <v/>
      </c>
      <c r="P501" s="9"/>
      <c r="Q501" s="9"/>
      <c r="R501" s="9"/>
      <c r="S501" s="12"/>
      <c r="T501" s="9"/>
      <c r="U501" s="9"/>
      <c r="V501" s="9"/>
      <c r="W501" s="10" t="str">
        <f aca="false">IF(C501="","",IF(OR(G501="training",G501="full"),"Yes",IF(G501="none","No","?")))</f>
        <v/>
      </c>
      <c r="X501" s="10" t="str">
        <f aca="false">IF(C501="","",IF(OR(E501="",E501="unknown"),D501,E501))</f>
        <v/>
      </c>
      <c r="Y501" s="10" t="str">
        <f aca="false">IF(C501="","",IF(OR(T501="unsuitable",T501="retired",X501="no"),"—",IF(J501="","unrated",IF(AND(X501="full",J501&gt;=Settings!$C$5,OR(O501="untested",O501&gt;=Settings!$C$6)),"A",IF(AND(OR(X501="full",X501="reduced"),J501&gt;=Settings!$C$7,OR(O501="untested",O501&gt;=Settings!$C$8)),"B","C")))))</f>
        <v/>
      </c>
      <c r="Z501" s="11" t="str">
        <f aca="false">IF(C501="","",IF(P501&lt;&gt;"",P501,Y501))</f>
        <v/>
      </c>
    </row>
    <row r="502" customFormat="false" ht="15" hidden="false" customHeight="false" outlineLevel="0" collapsed="false">
      <c r="A502" s="9"/>
      <c r="B502" s="10" t="str">
        <f aca="false">IF(A502="","",IFERROR(INDEX(Parks!$A$2:$A$255,MATCH(A502,Parks!$B$2:$B$255,0)),"?"))</f>
        <v/>
      </c>
      <c r="C502" s="9"/>
      <c r="D502" s="10" t="str">
        <f aca="false">IF(C502="","",IF(SUMPRODUCT(--ISNUMBER(SEARCH({"Nets","Wicket","Diamond","Softball","T-ball","Baseball","Netball","Tennis","Bocce","Pentaque","Petanque","Skate","Car Park","Pond","Bridle","Amphitheatre","Perimeter","Passive"},C502)))&gt;0,"no",IF(SUMPRODUCT(--ISNUMBER(SEARCH({"Cricket","Junior","Mini","Summer Football","Small"},C502)))&gt;0,"reduced",IF(SUMPRODUCT(--ISNUMBER(SEARCH({"Rugby","Football","League","Touch","Gaelic","Australian","Lacrosse","General Sport","Training Area","Ultimate"},C502)))&gt;0,"full","unknown"))))</f>
        <v/>
      </c>
      <c r="E502" s="9"/>
      <c r="F502" s="9"/>
      <c r="G502" s="9"/>
      <c r="H502" s="9"/>
      <c r="I502" s="12"/>
      <c r="J502" s="9"/>
      <c r="K502" s="9"/>
      <c r="L502" s="9"/>
      <c r="M502" s="9"/>
      <c r="N502" s="9"/>
      <c r="O502" s="13" t="str">
        <f aca="false">IF(C502="","",IF(N(M502)+N(N502)&lt;Settings!$C$9,"untested",M502/(M502+N502)))</f>
        <v/>
      </c>
      <c r="P502" s="9"/>
      <c r="Q502" s="9"/>
      <c r="R502" s="9"/>
      <c r="S502" s="12"/>
      <c r="T502" s="9"/>
      <c r="U502" s="9"/>
      <c r="V502" s="9"/>
      <c r="W502" s="10" t="str">
        <f aca="false">IF(C502="","",IF(OR(G502="training",G502="full"),"Yes",IF(G502="none","No","?")))</f>
        <v/>
      </c>
      <c r="X502" s="10" t="str">
        <f aca="false">IF(C502="","",IF(OR(E502="",E502="unknown"),D502,E502))</f>
        <v/>
      </c>
      <c r="Y502" s="10" t="str">
        <f aca="false">IF(C502="","",IF(OR(T502="unsuitable",T502="retired",X502="no"),"—",IF(J502="","unrated",IF(AND(X502="full",J502&gt;=Settings!$C$5,OR(O502="untested",O502&gt;=Settings!$C$6)),"A",IF(AND(OR(X502="full",X502="reduced"),J502&gt;=Settings!$C$7,OR(O502="untested",O502&gt;=Settings!$C$8)),"B","C")))))</f>
        <v/>
      </c>
      <c r="Z502" s="11" t="str">
        <f aca="false">IF(C502="","",IF(P502&lt;&gt;"",P502,Y502))</f>
        <v/>
      </c>
    </row>
    <row r="503" customFormat="false" ht="15" hidden="false" customHeight="false" outlineLevel="0" collapsed="false">
      <c r="A503" s="9"/>
      <c r="B503" s="10" t="str">
        <f aca="false">IF(A503="","",IFERROR(INDEX(Parks!$A$2:$A$255,MATCH(A503,Parks!$B$2:$B$255,0)),"?"))</f>
        <v/>
      </c>
      <c r="C503" s="9"/>
      <c r="D503" s="10" t="str">
        <f aca="false">IF(C503="","",IF(SUMPRODUCT(--ISNUMBER(SEARCH({"Nets","Wicket","Diamond","Softball","T-ball","Baseball","Netball","Tennis","Bocce","Pentaque","Petanque","Skate","Car Park","Pond","Bridle","Amphitheatre","Perimeter","Passive"},C503)))&gt;0,"no",IF(SUMPRODUCT(--ISNUMBER(SEARCH({"Cricket","Junior","Mini","Summer Football","Small"},C503)))&gt;0,"reduced",IF(SUMPRODUCT(--ISNUMBER(SEARCH({"Rugby","Football","League","Touch","Gaelic","Australian","Lacrosse","General Sport","Training Area","Ultimate"},C503)))&gt;0,"full","unknown"))))</f>
        <v/>
      </c>
      <c r="E503" s="9"/>
      <c r="F503" s="9"/>
      <c r="G503" s="9"/>
      <c r="H503" s="9"/>
      <c r="I503" s="12"/>
      <c r="J503" s="9"/>
      <c r="K503" s="9"/>
      <c r="L503" s="9"/>
      <c r="M503" s="9"/>
      <c r="N503" s="9"/>
      <c r="O503" s="13" t="str">
        <f aca="false">IF(C503="","",IF(N(M503)+N(N503)&lt;Settings!$C$9,"untested",M503/(M503+N503)))</f>
        <v/>
      </c>
      <c r="P503" s="9"/>
      <c r="Q503" s="9"/>
      <c r="R503" s="9"/>
      <c r="S503" s="12"/>
      <c r="T503" s="9"/>
      <c r="U503" s="9"/>
      <c r="V503" s="9"/>
      <c r="W503" s="10" t="str">
        <f aca="false">IF(C503="","",IF(OR(G503="training",G503="full"),"Yes",IF(G503="none","No","?")))</f>
        <v/>
      </c>
      <c r="X503" s="10" t="str">
        <f aca="false">IF(C503="","",IF(OR(E503="",E503="unknown"),D503,E503))</f>
        <v/>
      </c>
      <c r="Y503" s="10" t="str">
        <f aca="false">IF(C503="","",IF(OR(T503="unsuitable",T503="retired",X503="no"),"—",IF(J503="","unrated",IF(AND(X503="full",J503&gt;=Settings!$C$5,OR(O503="untested",O503&gt;=Settings!$C$6)),"A",IF(AND(OR(X503="full",X503="reduced"),J503&gt;=Settings!$C$7,OR(O503="untested",O503&gt;=Settings!$C$8)),"B","C")))))</f>
        <v/>
      </c>
      <c r="Z503" s="11" t="str">
        <f aca="false">IF(C503="","",IF(P503&lt;&gt;"",P503,Y503))</f>
        <v/>
      </c>
    </row>
    <row r="504" customFormat="false" ht="15" hidden="false" customHeight="false" outlineLevel="0" collapsed="false">
      <c r="A504" s="9"/>
      <c r="B504" s="10" t="str">
        <f aca="false">IF(A504="","",IFERROR(INDEX(Parks!$A$2:$A$255,MATCH(A504,Parks!$B$2:$B$255,0)),"?"))</f>
        <v/>
      </c>
      <c r="C504" s="9"/>
      <c r="D504" s="10" t="str">
        <f aca="false">IF(C504="","",IF(SUMPRODUCT(--ISNUMBER(SEARCH({"Nets","Wicket","Diamond","Softball","T-ball","Baseball","Netball","Tennis","Bocce","Pentaque","Petanque","Skate","Car Park","Pond","Bridle","Amphitheatre","Perimeter","Passive"},C504)))&gt;0,"no",IF(SUMPRODUCT(--ISNUMBER(SEARCH({"Cricket","Junior","Mini","Summer Football","Small"},C504)))&gt;0,"reduced",IF(SUMPRODUCT(--ISNUMBER(SEARCH({"Rugby","Football","League","Touch","Gaelic","Australian","Lacrosse","General Sport","Training Area","Ultimate"},C504)))&gt;0,"full","unknown"))))</f>
        <v/>
      </c>
      <c r="E504" s="9"/>
      <c r="F504" s="9"/>
      <c r="G504" s="9"/>
      <c r="H504" s="9"/>
      <c r="I504" s="12"/>
      <c r="J504" s="9"/>
      <c r="K504" s="9"/>
      <c r="L504" s="9"/>
      <c r="M504" s="9"/>
      <c r="N504" s="9"/>
      <c r="O504" s="13" t="str">
        <f aca="false">IF(C504="","",IF(N(M504)+N(N504)&lt;Settings!$C$9,"untested",M504/(M504+N504)))</f>
        <v/>
      </c>
      <c r="P504" s="9"/>
      <c r="Q504" s="9"/>
      <c r="R504" s="9"/>
      <c r="S504" s="12"/>
      <c r="T504" s="9"/>
      <c r="U504" s="9"/>
      <c r="V504" s="9"/>
      <c r="W504" s="10" t="str">
        <f aca="false">IF(C504="","",IF(OR(G504="training",G504="full"),"Yes",IF(G504="none","No","?")))</f>
        <v/>
      </c>
      <c r="X504" s="10" t="str">
        <f aca="false">IF(C504="","",IF(OR(E504="",E504="unknown"),D504,E504))</f>
        <v/>
      </c>
      <c r="Y504" s="10" t="str">
        <f aca="false">IF(C504="","",IF(OR(T504="unsuitable",T504="retired",X504="no"),"—",IF(J504="","unrated",IF(AND(X504="full",J504&gt;=Settings!$C$5,OR(O504="untested",O504&gt;=Settings!$C$6)),"A",IF(AND(OR(X504="full",X504="reduced"),J504&gt;=Settings!$C$7,OR(O504="untested",O504&gt;=Settings!$C$8)),"B","C")))))</f>
        <v/>
      </c>
      <c r="Z504" s="11" t="str">
        <f aca="false">IF(C504="","",IF(P504&lt;&gt;"",P504,Y504))</f>
        <v/>
      </c>
    </row>
    <row r="505" customFormat="false" ht="15" hidden="false" customHeight="false" outlineLevel="0" collapsed="false">
      <c r="A505" s="9"/>
      <c r="B505" s="10" t="str">
        <f aca="false">IF(A505="","",IFERROR(INDEX(Parks!$A$2:$A$255,MATCH(A505,Parks!$B$2:$B$255,0)),"?"))</f>
        <v/>
      </c>
      <c r="C505" s="9"/>
      <c r="D505" s="10" t="str">
        <f aca="false">IF(C505="","",IF(SUMPRODUCT(--ISNUMBER(SEARCH({"Nets","Wicket","Diamond","Softball","T-ball","Baseball","Netball","Tennis","Bocce","Pentaque","Petanque","Skate","Car Park","Pond","Bridle","Amphitheatre","Perimeter","Passive"},C505)))&gt;0,"no",IF(SUMPRODUCT(--ISNUMBER(SEARCH({"Cricket","Junior","Mini","Summer Football","Small"},C505)))&gt;0,"reduced",IF(SUMPRODUCT(--ISNUMBER(SEARCH({"Rugby","Football","League","Touch","Gaelic","Australian","Lacrosse","General Sport","Training Area","Ultimate"},C505)))&gt;0,"full","unknown"))))</f>
        <v/>
      </c>
      <c r="E505" s="9"/>
      <c r="F505" s="9"/>
      <c r="G505" s="9"/>
      <c r="H505" s="9"/>
      <c r="I505" s="12"/>
      <c r="J505" s="9"/>
      <c r="K505" s="9"/>
      <c r="L505" s="9"/>
      <c r="M505" s="9"/>
      <c r="N505" s="9"/>
      <c r="O505" s="13" t="str">
        <f aca="false">IF(C505="","",IF(N(M505)+N(N505)&lt;Settings!$C$9,"untested",M505/(M505+N505)))</f>
        <v/>
      </c>
      <c r="P505" s="9"/>
      <c r="Q505" s="9"/>
      <c r="R505" s="9"/>
      <c r="S505" s="12"/>
      <c r="T505" s="9"/>
      <c r="U505" s="9"/>
      <c r="V505" s="9"/>
      <c r="W505" s="10" t="str">
        <f aca="false">IF(C505="","",IF(OR(G505="training",G505="full"),"Yes",IF(G505="none","No","?")))</f>
        <v/>
      </c>
      <c r="X505" s="10" t="str">
        <f aca="false">IF(C505="","",IF(OR(E505="",E505="unknown"),D505,E505))</f>
        <v/>
      </c>
      <c r="Y505" s="10" t="str">
        <f aca="false">IF(C505="","",IF(OR(T505="unsuitable",T505="retired",X505="no"),"—",IF(J505="","unrated",IF(AND(X505="full",J505&gt;=Settings!$C$5,OR(O505="untested",O505&gt;=Settings!$C$6)),"A",IF(AND(OR(X505="full",X505="reduced"),J505&gt;=Settings!$C$7,OR(O505="untested",O505&gt;=Settings!$C$8)),"B","C")))))</f>
        <v/>
      </c>
      <c r="Z505" s="11" t="str">
        <f aca="false">IF(C505="","",IF(P505&lt;&gt;"",P505,Y505))</f>
        <v/>
      </c>
    </row>
    <row r="506" customFormat="false" ht="15" hidden="false" customHeight="false" outlineLevel="0" collapsed="false">
      <c r="A506" s="9"/>
      <c r="B506" s="10" t="str">
        <f aca="false">IF(A506="","",IFERROR(INDEX(Parks!$A$2:$A$255,MATCH(A506,Parks!$B$2:$B$255,0)),"?"))</f>
        <v/>
      </c>
      <c r="C506" s="9"/>
      <c r="D506" s="10" t="str">
        <f aca="false">IF(C506="","",IF(SUMPRODUCT(--ISNUMBER(SEARCH({"Nets","Wicket","Diamond","Softball","T-ball","Baseball","Netball","Tennis","Bocce","Pentaque","Petanque","Skate","Car Park","Pond","Bridle","Amphitheatre","Perimeter","Passive"},C506)))&gt;0,"no",IF(SUMPRODUCT(--ISNUMBER(SEARCH({"Cricket","Junior","Mini","Summer Football","Small"},C506)))&gt;0,"reduced",IF(SUMPRODUCT(--ISNUMBER(SEARCH({"Rugby","Football","League","Touch","Gaelic","Australian","Lacrosse","General Sport","Training Area","Ultimate"},C506)))&gt;0,"full","unknown"))))</f>
        <v/>
      </c>
      <c r="E506" s="9"/>
      <c r="F506" s="9"/>
      <c r="G506" s="9"/>
      <c r="H506" s="9"/>
      <c r="I506" s="12"/>
      <c r="J506" s="9"/>
      <c r="K506" s="9"/>
      <c r="L506" s="9"/>
      <c r="M506" s="9"/>
      <c r="N506" s="9"/>
      <c r="O506" s="13" t="str">
        <f aca="false">IF(C506="","",IF(N(M506)+N(N506)&lt;Settings!$C$9,"untested",M506/(M506+N506)))</f>
        <v/>
      </c>
      <c r="P506" s="9"/>
      <c r="Q506" s="9"/>
      <c r="R506" s="9"/>
      <c r="S506" s="12"/>
      <c r="T506" s="9"/>
      <c r="U506" s="9"/>
      <c r="V506" s="9"/>
      <c r="W506" s="10" t="str">
        <f aca="false">IF(C506="","",IF(OR(G506="training",G506="full"),"Yes",IF(G506="none","No","?")))</f>
        <v/>
      </c>
      <c r="X506" s="10" t="str">
        <f aca="false">IF(C506="","",IF(OR(E506="",E506="unknown"),D506,E506))</f>
        <v/>
      </c>
      <c r="Y506" s="10" t="str">
        <f aca="false">IF(C506="","",IF(OR(T506="unsuitable",T506="retired",X506="no"),"—",IF(J506="","unrated",IF(AND(X506="full",J506&gt;=Settings!$C$5,OR(O506="untested",O506&gt;=Settings!$C$6)),"A",IF(AND(OR(X506="full",X506="reduced"),J506&gt;=Settings!$C$7,OR(O506="untested",O506&gt;=Settings!$C$8)),"B","C")))))</f>
        <v/>
      </c>
      <c r="Z506" s="11" t="str">
        <f aca="false">IF(C506="","",IF(P506&lt;&gt;"",P506,Y506))</f>
        <v/>
      </c>
    </row>
    <row r="507" customFormat="false" ht="15" hidden="false" customHeight="false" outlineLevel="0" collapsed="false">
      <c r="A507" s="9"/>
      <c r="B507" s="10" t="str">
        <f aca="false">IF(A507="","",IFERROR(INDEX(Parks!$A$2:$A$255,MATCH(A507,Parks!$B$2:$B$255,0)),"?"))</f>
        <v/>
      </c>
      <c r="C507" s="9"/>
      <c r="D507" s="10" t="str">
        <f aca="false">IF(C507="","",IF(SUMPRODUCT(--ISNUMBER(SEARCH({"Nets","Wicket","Diamond","Softball","T-ball","Baseball","Netball","Tennis","Bocce","Pentaque","Petanque","Skate","Car Park","Pond","Bridle","Amphitheatre","Perimeter","Passive"},C507)))&gt;0,"no",IF(SUMPRODUCT(--ISNUMBER(SEARCH({"Cricket","Junior","Mini","Summer Football","Small"},C507)))&gt;0,"reduced",IF(SUMPRODUCT(--ISNUMBER(SEARCH({"Rugby","Football","League","Touch","Gaelic","Australian","Lacrosse","General Sport","Training Area","Ultimate"},C507)))&gt;0,"full","unknown"))))</f>
        <v/>
      </c>
      <c r="E507" s="9"/>
      <c r="F507" s="9"/>
      <c r="G507" s="9"/>
      <c r="H507" s="9"/>
      <c r="I507" s="12"/>
      <c r="J507" s="9"/>
      <c r="K507" s="9"/>
      <c r="L507" s="9"/>
      <c r="M507" s="9"/>
      <c r="N507" s="9"/>
      <c r="O507" s="13" t="str">
        <f aca="false">IF(C507="","",IF(N(M507)+N(N507)&lt;Settings!$C$9,"untested",M507/(M507+N507)))</f>
        <v/>
      </c>
      <c r="P507" s="9"/>
      <c r="Q507" s="9"/>
      <c r="R507" s="9"/>
      <c r="S507" s="12"/>
      <c r="T507" s="9"/>
      <c r="U507" s="9"/>
      <c r="V507" s="9"/>
      <c r="W507" s="10" t="str">
        <f aca="false">IF(C507="","",IF(OR(G507="training",G507="full"),"Yes",IF(G507="none","No","?")))</f>
        <v/>
      </c>
      <c r="X507" s="10" t="str">
        <f aca="false">IF(C507="","",IF(OR(E507="",E507="unknown"),D507,E507))</f>
        <v/>
      </c>
      <c r="Y507" s="10" t="str">
        <f aca="false">IF(C507="","",IF(OR(T507="unsuitable",T507="retired",X507="no"),"—",IF(J507="","unrated",IF(AND(X507="full",J507&gt;=Settings!$C$5,OR(O507="untested",O507&gt;=Settings!$C$6)),"A",IF(AND(OR(X507="full",X507="reduced"),J507&gt;=Settings!$C$7,OR(O507="untested",O507&gt;=Settings!$C$8)),"B","C")))))</f>
        <v/>
      </c>
      <c r="Z507" s="11" t="str">
        <f aca="false">IF(C507="","",IF(P507&lt;&gt;"",P507,Y507))</f>
        <v/>
      </c>
    </row>
    <row r="508" customFormat="false" ht="15" hidden="false" customHeight="false" outlineLevel="0" collapsed="false">
      <c r="A508" s="9"/>
      <c r="B508" s="10" t="str">
        <f aca="false">IF(A508="","",IFERROR(INDEX(Parks!$A$2:$A$255,MATCH(A508,Parks!$B$2:$B$255,0)),"?"))</f>
        <v/>
      </c>
      <c r="C508" s="9"/>
      <c r="D508" s="10" t="str">
        <f aca="false">IF(C508="","",IF(SUMPRODUCT(--ISNUMBER(SEARCH({"Nets","Wicket","Diamond","Softball","T-ball","Baseball","Netball","Tennis","Bocce","Pentaque","Petanque","Skate","Car Park","Pond","Bridle","Amphitheatre","Perimeter","Passive"},C508)))&gt;0,"no",IF(SUMPRODUCT(--ISNUMBER(SEARCH({"Cricket","Junior","Mini","Summer Football","Small"},C508)))&gt;0,"reduced",IF(SUMPRODUCT(--ISNUMBER(SEARCH({"Rugby","Football","League","Touch","Gaelic","Australian","Lacrosse","General Sport","Training Area","Ultimate"},C508)))&gt;0,"full","unknown"))))</f>
        <v/>
      </c>
      <c r="E508" s="9"/>
      <c r="F508" s="9"/>
      <c r="G508" s="9"/>
      <c r="H508" s="9"/>
      <c r="I508" s="12"/>
      <c r="J508" s="9"/>
      <c r="K508" s="9"/>
      <c r="L508" s="9"/>
      <c r="M508" s="9"/>
      <c r="N508" s="9"/>
      <c r="O508" s="13" t="str">
        <f aca="false">IF(C508="","",IF(N(M508)+N(N508)&lt;Settings!$C$9,"untested",M508/(M508+N508)))</f>
        <v/>
      </c>
      <c r="P508" s="9"/>
      <c r="Q508" s="9"/>
      <c r="R508" s="9"/>
      <c r="S508" s="12"/>
      <c r="T508" s="9"/>
      <c r="U508" s="9"/>
      <c r="V508" s="9"/>
      <c r="W508" s="10" t="str">
        <f aca="false">IF(C508="","",IF(OR(G508="training",G508="full"),"Yes",IF(G508="none","No","?")))</f>
        <v/>
      </c>
      <c r="X508" s="10" t="str">
        <f aca="false">IF(C508="","",IF(OR(E508="",E508="unknown"),D508,E508))</f>
        <v/>
      </c>
      <c r="Y508" s="10" t="str">
        <f aca="false">IF(C508="","",IF(OR(T508="unsuitable",T508="retired",X508="no"),"—",IF(J508="","unrated",IF(AND(X508="full",J508&gt;=Settings!$C$5,OR(O508="untested",O508&gt;=Settings!$C$6)),"A",IF(AND(OR(X508="full",X508="reduced"),J508&gt;=Settings!$C$7,OR(O508="untested",O508&gt;=Settings!$C$8)),"B","C")))))</f>
        <v/>
      </c>
      <c r="Z508" s="11" t="str">
        <f aca="false">IF(C508="","",IF(P508&lt;&gt;"",P508,Y508))</f>
        <v/>
      </c>
    </row>
    <row r="509" customFormat="false" ht="15" hidden="false" customHeight="false" outlineLevel="0" collapsed="false">
      <c r="A509" s="9"/>
      <c r="B509" s="10" t="str">
        <f aca="false">IF(A509="","",IFERROR(INDEX(Parks!$A$2:$A$255,MATCH(A509,Parks!$B$2:$B$255,0)),"?"))</f>
        <v/>
      </c>
      <c r="C509" s="9"/>
      <c r="D509" s="10" t="str">
        <f aca="false">IF(C509="","",IF(SUMPRODUCT(--ISNUMBER(SEARCH({"Nets","Wicket","Diamond","Softball","T-ball","Baseball","Netball","Tennis","Bocce","Pentaque","Petanque","Skate","Car Park","Pond","Bridle","Amphitheatre","Perimeter","Passive"},C509)))&gt;0,"no",IF(SUMPRODUCT(--ISNUMBER(SEARCH({"Cricket","Junior","Mini","Summer Football","Small"},C509)))&gt;0,"reduced",IF(SUMPRODUCT(--ISNUMBER(SEARCH({"Rugby","Football","League","Touch","Gaelic","Australian","Lacrosse","General Sport","Training Area","Ultimate"},C509)))&gt;0,"full","unknown"))))</f>
        <v/>
      </c>
      <c r="E509" s="9"/>
      <c r="F509" s="9"/>
      <c r="G509" s="9"/>
      <c r="H509" s="9"/>
      <c r="I509" s="12"/>
      <c r="J509" s="9"/>
      <c r="K509" s="9"/>
      <c r="L509" s="9"/>
      <c r="M509" s="9"/>
      <c r="N509" s="9"/>
      <c r="O509" s="13" t="str">
        <f aca="false">IF(C509="","",IF(N(M509)+N(N509)&lt;Settings!$C$9,"untested",M509/(M509+N509)))</f>
        <v/>
      </c>
      <c r="P509" s="9"/>
      <c r="Q509" s="9"/>
      <c r="R509" s="9"/>
      <c r="S509" s="12"/>
      <c r="T509" s="9"/>
      <c r="U509" s="9"/>
      <c r="V509" s="9"/>
      <c r="W509" s="10" t="str">
        <f aca="false">IF(C509="","",IF(OR(G509="training",G509="full"),"Yes",IF(G509="none","No","?")))</f>
        <v/>
      </c>
      <c r="X509" s="10" t="str">
        <f aca="false">IF(C509="","",IF(OR(E509="",E509="unknown"),D509,E509))</f>
        <v/>
      </c>
      <c r="Y509" s="10" t="str">
        <f aca="false">IF(C509="","",IF(OR(T509="unsuitable",T509="retired",X509="no"),"—",IF(J509="","unrated",IF(AND(X509="full",J509&gt;=Settings!$C$5,OR(O509="untested",O509&gt;=Settings!$C$6)),"A",IF(AND(OR(X509="full",X509="reduced"),J509&gt;=Settings!$C$7,OR(O509="untested",O509&gt;=Settings!$C$8)),"B","C")))))</f>
        <v/>
      </c>
      <c r="Z509" s="11" t="str">
        <f aca="false">IF(C509="","",IF(P509&lt;&gt;"",P509,Y509))</f>
        <v/>
      </c>
    </row>
    <row r="510" customFormat="false" ht="15" hidden="false" customHeight="false" outlineLevel="0" collapsed="false">
      <c r="A510" s="9"/>
      <c r="B510" s="10" t="str">
        <f aca="false">IF(A510="","",IFERROR(INDEX(Parks!$A$2:$A$255,MATCH(A510,Parks!$B$2:$B$255,0)),"?"))</f>
        <v/>
      </c>
      <c r="C510" s="9"/>
      <c r="D510" s="10" t="str">
        <f aca="false">IF(C510="","",IF(SUMPRODUCT(--ISNUMBER(SEARCH({"Nets","Wicket","Diamond","Softball","T-ball","Baseball","Netball","Tennis","Bocce","Pentaque","Petanque","Skate","Car Park","Pond","Bridle","Amphitheatre","Perimeter","Passive"},C510)))&gt;0,"no",IF(SUMPRODUCT(--ISNUMBER(SEARCH({"Cricket","Junior","Mini","Summer Football","Small"},C510)))&gt;0,"reduced",IF(SUMPRODUCT(--ISNUMBER(SEARCH({"Rugby","Football","League","Touch","Gaelic","Australian","Lacrosse","General Sport","Training Area","Ultimate"},C510)))&gt;0,"full","unknown"))))</f>
        <v/>
      </c>
      <c r="E510" s="9"/>
      <c r="F510" s="9"/>
      <c r="G510" s="9"/>
      <c r="H510" s="9"/>
      <c r="I510" s="12"/>
      <c r="J510" s="9"/>
      <c r="K510" s="9"/>
      <c r="L510" s="9"/>
      <c r="M510" s="9"/>
      <c r="N510" s="9"/>
      <c r="O510" s="13" t="str">
        <f aca="false">IF(C510="","",IF(N(M510)+N(N510)&lt;Settings!$C$9,"untested",M510/(M510+N510)))</f>
        <v/>
      </c>
      <c r="P510" s="9"/>
      <c r="Q510" s="9"/>
      <c r="R510" s="9"/>
      <c r="S510" s="12"/>
      <c r="T510" s="9"/>
      <c r="U510" s="9"/>
      <c r="V510" s="9"/>
      <c r="W510" s="10" t="str">
        <f aca="false">IF(C510="","",IF(OR(G510="training",G510="full"),"Yes",IF(G510="none","No","?")))</f>
        <v/>
      </c>
      <c r="X510" s="10" t="str">
        <f aca="false">IF(C510="","",IF(OR(E510="",E510="unknown"),D510,E510))</f>
        <v/>
      </c>
      <c r="Y510" s="10" t="str">
        <f aca="false">IF(C510="","",IF(OR(T510="unsuitable",T510="retired",X510="no"),"—",IF(J510="","unrated",IF(AND(X510="full",J510&gt;=Settings!$C$5,OR(O510="untested",O510&gt;=Settings!$C$6)),"A",IF(AND(OR(X510="full",X510="reduced"),J510&gt;=Settings!$C$7,OR(O510="untested",O510&gt;=Settings!$C$8)),"B","C")))))</f>
        <v/>
      </c>
      <c r="Z510" s="11" t="str">
        <f aca="false">IF(C510="","",IF(P510&lt;&gt;"",P510,Y510))</f>
        <v/>
      </c>
    </row>
    <row r="511" customFormat="false" ht="15" hidden="false" customHeight="false" outlineLevel="0" collapsed="false">
      <c r="A511" s="9"/>
      <c r="B511" s="10" t="str">
        <f aca="false">IF(A511="","",IFERROR(INDEX(Parks!$A$2:$A$255,MATCH(A511,Parks!$B$2:$B$255,0)),"?"))</f>
        <v/>
      </c>
      <c r="C511" s="9"/>
      <c r="D511" s="10" t="str">
        <f aca="false">IF(C511="","",IF(SUMPRODUCT(--ISNUMBER(SEARCH({"Nets","Wicket","Diamond","Softball","T-ball","Baseball","Netball","Tennis","Bocce","Pentaque","Petanque","Skate","Car Park","Pond","Bridle","Amphitheatre","Perimeter","Passive"},C511)))&gt;0,"no",IF(SUMPRODUCT(--ISNUMBER(SEARCH({"Cricket","Junior","Mini","Summer Football","Small"},C511)))&gt;0,"reduced",IF(SUMPRODUCT(--ISNUMBER(SEARCH({"Rugby","Football","League","Touch","Gaelic","Australian","Lacrosse","General Sport","Training Area","Ultimate"},C511)))&gt;0,"full","unknown"))))</f>
        <v/>
      </c>
      <c r="E511" s="9"/>
      <c r="F511" s="9"/>
      <c r="G511" s="9"/>
      <c r="H511" s="9"/>
      <c r="I511" s="12"/>
      <c r="J511" s="9"/>
      <c r="K511" s="9"/>
      <c r="L511" s="9"/>
      <c r="M511" s="9"/>
      <c r="N511" s="9"/>
      <c r="O511" s="13" t="str">
        <f aca="false">IF(C511="","",IF(N(M511)+N(N511)&lt;Settings!$C$9,"untested",M511/(M511+N511)))</f>
        <v/>
      </c>
      <c r="P511" s="9"/>
      <c r="Q511" s="9"/>
      <c r="R511" s="9"/>
      <c r="S511" s="12"/>
      <c r="T511" s="9"/>
      <c r="U511" s="9"/>
      <c r="V511" s="9"/>
      <c r="W511" s="10" t="str">
        <f aca="false">IF(C511="","",IF(OR(G511="training",G511="full"),"Yes",IF(G511="none","No","?")))</f>
        <v/>
      </c>
      <c r="X511" s="10" t="str">
        <f aca="false">IF(C511="","",IF(OR(E511="",E511="unknown"),D511,E511))</f>
        <v/>
      </c>
      <c r="Y511" s="10" t="str">
        <f aca="false">IF(C511="","",IF(OR(T511="unsuitable",T511="retired",X511="no"),"—",IF(J511="","unrated",IF(AND(X511="full",J511&gt;=Settings!$C$5,OR(O511="untested",O511&gt;=Settings!$C$6)),"A",IF(AND(OR(X511="full",X511="reduced"),J511&gt;=Settings!$C$7,OR(O511="untested",O511&gt;=Settings!$C$8)),"B","C")))))</f>
        <v/>
      </c>
      <c r="Z511" s="11" t="str">
        <f aca="false">IF(C511="","",IF(P511&lt;&gt;"",P511,Y511))</f>
        <v/>
      </c>
    </row>
    <row r="512" customFormat="false" ht="15" hidden="false" customHeight="false" outlineLevel="0" collapsed="false">
      <c r="A512" s="9"/>
      <c r="B512" s="10" t="str">
        <f aca="false">IF(A512="","",IFERROR(INDEX(Parks!$A$2:$A$255,MATCH(A512,Parks!$B$2:$B$255,0)),"?"))</f>
        <v/>
      </c>
      <c r="C512" s="9"/>
      <c r="D512" s="10" t="str">
        <f aca="false">IF(C512="","",IF(SUMPRODUCT(--ISNUMBER(SEARCH({"Nets","Wicket","Diamond","Softball","T-ball","Baseball","Netball","Tennis","Bocce","Pentaque","Petanque","Skate","Car Park","Pond","Bridle","Amphitheatre","Perimeter","Passive"},C512)))&gt;0,"no",IF(SUMPRODUCT(--ISNUMBER(SEARCH({"Cricket","Junior","Mini","Summer Football","Small"},C512)))&gt;0,"reduced",IF(SUMPRODUCT(--ISNUMBER(SEARCH({"Rugby","Football","League","Touch","Gaelic","Australian","Lacrosse","General Sport","Training Area","Ultimate"},C512)))&gt;0,"full","unknown"))))</f>
        <v/>
      </c>
      <c r="E512" s="9"/>
      <c r="F512" s="9"/>
      <c r="G512" s="9"/>
      <c r="H512" s="9"/>
      <c r="I512" s="12"/>
      <c r="J512" s="9"/>
      <c r="K512" s="9"/>
      <c r="L512" s="9"/>
      <c r="M512" s="9"/>
      <c r="N512" s="9"/>
      <c r="O512" s="13" t="str">
        <f aca="false">IF(C512="","",IF(N(M512)+N(N512)&lt;Settings!$C$9,"untested",M512/(M512+N512)))</f>
        <v/>
      </c>
      <c r="P512" s="9"/>
      <c r="Q512" s="9"/>
      <c r="R512" s="9"/>
      <c r="S512" s="12"/>
      <c r="T512" s="9"/>
      <c r="U512" s="9"/>
      <c r="V512" s="9"/>
      <c r="W512" s="10" t="str">
        <f aca="false">IF(C512="","",IF(OR(G512="training",G512="full"),"Yes",IF(G512="none","No","?")))</f>
        <v/>
      </c>
      <c r="X512" s="10" t="str">
        <f aca="false">IF(C512="","",IF(OR(E512="",E512="unknown"),D512,E512))</f>
        <v/>
      </c>
      <c r="Y512" s="10" t="str">
        <f aca="false">IF(C512="","",IF(OR(T512="unsuitable",T512="retired",X512="no"),"—",IF(J512="","unrated",IF(AND(X512="full",J512&gt;=Settings!$C$5,OR(O512="untested",O512&gt;=Settings!$C$6)),"A",IF(AND(OR(X512="full",X512="reduced"),J512&gt;=Settings!$C$7,OR(O512="untested",O512&gt;=Settings!$C$8)),"B","C")))))</f>
        <v/>
      </c>
      <c r="Z512" s="11" t="str">
        <f aca="false">IF(C512="","",IF(P512&lt;&gt;"",P512,Y512))</f>
        <v/>
      </c>
    </row>
    <row r="513" customFormat="false" ht="15" hidden="false" customHeight="false" outlineLevel="0" collapsed="false">
      <c r="A513" s="9"/>
      <c r="B513" s="10" t="str">
        <f aca="false">IF(A513="","",IFERROR(INDEX(Parks!$A$2:$A$255,MATCH(A513,Parks!$B$2:$B$255,0)),"?"))</f>
        <v/>
      </c>
      <c r="C513" s="9"/>
      <c r="D513" s="10" t="str">
        <f aca="false">IF(C513="","",IF(SUMPRODUCT(--ISNUMBER(SEARCH({"Nets","Wicket","Diamond","Softball","T-ball","Baseball","Netball","Tennis","Bocce","Pentaque","Petanque","Skate","Car Park","Pond","Bridle","Amphitheatre","Perimeter","Passive"},C513)))&gt;0,"no",IF(SUMPRODUCT(--ISNUMBER(SEARCH({"Cricket","Junior","Mini","Summer Football","Small"},C513)))&gt;0,"reduced",IF(SUMPRODUCT(--ISNUMBER(SEARCH({"Rugby","Football","League","Touch","Gaelic","Australian","Lacrosse","General Sport","Training Area","Ultimate"},C513)))&gt;0,"full","unknown"))))</f>
        <v/>
      </c>
      <c r="E513" s="9"/>
      <c r="F513" s="9"/>
      <c r="G513" s="9"/>
      <c r="H513" s="9"/>
      <c r="I513" s="12"/>
      <c r="J513" s="9"/>
      <c r="K513" s="9"/>
      <c r="L513" s="9"/>
      <c r="M513" s="9"/>
      <c r="N513" s="9"/>
      <c r="O513" s="13" t="str">
        <f aca="false">IF(C513="","",IF(N(M513)+N(N513)&lt;Settings!$C$9,"untested",M513/(M513+N513)))</f>
        <v/>
      </c>
      <c r="P513" s="9"/>
      <c r="Q513" s="9"/>
      <c r="R513" s="9"/>
      <c r="S513" s="12"/>
      <c r="T513" s="9"/>
      <c r="U513" s="9"/>
      <c r="V513" s="9"/>
      <c r="W513" s="10" t="str">
        <f aca="false">IF(C513="","",IF(OR(G513="training",G513="full"),"Yes",IF(G513="none","No","?")))</f>
        <v/>
      </c>
      <c r="X513" s="10" t="str">
        <f aca="false">IF(C513="","",IF(OR(E513="",E513="unknown"),D513,E513))</f>
        <v/>
      </c>
      <c r="Y513" s="10" t="str">
        <f aca="false">IF(C513="","",IF(OR(T513="unsuitable",T513="retired",X513="no"),"—",IF(J513="","unrated",IF(AND(X513="full",J513&gt;=Settings!$C$5,OR(O513="untested",O513&gt;=Settings!$C$6)),"A",IF(AND(OR(X513="full",X513="reduced"),J513&gt;=Settings!$C$7,OR(O513="untested",O513&gt;=Settings!$C$8)),"B","C")))))</f>
        <v/>
      </c>
      <c r="Z513" s="11" t="str">
        <f aca="false">IF(C513="","",IF(P513&lt;&gt;"",P513,Y513))</f>
        <v/>
      </c>
    </row>
    <row r="514" customFormat="false" ht="15" hidden="false" customHeight="false" outlineLevel="0" collapsed="false">
      <c r="A514" s="9"/>
      <c r="B514" s="10" t="str">
        <f aca="false">IF(A514="","",IFERROR(INDEX(Parks!$A$2:$A$255,MATCH(A514,Parks!$B$2:$B$255,0)),"?"))</f>
        <v/>
      </c>
      <c r="C514" s="9"/>
      <c r="D514" s="10" t="str">
        <f aca="false">IF(C514="","",IF(SUMPRODUCT(--ISNUMBER(SEARCH({"Nets","Wicket","Diamond","Softball","T-ball","Baseball","Netball","Tennis","Bocce","Pentaque","Petanque","Skate","Car Park","Pond","Bridle","Amphitheatre","Perimeter","Passive"},C514)))&gt;0,"no",IF(SUMPRODUCT(--ISNUMBER(SEARCH({"Cricket","Junior","Mini","Summer Football","Small"},C514)))&gt;0,"reduced",IF(SUMPRODUCT(--ISNUMBER(SEARCH({"Rugby","Football","League","Touch","Gaelic","Australian","Lacrosse","General Sport","Training Area","Ultimate"},C514)))&gt;0,"full","unknown"))))</f>
        <v/>
      </c>
      <c r="E514" s="9"/>
      <c r="F514" s="9"/>
      <c r="G514" s="9"/>
      <c r="H514" s="9"/>
      <c r="I514" s="12"/>
      <c r="J514" s="9"/>
      <c r="K514" s="9"/>
      <c r="L514" s="9"/>
      <c r="M514" s="9"/>
      <c r="N514" s="9"/>
      <c r="O514" s="13" t="str">
        <f aca="false">IF(C514="","",IF(N(M514)+N(N514)&lt;Settings!$C$9,"untested",M514/(M514+N514)))</f>
        <v/>
      </c>
      <c r="P514" s="9"/>
      <c r="Q514" s="9"/>
      <c r="R514" s="9"/>
      <c r="S514" s="12"/>
      <c r="T514" s="9"/>
      <c r="U514" s="9"/>
      <c r="V514" s="9"/>
      <c r="W514" s="10" t="str">
        <f aca="false">IF(C514="","",IF(OR(G514="training",G514="full"),"Yes",IF(G514="none","No","?")))</f>
        <v/>
      </c>
      <c r="X514" s="10" t="str">
        <f aca="false">IF(C514="","",IF(OR(E514="",E514="unknown"),D514,E514))</f>
        <v/>
      </c>
      <c r="Y514" s="10" t="str">
        <f aca="false">IF(C514="","",IF(OR(T514="unsuitable",T514="retired",X514="no"),"—",IF(J514="","unrated",IF(AND(X514="full",J514&gt;=Settings!$C$5,OR(O514="untested",O514&gt;=Settings!$C$6)),"A",IF(AND(OR(X514="full",X514="reduced"),J514&gt;=Settings!$C$7,OR(O514="untested",O514&gt;=Settings!$C$8)),"B","C")))))</f>
        <v/>
      </c>
      <c r="Z514" s="11" t="str">
        <f aca="false">IF(C514="","",IF(P514&lt;&gt;"",P514,Y514))</f>
        <v/>
      </c>
    </row>
    <row r="515" customFormat="false" ht="15" hidden="false" customHeight="false" outlineLevel="0" collapsed="false">
      <c r="A515" s="9"/>
      <c r="B515" s="10" t="str">
        <f aca="false">IF(A515="","",IFERROR(INDEX(Parks!$A$2:$A$255,MATCH(A515,Parks!$B$2:$B$255,0)),"?"))</f>
        <v/>
      </c>
      <c r="C515" s="9"/>
      <c r="D515" s="10" t="str">
        <f aca="false">IF(C515="","",IF(SUMPRODUCT(--ISNUMBER(SEARCH({"Nets","Wicket","Diamond","Softball","T-ball","Baseball","Netball","Tennis","Bocce","Pentaque","Petanque","Skate","Car Park","Pond","Bridle","Amphitheatre","Perimeter","Passive"},C515)))&gt;0,"no",IF(SUMPRODUCT(--ISNUMBER(SEARCH({"Cricket","Junior","Mini","Summer Football","Small"},C515)))&gt;0,"reduced",IF(SUMPRODUCT(--ISNUMBER(SEARCH({"Rugby","Football","League","Touch","Gaelic","Australian","Lacrosse","General Sport","Training Area","Ultimate"},C515)))&gt;0,"full","unknown"))))</f>
        <v/>
      </c>
      <c r="E515" s="9"/>
      <c r="F515" s="9"/>
      <c r="G515" s="9"/>
      <c r="H515" s="9"/>
      <c r="I515" s="12"/>
      <c r="J515" s="9"/>
      <c r="K515" s="9"/>
      <c r="L515" s="9"/>
      <c r="M515" s="9"/>
      <c r="N515" s="9"/>
      <c r="O515" s="13" t="str">
        <f aca="false">IF(C515="","",IF(N(M515)+N(N515)&lt;Settings!$C$9,"untested",M515/(M515+N515)))</f>
        <v/>
      </c>
      <c r="P515" s="9"/>
      <c r="Q515" s="9"/>
      <c r="R515" s="9"/>
      <c r="S515" s="12"/>
      <c r="T515" s="9"/>
      <c r="U515" s="9"/>
      <c r="V515" s="9"/>
      <c r="W515" s="10" t="str">
        <f aca="false">IF(C515="","",IF(OR(G515="training",G515="full"),"Yes",IF(G515="none","No","?")))</f>
        <v/>
      </c>
      <c r="X515" s="10" t="str">
        <f aca="false">IF(C515="","",IF(OR(E515="",E515="unknown"),D515,E515))</f>
        <v/>
      </c>
      <c r="Y515" s="10" t="str">
        <f aca="false">IF(C515="","",IF(OR(T515="unsuitable",T515="retired",X515="no"),"—",IF(J515="","unrated",IF(AND(X515="full",J515&gt;=Settings!$C$5,OR(O515="untested",O515&gt;=Settings!$C$6)),"A",IF(AND(OR(X515="full",X515="reduced"),J515&gt;=Settings!$C$7,OR(O515="untested",O515&gt;=Settings!$C$8)),"B","C")))))</f>
        <v/>
      </c>
      <c r="Z515" s="11" t="str">
        <f aca="false">IF(C515="","",IF(P515&lt;&gt;"",P515,Y515))</f>
        <v/>
      </c>
    </row>
    <row r="516" customFormat="false" ht="15" hidden="false" customHeight="false" outlineLevel="0" collapsed="false">
      <c r="A516" s="9"/>
      <c r="B516" s="10" t="str">
        <f aca="false">IF(A516="","",IFERROR(INDEX(Parks!$A$2:$A$255,MATCH(A516,Parks!$B$2:$B$255,0)),"?"))</f>
        <v/>
      </c>
      <c r="C516" s="9"/>
      <c r="D516" s="10" t="str">
        <f aca="false">IF(C516="","",IF(SUMPRODUCT(--ISNUMBER(SEARCH({"Nets","Wicket","Diamond","Softball","T-ball","Baseball","Netball","Tennis","Bocce","Pentaque","Petanque","Skate","Car Park","Pond","Bridle","Amphitheatre","Perimeter","Passive"},C516)))&gt;0,"no",IF(SUMPRODUCT(--ISNUMBER(SEARCH({"Cricket","Junior","Mini","Summer Football","Small"},C516)))&gt;0,"reduced",IF(SUMPRODUCT(--ISNUMBER(SEARCH({"Rugby","Football","League","Touch","Gaelic","Australian","Lacrosse","General Sport","Training Area","Ultimate"},C516)))&gt;0,"full","unknown"))))</f>
        <v/>
      </c>
      <c r="E516" s="9"/>
      <c r="F516" s="9"/>
      <c r="G516" s="9"/>
      <c r="H516" s="9"/>
      <c r="I516" s="12"/>
      <c r="J516" s="9"/>
      <c r="K516" s="9"/>
      <c r="L516" s="9"/>
      <c r="M516" s="9"/>
      <c r="N516" s="9"/>
      <c r="O516" s="13" t="str">
        <f aca="false">IF(C516="","",IF(N(M516)+N(N516)&lt;Settings!$C$9,"untested",M516/(M516+N516)))</f>
        <v/>
      </c>
      <c r="P516" s="9"/>
      <c r="Q516" s="9"/>
      <c r="R516" s="9"/>
      <c r="S516" s="12"/>
      <c r="T516" s="9"/>
      <c r="U516" s="9"/>
      <c r="V516" s="9"/>
      <c r="W516" s="10" t="str">
        <f aca="false">IF(C516="","",IF(OR(G516="training",G516="full"),"Yes",IF(G516="none","No","?")))</f>
        <v/>
      </c>
      <c r="X516" s="10" t="str">
        <f aca="false">IF(C516="","",IF(OR(E516="",E516="unknown"),D516,E516))</f>
        <v/>
      </c>
      <c r="Y516" s="10" t="str">
        <f aca="false">IF(C516="","",IF(OR(T516="unsuitable",T516="retired",X516="no"),"—",IF(J516="","unrated",IF(AND(X516="full",J516&gt;=Settings!$C$5,OR(O516="untested",O516&gt;=Settings!$C$6)),"A",IF(AND(OR(X516="full",X516="reduced"),J516&gt;=Settings!$C$7,OR(O516="untested",O516&gt;=Settings!$C$8)),"B","C")))))</f>
        <v/>
      </c>
      <c r="Z516" s="11" t="str">
        <f aca="false">IF(C516="","",IF(P516&lt;&gt;"",P516,Y516))</f>
        <v/>
      </c>
    </row>
    <row r="517" customFormat="false" ht="15" hidden="false" customHeight="false" outlineLevel="0" collapsed="false">
      <c r="A517" s="9"/>
      <c r="B517" s="10" t="str">
        <f aca="false">IF(A517="","",IFERROR(INDEX(Parks!$A$2:$A$255,MATCH(A517,Parks!$B$2:$B$255,0)),"?"))</f>
        <v/>
      </c>
      <c r="C517" s="9"/>
      <c r="D517" s="10" t="str">
        <f aca="false">IF(C517="","",IF(SUMPRODUCT(--ISNUMBER(SEARCH({"Nets","Wicket","Diamond","Softball","T-ball","Baseball","Netball","Tennis","Bocce","Pentaque","Petanque","Skate","Car Park","Pond","Bridle","Amphitheatre","Perimeter","Passive"},C517)))&gt;0,"no",IF(SUMPRODUCT(--ISNUMBER(SEARCH({"Cricket","Junior","Mini","Summer Football","Small"},C517)))&gt;0,"reduced",IF(SUMPRODUCT(--ISNUMBER(SEARCH({"Rugby","Football","League","Touch","Gaelic","Australian","Lacrosse","General Sport","Training Area","Ultimate"},C517)))&gt;0,"full","unknown"))))</f>
        <v/>
      </c>
      <c r="E517" s="9"/>
      <c r="F517" s="9"/>
      <c r="G517" s="9"/>
      <c r="H517" s="9"/>
      <c r="I517" s="12"/>
      <c r="J517" s="9"/>
      <c r="K517" s="9"/>
      <c r="L517" s="9"/>
      <c r="M517" s="9"/>
      <c r="N517" s="9"/>
      <c r="O517" s="13" t="str">
        <f aca="false">IF(C517="","",IF(N(M517)+N(N517)&lt;Settings!$C$9,"untested",M517/(M517+N517)))</f>
        <v/>
      </c>
      <c r="P517" s="9"/>
      <c r="Q517" s="9"/>
      <c r="R517" s="9"/>
      <c r="S517" s="12"/>
      <c r="T517" s="9"/>
      <c r="U517" s="9"/>
      <c r="V517" s="9"/>
      <c r="W517" s="10" t="str">
        <f aca="false">IF(C517="","",IF(OR(G517="training",G517="full"),"Yes",IF(G517="none","No","?")))</f>
        <v/>
      </c>
      <c r="X517" s="10" t="str">
        <f aca="false">IF(C517="","",IF(OR(E517="",E517="unknown"),D517,E517))</f>
        <v/>
      </c>
      <c r="Y517" s="10" t="str">
        <f aca="false">IF(C517="","",IF(OR(T517="unsuitable",T517="retired",X517="no"),"—",IF(J517="","unrated",IF(AND(X517="full",J517&gt;=Settings!$C$5,OR(O517="untested",O517&gt;=Settings!$C$6)),"A",IF(AND(OR(X517="full",X517="reduced"),J517&gt;=Settings!$C$7,OR(O517="untested",O517&gt;=Settings!$C$8)),"B","C")))))</f>
        <v/>
      </c>
      <c r="Z517" s="11" t="str">
        <f aca="false">IF(C517="","",IF(P517&lt;&gt;"",P517,Y517))</f>
        <v/>
      </c>
    </row>
    <row r="518" customFormat="false" ht="15" hidden="false" customHeight="false" outlineLevel="0" collapsed="false">
      <c r="A518" s="9"/>
      <c r="B518" s="10" t="str">
        <f aca="false">IF(A518="","",IFERROR(INDEX(Parks!$A$2:$A$255,MATCH(A518,Parks!$B$2:$B$255,0)),"?"))</f>
        <v/>
      </c>
      <c r="C518" s="9"/>
      <c r="D518" s="10" t="str">
        <f aca="false">IF(C518="","",IF(SUMPRODUCT(--ISNUMBER(SEARCH({"Nets","Wicket","Diamond","Softball","T-ball","Baseball","Netball","Tennis","Bocce","Pentaque","Petanque","Skate","Car Park","Pond","Bridle","Amphitheatre","Perimeter","Passive"},C518)))&gt;0,"no",IF(SUMPRODUCT(--ISNUMBER(SEARCH({"Cricket","Junior","Mini","Summer Football","Small"},C518)))&gt;0,"reduced",IF(SUMPRODUCT(--ISNUMBER(SEARCH({"Rugby","Football","League","Touch","Gaelic","Australian","Lacrosse","General Sport","Training Area","Ultimate"},C518)))&gt;0,"full","unknown"))))</f>
        <v/>
      </c>
      <c r="E518" s="9"/>
      <c r="F518" s="9"/>
      <c r="G518" s="9"/>
      <c r="H518" s="9"/>
      <c r="I518" s="12"/>
      <c r="J518" s="9"/>
      <c r="K518" s="9"/>
      <c r="L518" s="9"/>
      <c r="M518" s="9"/>
      <c r="N518" s="9"/>
      <c r="O518" s="13" t="str">
        <f aca="false">IF(C518="","",IF(N(M518)+N(N518)&lt;Settings!$C$9,"untested",M518/(M518+N518)))</f>
        <v/>
      </c>
      <c r="P518" s="9"/>
      <c r="Q518" s="9"/>
      <c r="R518" s="9"/>
      <c r="S518" s="12"/>
      <c r="T518" s="9"/>
      <c r="U518" s="9"/>
      <c r="V518" s="9"/>
      <c r="W518" s="10" t="str">
        <f aca="false">IF(C518="","",IF(OR(G518="training",G518="full"),"Yes",IF(G518="none","No","?")))</f>
        <v/>
      </c>
      <c r="X518" s="10" t="str">
        <f aca="false">IF(C518="","",IF(OR(E518="",E518="unknown"),D518,E518))</f>
        <v/>
      </c>
      <c r="Y518" s="10" t="str">
        <f aca="false">IF(C518="","",IF(OR(T518="unsuitable",T518="retired",X518="no"),"—",IF(J518="","unrated",IF(AND(X518="full",J518&gt;=Settings!$C$5,OR(O518="untested",O518&gt;=Settings!$C$6)),"A",IF(AND(OR(X518="full",X518="reduced"),J518&gt;=Settings!$C$7,OR(O518="untested",O518&gt;=Settings!$C$8)),"B","C")))))</f>
        <v/>
      </c>
      <c r="Z518" s="11" t="str">
        <f aca="false">IF(C518="","",IF(P518&lt;&gt;"",P518,Y518))</f>
        <v/>
      </c>
    </row>
    <row r="519" customFormat="false" ht="15" hidden="false" customHeight="false" outlineLevel="0" collapsed="false">
      <c r="A519" s="9"/>
      <c r="B519" s="10" t="str">
        <f aca="false">IF(A519="","",IFERROR(INDEX(Parks!$A$2:$A$255,MATCH(A519,Parks!$B$2:$B$255,0)),"?"))</f>
        <v/>
      </c>
      <c r="C519" s="9"/>
      <c r="D519" s="10" t="str">
        <f aca="false">IF(C519="","",IF(SUMPRODUCT(--ISNUMBER(SEARCH({"Nets","Wicket","Diamond","Softball","T-ball","Baseball","Netball","Tennis","Bocce","Pentaque","Petanque","Skate","Car Park","Pond","Bridle","Amphitheatre","Perimeter","Passive"},C519)))&gt;0,"no",IF(SUMPRODUCT(--ISNUMBER(SEARCH({"Cricket","Junior","Mini","Summer Football","Small"},C519)))&gt;0,"reduced",IF(SUMPRODUCT(--ISNUMBER(SEARCH({"Rugby","Football","League","Touch","Gaelic","Australian","Lacrosse","General Sport","Training Area","Ultimate"},C519)))&gt;0,"full","unknown"))))</f>
        <v/>
      </c>
      <c r="E519" s="9"/>
      <c r="F519" s="9"/>
      <c r="G519" s="9"/>
      <c r="H519" s="9"/>
      <c r="I519" s="12"/>
      <c r="J519" s="9"/>
      <c r="K519" s="9"/>
      <c r="L519" s="9"/>
      <c r="M519" s="9"/>
      <c r="N519" s="9"/>
      <c r="O519" s="13" t="str">
        <f aca="false">IF(C519="","",IF(N(M519)+N(N519)&lt;Settings!$C$9,"untested",M519/(M519+N519)))</f>
        <v/>
      </c>
      <c r="P519" s="9"/>
      <c r="Q519" s="9"/>
      <c r="R519" s="9"/>
      <c r="S519" s="12"/>
      <c r="T519" s="9"/>
      <c r="U519" s="9"/>
      <c r="V519" s="9"/>
      <c r="W519" s="10" t="str">
        <f aca="false">IF(C519="","",IF(OR(G519="training",G519="full"),"Yes",IF(G519="none","No","?")))</f>
        <v/>
      </c>
      <c r="X519" s="10" t="str">
        <f aca="false">IF(C519="","",IF(OR(E519="",E519="unknown"),D519,E519))</f>
        <v/>
      </c>
      <c r="Y519" s="10" t="str">
        <f aca="false">IF(C519="","",IF(OR(T519="unsuitable",T519="retired",X519="no"),"—",IF(J519="","unrated",IF(AND(X519="full",J519&gt;=Settings!$C$5,OR(O519="untested",O519&gt;=Settings!$C$6)),"A",IF(AND(OR(X519="full",X519="reduced"),J519&gt;=Settings!$C$7,OR(O519="untested",O519&gt;=Settings!$C$8)),"B","C")))))</f>
        <v/>
      </c>
      <c r="Z519" s="11" t="str">
        <f aca="false">IF(C519="","",IF(P519&lt;&gt;"",P519,Y519))</f>
        <v/>
      </c>
    </row>
    <row r="520" customFormat="false" ht="15" hidden="false" customHeight="false" outlineLevel="0" collapsed="false">
      <c r="A520" s="9"/>
      <c r="B520" s="10" t="str">
        <f aca="false">IF(A520="","",IFERROR(INDEX(Parks!$A$2:$A$255,MATCH(A520,Parks!$B$2:$B$255,0)),"?"))</f>
        <v/>
      </c>
      <c r="C520" s="9"/>
      <c r="D520" s="10" t="str">
        <f aca="false">IF(C520="","",IF(SUMPRODUCT(--ISNUMBER(SEARCH({"Nets","Wicket","Diamond","Softball","T-ball","Baseball","Netball","Tennis","Bocce","Pentaque","Petanque","Skate","Car Park","Pond","Bridle","Amphitheatre","Perimeter","Passive"},C520)))&gt;0,"no",IF(SUMPRODUCT(--ISNUMBER(SEARCH({"Cricket","Junior","Mini","Summer Football","Small"},C520)))&gt;0,"reduced",IF(SUMPRODUCT(--ISNUMBER(SEARCH({"Rugby","Football","League","Touch","Gaelic","Australian","Lacrosse","General Sport","Training Area","Ultimate"},C520)))&gt;0,"full","unknown"))))</f>
        <v/>
      </c>
      <c r="E520" s="9"/>
      <c r="F520" s="9"/>
      <c r="G520" s="9"/>
      <c r="H520" s="9"/>
      <c r="I520" s="12"/>
      <c r="J520" s="9"/>
      <c r="K520" s="9"/>
      <c r="L520" s="9"/>
      <c r="M520" s="9"/>
      <c r="N520" s="9"/>
      <c r="O520" s="13" t="str">
        <f aca="false">IF(C520="","",IF(N(M520)+N(N520)&lt;Settings!$C$9,"untested",M520/(M520+N520)))</f>
        <v/>
      </c>
      <c r="P520" s="9"/>
      <c r="Q520" s="9"/>
      <c r="R520" s="9"/>
      <c r="S520" s="12"/>
      <c r="T520" s="9"/>
      <c r="U520" s="9"/>
      <c r="V520" s="9"/>
      <c r="W520" s="10" t="str">
        <f aca="false">IF(C520="","",IF(OR(G520="training",G520="full"),"Yes",IF(G520="none","No","?")))</f>
        <v/>
      </c>
      <c r="X520" s="10" t="str">
        <f aca="false">IF(C520="","",IF(OR(E520="",E520="unknown"),D520,E520))</f>
        <v/>
      </c>
      <c r="Y520" s="10" t="str">
        <f aca="false">IF(C520="","",IF(OR(T520="unsuitable",T520="retired",X520="no"),"—",IF(J520="","unrated",IF(AND(X520="full",J520&gt;=Settings!$C$5,OR(O520="untested",O520&gt;=Settings!$C$6)),"A",IF(AND(OR(X520="full",X520="reduced"),J520&gt;=Settings!$C$7,OR(O520="untested",O520&gt;=Settings!$C$8)),"B","C")))))</f>
        <v/>
      </c>
      <c r="Z520" s="11" t="str">
        <f aca="false">IF(C520="","",IF(P520&lt;&gt;"",P520,Y520))</f>
        <v/>
      </c>
    </row>
    <row r="521" customFormat="false" ht="15" hidden="false" customHeight="false" outlineLevel="0" collapsed="false">
      <c r="A521" s="9"/>
      <c r="B521" s="10" t="str">
        <f aca="false">IF(A521="","",IFERROR(INDEX(Parks!$A$2:$A$255,MATCH(A521,Parks!$B$2:$B$255,0)),"?"))</f>
        <v/>
      </c>
      <c r="C521" s="9"/>
      <c r="D521" s="10" t="str">
        <f aca="false">IF(C521="","",IF(SUMPRODUCT(--ISNUMBER(SEARCH({"Nets","Wicket","Diamond","Softball","T-ball","Baseball","Netball","Tennis","Bocce","Pentaque","Petanque","Skate","Car Park","Pond","Bridle","Amphitheatre","Perimeter","Passive"},C521)))&gt;0,"no",IF(SUMPRODUCT(--ISNUMBER(SEARCH({"Cricket","Junior","Mini","Summer Football","Small"},C521)))&gt;0,"reduced",IF(SUMPRODUCT(--ISNUMBER(SEARCH({"Rugby","Football","League","Touch","Gaelic","Australian","Lacrosse","General Sport","Training Area","Ultimate"},C521)))&gt;0,"full","unknown"))))</f>
        <v/>
      </c>
      <c r="E521" s="9"/>
      <c r="F521" s="9"/>
      <c r="G521" s="9"/>
      <c r="H521" s="9"/>
      <c r="I521" s="12"/>
      <c r="J521" s="9"/>
      <c r="K521" s="9"/>
      <c r="L521" s="9"/>
      <c r="M521" s="9"/>
      <c r="N521" s="9"/>
      <c r="O521" s="13" t="str">
        <f aca="false">IF(C521="","",IF(N(M521)+N(N521)&lt;Settings!$C$9,"untested",M521/(M521+N521)))</f>
        <v/>
      </c>
      <c r="P521" s="9"/>
      <c r="Q521" s="9"/>
      <c r="R521" s="9"/>
      <c r="S521" s="12"/>
      <c r="T521" s="9"/>
      <c r="U521" s="9"/>
      <c r="V521" s="9"/>
      <c r="W521" s="10" t="str">
        <f aca="false">IF(C521="","",IF(OR(G521="training",G521="full"),"Yes",IF(G521="none","No","?")))</f>
        <v/>
      </c>
      <c r="X521" s="10" t="str">
        <f aca="false">IF(C521="","",IF(OR(E521="",E521="unknown"),D521,E521))</f>
        <v/>
      </c>
      <c r="Y521" s="10" t="str">
        <f aca="false">IF(C521="","",IF(OR(T521="unsuitable",T521="retired",X521="no"),"—",IF(J521="","unrated",IF(AND(X521="full",J521&gt;=Settings!$C$5,OR(O521="untested",O521&gt;=Settings!$C$6)),"A",IF(AND(OR(X521="full",X521="reduced"),J521&gt;=Settings!$C$7,OR(O521="untested",O521&gt;=Settings!$C$8)),"B","C")))))</f>
        <v/>
      </c>
      <c r="Z521" s="11" t="str">
        <f aca="false">IF(C521="","",IF(P521&lt;&gt;"",P521,Y521))</f>
        <v/>
      </c>
    </row>
    <row r="522" customFormat="false" ht="15" hidden="false" customHeight="false" outlineLevel="0" collapsed="false">
      <c r="A522" s="9"/>
      <c r="B522" s="10" t="str">
        <f aca="false">IF(A522="","",IFERROR(INDEX(Parks!$A$2:$A$255,MATCH(A522,Parks!$B$2:$B$255,0)),"?"))</f>
        <v/>
      </c>
      <c r="C522" s="9"/>
      <c r="D522" s="10" t="str">
        <f aca="false">IF(C522="","",IF(SUMPRODUCT(--ISNUMBER(SEARCH({"Nets","Wicket","Diamond","Softball","T-ball","Baseball","Netball","Tennis","Bocce","Pentaque","Petanque","Skate","Car Park","Pond","Bridle","Amphitheatre","Perimeter","Passive"},C522)))&gt;0,"no",IF(SUMPRODUCT(--ISNUMBER(SEARCH({"Cricket","Junior","Mini","Summer Football","Small"},C522)))&gt;0,"reduced",IF(SUMPRODUCT(--ISNUMBER(SEARCH({"Rugby","Football","League","Touch","Gaelic","Australian","Lacrosse","General Sport","Training Area","Ultimate"},C522)))&gt;0,"full","unknown"))))</f>
        <v/>
      </c>
      <c r="E522" s="9"/>
      <c r="F522" s="9"/>
      <c r="G522" s="9"/>
      <c r="H522" s="9"/>
      <c r="I522" s="12"/>
      <c r="J522" s="9"/>
      <c r="K522" s="9"/>
      <c r="L522" s="9"/>
      <c r="M522" s="9"/>
      <c r="N522" s="9"/>
      <c r="O522" s="13" t="str">
        <f aca="false">IF(C522="","",IF(N(M522)+N(N522)&lt;Settings!$C$9,"untested",M522/(M522+N522)))</f>
        <v/>
      </c>
      <c r="P522" s="9"/>
      <c r="Q522" s="9"/>
      <c r="R522" s="9"/>
      <c r="S522" s="12"/>
      <c r="T522" s="9"/>
      <c r="U522" s="9"/>
      <c r="V522" s="9"/>
      <c r="W522" s="10" t="str">
        <f aca="false">IF(C522="","",IF(OR(G522="training",G522="full"),"Yes",IF(G522="none","No","?")))</f>
        <v/>
      </c>
      <c r="X522" s="10" t="str">
        <f aca="false">IF(C522="","",IF(OR(E522="",E522="unknown"),D522,E522))</f>
        <v/>
      </c>
      <c r="Y522" s="10" t="str">
        <f aca="false">IF(C522="","",IF(OR(T522="unsuitable",T522="retired",X522="no"),"—",IF(J522="","unrated",IF(AND(X522="full",J522&gt;=Settings!$C$5,OR(O522="untested",O522&gt;=Settings!$C$6)),"A",IF(AND(OR(X522="full",X522="reduced"),J522&gt;=Settings!$C$7,OR(O522="untested",O522&gt;=Settings!$C$8)),"B","C")))))</f>
        <v/>
      </c>
      <c r="Z522" s="11" t="str">
        <f aca="false">IF(C522="","",IF(P522&lt;&gt;"",P522,Y522))</f>
        <v/>
      </c>
    </row>
    <row r="523" customFormat="false" ht="15" hidden="false" customHeight="false" outlineLevel="0" collapsed="false">
      <c r="A523" s="9"/>
      <c r="B523" s="10" t="str">
        <f aca="false">IF(A523="","",IFERROR(INDEX(Parks!$A$2:$A$255,MATCH(A523,Parks!$B$2:$B$255,0)),"?"))</f>
        <v/>
      </c>
      <c r="C523" s="9"/>
      <c r="D523" s="10" t="str">
        <f aca="false">IF(C523="","",IF(SUMPRODUCT(--ISNUMBER(SEARCH({"Nets","Wicket","Diamond","Softball","T-ball","Baseball","Netball","Tennis","Bocce","Pentaque","Petanque","Skate","Car Park","Pond","Bridle","Amphitheatre","Perimeter","Passive"},C523)))&gt;0,"no",IF(SUMPRODUCT(--ISNUMBER(SEARCH({"Cricket","Junior","Mini","Summer Football","Small"},C523)))&gt;0,"reduced",IF(SUMPRODUCT(--ISNUMBER(SEARCH({"Rugby","Football","League","Touch","Gaelic","Australian","Lacrosse","General Sport","Training Area","Ultimate"},C523)))&gt;0,"full","unknown"))))</f>
        <v/>
      </c>
      <c r="E523" s="9"/>
      <c r="F523" s="9"/>
      <c r="G523" s="9"/>
      <c r="H523" s="9"/>
      <c r="I523" s="12"/>
      <c r="J523" s="9"/>
      <c r="K523" s="9"/>
      <c r="L523" s="9"/>
      <c r="M523" s="9"/>
      <c r="N523" s="9"/>
      <c r="O523" s="13" t="str">
        <f aca="false">IF(C523="","",IF(N(M523)+N(N523)&lt;Settings!$C$9,"untested",M523/(M523+N523)))</f>
        <v/>
      </c>
      <c r="P523" s="9"/>
      <c r="Q523" s="9"/>
      <c r="R523" s="9"/>
      <c r="S523" s="12"/>
      <c r="T523" s="9"/>
      <c r="U523" s="9"/>
      <c r="V523" s="9"/>
      <c r="W523" s="10" t="str">
        <f aca="false">IF(C523="","",IF(OR(G523="training",G523="full"),"Yes",IF(G523="none","No","?")))</f>
        <v/>
      </c>
      <c r="X523" s="10" t="str">
        <f aca="false">IF(C523="","",IF(OR(E523="",E523="unknown"),D523,E523))</f>
        <v/>
      </c>
      <c r="Y523" s="10" t="str">
        <f aca="false">IF(C523="","",IF(OR(T523="unsuitable",T523="retired",X523="no"),"—",IF(J523="","unrated",IF(AND(X523="full",J523&gt;=Settings!$C$5,OR(O523="untested",O523&gt;=Settings!$C$6)),"A",IF(AND(OR(X523="full",X523="reduced"),J523&gt;=Settings!$C$7,OR(O523="untested",O523&gt;=Settings!$C$8)),"B","C")))))</f>
        <v/>
      </c>
      <c r="Z523" s="11" t="str">
        <f aca="false">IF(C523="","",IF(P523&lt;&gt;"",P523,Y523))</f>
        <v/>
      </c>
    </row>
    <row r="524" customFormat="false" ht="15" hidden="false" customHeight="false" outlineLevel="0" collapsed="false">
      <c r="A524" s="9"/>
      <c r="B524" s="10" t="str">
        <f aca="false">IF(A524="","",IFERROR(INDEX(Parks!$A$2:$A$255,MATCH(A524,Parks!$B$2:$B$255,0)),"?"))</f>
        <v/>
      </c>
      <c r="C524" s="9"/>
      <c r="D524" s="10" t="str">
        <f aca="false">IF(C524="","",IF(SUMPRODUCT(--ISNUMBER(SEARCH({"Nets","Wicket","Diamond","Softball","T-ball","Baseball","Netball","Tennis","Bocce","Pentaque","Petanque","Skate","Car Park","Pond","Bridle","Amphitheatre","Perimeter","Passive"},C524)))&gt;0,"no",IF(SUMPRODUCT(--ISNUMBER(SEARCH({"Cricket","Junior","Mini","Summer Football","Small"},C524)))&gt;0,"reduced",IF(SUMPRODUCT(--ISNUMBER(SEARCH({"Rugby","Football","League","Touch","Gaelic","Australian","Lacrosse","General Sport","Training Area","Ultimate"},C524)))&gt;0,"full","unknown"))))</f>
        <v/>
      </c>
      <c r="E524" s="9"/>
      <c r="F524" s="9"/>
      <c r="G524" s="9"/>
      <c r="H524" s="9"/>
      <c r="I524" s="12"/>
      <c r="J524" s="9"/>
      <c r="K524" s="9"/>
      <c r="L524" s="9"/>
      <c r="M524" s="9"/>
      <c r="N524" s="9"/>
      <c r="O524" s="13" t="str">
        <f aca="false">IF(C524="","",IF(N(M524)+N(N524)&lt;Settings!$C$9,"untested",M524/(M524+N524)))</f>
        <v/>
      </c>
      <c r="P524" s="9"/>
      <c r="Q524" s="9"/>
      <c r="R524" s="9"/>
      <c r="S524" s="12"/>
      <c r="T524" s="9"/>
      <c r="U524" s="9"/>
      <c r="V524" s="9"/>
      <c r="W524" s="10" t="str">
        <f aca="false">IF(C524="","",IF(OR(G524="training",G524="full"),"Yes",IF(G524="none","No","?")))</f>
        <v/>
      </c>
      <c r="X524" s="10" t="str">
        <f aca="false">IF(C524="","",IF(OR(E524="",E524="unknown"),D524,E524))</f>
        <v/>
      </c>
      <c r="Y524" s="10" t="str">
        <f aca="false">IF(C524="","",IF(OR(T524="unsuitable",T524="retired",X524="no"),"—",IF(J524="","unrated",IF(AND(X524="full",J524&gt;=Settings!$C$5,OR(O524="untested",O524&gt;=Settings!$C$6)),"A",IF(AND(OR(X524="full",X524="reduced"),J524&gt;=Settings!$C$7,OR(O524="untested",O524&gt;=Settings!$C$8)),"B","C")))))</f>
        <v/>
      </c>
      <c r="Z524" s="11" t="str">
        <f aca="false">IF(C524="","",IF(P524&lt;&gt;"",P524,Y524))</f>
        <v/>
      </c>
    </row>
    <row r="525" customFormat="false" ht="15" hidden="false" customHeight="false" outlineLevel="0" collapsed="false">
      <c r="A525" s="9"/>
      <c r="B525" s="10" t="str">
        <f aca="false">IF(A525="","",IFERROR(INDEX(Parks!$A$2:$A$255,MATCH(A525,Parks!$B$2:$B$255,0)),"?"))</f>
        <v/>
      </c>
      <c r="C525" s="9"/>
      <c r="D525" s="10" t="str">
        <f aca="false">IF(C525="","",IF(SUMPRODUCT(--ISNUMBER(SEARCH({"Nets","Wicket","Diamond","Softball","T-ball","Baseball","Netball","Tennis","Bocce","Pentaque","Petanque","Skate","Car Park","Pond","Bridle","Amphitheatre","Perimeter","Passive"},C525)))&gt;0,"no",IF(SUMPRODUCT(--ISNUMBER(SEARCH({"Cricket","Junior","Mini","Summer Football","Small"},C525)))&gt;0,"reduced",IF(SUMPRODUCT(--ISNUMBER(SEARCH({"Rugby","Football","League","Touch","Gaelic","Australian","Lacrosse","General Sport","Training Area","Ultimate"},C525)))&gt;0,"full","unknown"))))</f>
        <v/>
      </c>
      <c r="E525" s="9"/>
      <c r="F525" s="9"/>
      <c r="G525" s="9"/>
      <c r="H525" s="9"/>
      <c r="I525" s="12"/>
      <c r="J525" s="9"/>
      <c r="K525" s="9"/>
      <c r="L525" s="9"/>
      <c r="M525" s="9"/>
      <c r="N525" s="9"/>
      <c r="O525" s="13" t="str">
        <f aca="false">IF(C525="","",IF(N(M525)+N(N525)&lt;Settings!$C$9,"untested",M525/(M525+N525)))</f>
        <v/>
      </c>
      <c r="P525" s="9"/>
      <c r="Q525" s="9"/>
      <c r="R525" s="9"/>
      <c r="S525" s="12"/>
      <c r="T525" s="9"/>
      <c r="U525" s="9"/>
      <c r="V525" s="9"/>
      <c r="W525" s="10" t="str">
        <f aca="false">IF(C525="","",IF(OR(G525="training",G525="full"),"Yes",IF(G525="none","No","?")))</f>
        <v/>
      </c>
      <c r="X525" s="10" t="str">
        <f aca="false">IF(C525="","",IF(OR(E525="",E525="unknown"),D525,E525))</f>
        <v/>
      </c>
      <c r="Y525" s="10" t="str">
        <f aca="false">IF(C525="","",IF(OR(T525="unsuitable",T525="retired",X525="no"),"—",IF(J525="","unrated",IF(AND(X525="full",J525&gt;=Settings!$C$5,OR(O525="untested",O525&gt;=Settings!$C$6)),"A",IF(AND(OR(X525="full",X525="reduced"),J525&gt;=Settings!$C$7,OR(O525="untested",O525&gt;=Settings!$C$8)),"B","C")))))</f>
        <v/>
      </c>
      <c r="Z525" s="11" t="str">
        <f aca="false">IF(C525="","",IF(P525&lt;&gt;"",P525,Y525))</f>
        <v/>
      </c>
    </row>
    <row r="526" customFormat="false" ht="15" hidden="false" customHeight="false" outlineLevel="0" collapsed="false">
      <c r="A526" s="9"/>
      <c r="B526" s="10" t="str">
        <f aca="false">IF(A526="","",IFERROR(INDEX(Parks!$A$2:$A$255,MATCH(A526,Parks!$B$2:$B$255,0)),"?"))</f>
        <v/>
      </c>
      <c r="C526" s="9"/>
      <c r="D526" s="10" t="str">
        <f aca="false">IF(C526="","",IF(SUMPRODUCT(--ISNUMBER(SEARCH({"Nets","Wicket","Diamond","Softball","T-ball","Baseball","Netball","Tennis","Bocce","Pentaque","Petanque","Skate","Car Park","Pond","Bridle","Amphitheatre","Perimeter","Passive"},C526)))&gt;0,"no",IF(SUMPRODUCT(--ISNUMBER(SEARCH({"Cricket","Junior","Mini","Summer Football","Small"},C526)))&gt;0,"reduced",IF(SUMPRODUCT(--ISNUMBER(SEARCH({"Rugby","Football","League","Touch","Gaelic","Australian","Lacrosse","General Sport","Training Area","Ultimate"},C526)))&gt;0,"full","unknown"))))</f>
        <v/>
      </c>
      <c r="E526" s="9"/>
      <c r="F526" s="9"/>
      <c r="G526" s="9"/>
      <c r="H526" s="9"/>
      <c r="I526" s="12"/>
      <c r="J526" s="9"/>
      <c r="K526" s="9"/>
      <c r="L526" s="9"/>
      <c r="M526" s="9"/>
      <c r="N526" s="9"/>
      <c r="O526" s="13" t="str">
        <f aca="false">IF(C526="","",IF(N(M526)+N(N526)&lt;Settings!$C$9,"untested",M526/(M526+N526)))</f>
        <v/>
      </c>
      <c r="P526" s="9"/>
      <c r="Q526" s="9"/>
      <c r="R526" s="9"/>
      <c r="S526" s="12"/>
      <c r="T526" s="9"/>
      <c r="U526" s="9"/>
      <c r="V526" s="9"/>
      <c r="W526" s="10" t="str">
        <f aca="false">IF(C526="","",IF(OR(G526="training",G526="full"),"Yes",IF(G526="none","No","?")))</f>
        <v/>
      </c>
      <c r="X526" s="10" t="str">
        <f aca="false">IF(C526="","",IF(OR(E526="",E526="unknown"),D526,E526))</f>
        <v/>
      </c>
      <c r="Y526" s="10" t="str">
        <f aca="false">IF(C526="","",IF(OR(T526="unsuitable",T526="retired",X526="no"),"—",IF(J526="","unrated",IF(AND(X526="full",J526&gt;=Settings!$C$5,OR(O526="untested",O526&gt;=Settings!$C$6)),"A",IF(AND(OR(X526="full",X526="reduced"),J526&gt;=Settings!$C$7,OR(O526="untested",O526&gt;=Settings!$C$8)),"B","C")))))</f>
        <v/>
      </c>
      <c r="Z526" s="11" t="str">
        <f aca="false">IF(C526="","",IF(P526&lt;&gt;"",P526,Y526))</f>
        <v/>
      </c>
    </row>
    <row r="527" customFormat="false" ht="15" hidden="false" customHeight="false" outlineLevel="0" collapsed="false">
      <c r="A527" s="9"/>
      <c r="B527" s="10" t="str">
        <f aca="false">IF(A527="","",IFERROR(INDEX(Parks!$A$2:$A$255,MATCH(A527,Parks!$B$2:$B$255,0)),"?"))</f>
        <v/>
      </c>
      <c r="C527" s="9"/>
      <c r="D527" s="10" t="str">
        <f aca="false">IF(C527="","",IF(SUMPRODUCT(--ISNUMBER(SEARCH({"Nets","Wicket","Diamond","Softball","T-ball","Baseball","Netball","Tennis","Bocce","Pentaque","Petanque","Skate","Car Park","Pond","Bridle","Amphitheatre","Perimeter","Passive"},C527)))&gt;0,"no",IF(SUMPRODUCT(--ISNUMBER(SEARCH({"Cricket","Junior","Mini","Summer Football","Small"},C527)))&gt;0,"reduced",IF(SUMPRODUCT(--ISNUMBER(SEARCH({"Rugby","Football","League","Touch","Gaelic","Australian","Lacrosse","General Sport","Training Area","Ultimate"},C527)))&gt;0,"full","unknown"))))</f>
        <v/>
      </c>
      <c r="E527" s="9"/>
      <c r="F527" s="9"/>
      <c r="G527" s="9"/>
      <c r="H527" s="9"/>
      <c r="I527" s="12"/>
      <c r="J527" s="9"/>
      <c r="K527" s="9"/>
      <c r="L527" s="9"/>
      <c r="M527" s="9"/>
      <c r="N527" s="9"/>
      <c r="O527" s="13" t="str">
        <f aca="false">IF(C527="","",IF(N(M527)+N(N527)&lt;Settings!$C$9,"untested",M527/(M527+N527)))</f>
        <v/>
      </c>
      <c r="P527" s="9"/>
      <c r="Q527" s="9"/>
      <c r="R527" s="9"/>
      <c r="S527" s="12"/>
      <c r="T527" s="9"/>
      <c r="U527" s="9"/>
      <c r="V527" s="9"/>
      <c r="W527" s="10" t="str">
        <f aca="false">IF(C527="","",IF(OR(G527="training",G527="full"),"Yes",IF(G527="none","No","?")))</f>
        <v/>
      </c>
      <c r="X527" s="10" t="str">
        <f aca="false">IF(C527="","",IF(OR(E527="",E527="unknown"),D527,E527))</f>
        <v/>
      </c>
      <c r="Y527" s="10" t="str">
        <f aca="false">IF(C527="","",IF(OR(T527="unsuitable",T527="retired",X527="no"),"—",IF(J527="","unrated",IF(AND(X527="full",J527&gt;=Settings!$C$5,OR(O527="untested",O527&gt;=Settings!$C$6)),"A",IF(AND(OR(X527="full",X527="reduced"),J527&gt;=Settings!$C$7,OR(O527="untested",O527&gt;=Settings!$C$8)),"B","C")))))</f>
        <v/>
      </c>
      <c r="Z527" s="11" t="str">
        <f aca="false">IF(C527="","",IF(P527&lt;&gt;"",P527,Y527))</f>
        <v/>
      </c>
    </row>
    <row r="528" customFormat="false" ht="15" hidden="false" customHeight="false" outlineLevel="0" collapsed="false">
      <c r="A528" s="9"/>
      <c r="B528" s="10" t="str">
        <f aca="false">IF(A528="","",IFERROR(INDEX(Parks!$A$2:$A$255,MATCH(A528,Parks!$B$2:$B$255,0)),"?"))</f>
        <v/>
      </c>
      <c r="C528" s="9"/>
      <c r="D528" s="10" t="str">
        <f aca="false">IF(C528="","",IF(SUMPRODUCT(--ISNUMBER(SEARCH({"Nets","Wicket","Diamond","Softball","T-ball","Baseball","Netball","Tennis","Bocce","Pentaque","Petanque","Skate","Car Park","Pond","Bridle","Amphitheatre","Perimeter","Passive"},C528)))&gt;0,"no",IF(SUMPRODUCT(--ISNUMBER(SEARCH({"Cricket","Junior","Mini","Summer Football","Small"},C528)))&gt;0,"reduced",IF(SUMPRODUCT(--ISNUMBER(SEARCH({"Rugby","Football","League","Touch","Gaelic","Australian","Lacrosse","General Sport","Training Area","Ultimate"},C528)))&gt;0,"full","unknown"))))</f>
        <v/>
      </c>
      <c r="E528" s="9"/>
      <c r="F528" s="9"/>
      <c r="G528" s="9"/>
      <c r="H528" s="9"/>
      <c r="I528" s="12"/>
      <c r="J528" s="9"/>
      <c r="K528" s="9"/>
      <c r="L528" s="9"/>
      <c r="M528" s="9"/>
      <c r="N528" s="9"/>
      <c r="O528" s="13" t="str">
        <f aca="false">IF(C528="","",IF(N(M528)+N(N528)&lt;Settings!$C$9,"untested",M528/(M528+N528)))</f>
        <v/>
      </c>
      <c r="P528" s="9"/>
      <c r="Q528" s="9"/>
      <c r="R528" s="9"/>
      <c r="S528" s="12"/>
      <c r="T528" s="9"/>
      <c r="U528" s="9"/>
      <c r="V528" s="9"/>
      <c r="W528" s="10" t="str">
        <f aca="false">IF(C528="","",IF(OR(G528="training",G528="full"),"Yes",IF(G528="none","No","?")))</f>
        <v/>
      </c>
      <c r="X528" s="10" t="str">
        <f aca="false">IF(C528="","",IF(OR(E528="",E528="unknown"),D528,E528))</f>
        <v/>
      </c>
      <c r="Y528" s="10" t="str">
        <f aca="false">IF(C528="","",IF(OR(T528="unsuitable",T528="retired",X528="no"),"—",IF(J528="","unrated",IF(AND(X528="full",J528&gt;=Settings!$C$5,OR(O528="untested",O528&gt;=Settings!$C$6)),"A",IF(AND(OR(X528="full",X528="reduced"),J528&gt;=Settings!$C$7,OR(O528="untested",O528&gt;=Settings!$C$8)),"B","C")))))</f>
        <v/>
      </c>
      <c r="Z528" s="11" t="str">
        <f aca="false">IF(C528="","",IF(P528&lt;&gt;"",P528,Y528))</f>
        <v/>
      </c>
    </row>
    <row r="529" customFormat="false" ht="15" hidden="false" customHeight="false" outlineLevel="0" collapsed="false">
      <c r="A529" s="9"/>
      <c r="B529" s="10" t="str">
        <f aca="false">IF(A529="","",IFERROR(INDEX(Parks!$A$2:$A$255,MATCH(A529,Parks!$B$2:$B$255,0)),"?"))</f>
        <v/>
      </c>
      <c r="C529" s="9"/>
      <c r="D529" s="10" t="str">
        <f aca="false">IF(C529="","",IF(SUMPRODUCT(--ISNUMBER(SEARCH({"Nets","Wicket","Diamond","Softball","T-ball","Baseball","Netball","Tennis","Bocce","Pentaque","Petanque","Skate","Car Park","Pond","Bridle","Amphitheatre","Perimeter","Passive"},C529)))&gt;0,"no",IF(SUMPRODUCT(--ISNUMBER(SEARCH({"Cricket","Junior","Mini","Summer Football","Small"},C529)))&gt;0,"reduced",IF(SUMPRODUCT(--ISNUMBER(SEARCH({"Rugby","Football","League","Touch","Gaelic","Australian","Lacrosse","General Sport","Training Area","Ultimate"},C529)))&gt;0,"full","unknown"))))</f>
        <v/>
      </c>
      <c r="E529" s="9"/>
      <c r="F529" s="9"/>
      <c r="G529" s="9"/>
      <c r="H529" s="9"/>
      <c r="I529" s="12"/>
      <c r="J529" s="9"/>
      <c r="K529" s="9"/>
      <c r="L529" s="9"/>
      <c r="M529" s="9"/>
      <c r="N529" s="9"/>
      <c r="O529" s="13" t="str">
        <f aca="false">IF(C529="","",IF(N(M529)+N(N529)&lt;Settings!$C$9,"untested",M529/(M529+N529)))</f>
        <v/>
      </c>
      <c r="P529" s="9"/>
      <c r="Q529" s="9"/>
      <c r="R529" s="9"/>
      <c r="S529" s="12"/>
      <c r="T529" s="9"/>
      <c r="U529" s="9"/>
      <c r="V529" s="9"/>
      <c r="W529" s="10" t="str">
        <f aca="false">IF(C529="","",IF(OR(G529="training",G529="full"),"Yes",IF(G529="none","No","?")))</f>
        <v/>
      </c>
      <c r="X529" s="10" t="str">
        <f aca="false">IF(C529="","",IF(OR(E529="",E529="unknown"),D529,E529))</f>
        <v/>
      </c>
      <c r="Y529" s="10" t="str">
        <f aca="false">IF(C529="","",IF(OR(T529="unsuitable",T529="retired",X529="no"),"—",IF(J529="","unrated",IF(AND(X529="full",J529&gt;=Settings!$C$5,OR(O529="untested",O529&gt;=Settings!$C$6)),"A",IF(AND(OR(X529="full",X529="reduced"),J529&gt;=Settings!$C$7,OR(O529="untested",O529&gt;=Settings!$C$8)),"B","C")))))</f>
        <v/>
      </c>
      <c r="Z529" s="11" t="str">
        <f aca="false">IF(C529="","",IF(P529&lt;&gt;"",P529,Y529))</f>
        <v/>
      </c>
    </row>
    <row r="530" customFormat="false" ht="15" hidden="false" customHeight="false" outlineLevel="0" collapsed="false">
      <c r="A530" s="9"/>
      <c r="B530" s="10" t="str">
        <f aca="false">IF(A530="","",IFERROR(INDEX(Parks!$A$2:$A$255,MATCH(A530,Parks!$B$2:$B$255,0)),"?"))</f>
        <v/>
      </c>
      <c r="C530" s="9"/>
      <c r="D530" s="10" t="str">
        <f aca="false">IF(C530="","",IF(SUMPRODUCT(--ISNUMBER(SEARCH({"Nets","Wicket","Diamond","Softball","T-ball","Baseball","Netball","Tennis","Bocce","Pentaque","Petanque","Skate","Car Park","Pond","Bridle","Amphitheatre","Perimeter","Passive"},C530)))&gt;0,"no",IF(SUMPRODUCT(--ISNUMBER(SEARCH({"Cricket","Junior","Mini","Summer Football","Small"},C530)))&gt;0,"reduced",IF(SUMPRODUCT(--ISNUMBER(SEARCH({"Rugby","Football","League","Touch","Gaelic","Australian","Lacrosse","General Sport","Training Area","Ultimate"},C530)))&gt;0,"full","unknown"))))</f>
        <v/>
      </c>
      <c r="E530" s="9"/>
      <c r="F530" s="9"/>
      <c r="G530" s="9"/>
      <c r="H530" s="9"/>
      <c r="I530" s="12"/>
      <c r="J530" s="9"/>
      <c r="K530" s="9"/>
      <c r="L530" s="9"/>
      <c r="M530" s="9"/>
      <c r="N530" s="9"/>
      <c r="O530" s="13" t="str">
        <f aca="false">IF(C530="","",IF(N(M530)+N(N530)&lt;Settings!$C$9,"untested",M530/(M530+N530)))</f>
        <v/>
      </c>
      <c r="P530" s="9"/>
      <c r="Q530" s="9"/>
      <c r="R530" s="9"/>
      <c r="S530" s="12"/>
      <c r="T530" s="9"/>
      <c r="U530" s="9"/>
      <c r="V530" s="9"/>
      <c r="W530" s="10" t="str">
        <f aca="false">IF(C530="","",IF(OR(G530="training",G530="full"),"Yes",IF(G530="none","No","?")))</f>
        <v/>
      </c>
      <c r="X530" s="10" t="str">
        <f aca="false">IF(C530="","",IF(OR(E530="",E530="unknown"),D530,E530))</f>
        <v/>
      </c>
      <c r="Y530" s="10" t="str">
        <f aca="false">IF(C530="","",IF(OR(T530="unsuitable",T530="retired",X530="no"),"—",IF(J530="","unrated",IF(AND(X530="full",J530&gt;=Settings!$C$5,OR(O530="untested",O530&gt;=Settings!$C$6)),"A",IF(AND(OR(X530="full",X530="reduced"),J530&gt;=Settings!$C$7,OR(O530="untested",O530&gt;=Settings!$C$8)),"B","C")))))</f>
        <v/>
      </c>
      <c r="Z530" s="11" t="str">
        <f aca="false">IF(C530="","",IF(P530&lt;&gt;"",P530,Y530))</f>
        <v/>
      </c>
    </row>
    <row r="531" customFormat="false" ht="15" hidden="false" customHeight="false" outlineLevel="0" collapsed="false">
      <c r="A531" s="9"/>
      <c r="B531" s="10" t="str">
        <f aca="false">IF(A531="","",IFERROR(INDEX(Parks!$A$2:$A$255,MATCH(A531,Parks!$B$2:$B$255,0)),"?"))</f>
        <v/>
      </c>
      <c r="C531" s="9"/>
      <c r="D531" s="10" t="str">
        <f aca="false">IF(C531="","",IF(SUMPRODUCT(--ISNUMBER(SEARCH({"Nets","Wicket","Diamond","Softball","T-ball","Baseball","Netball","Tennis","Bocce","Pentaque","Petanque","Skate","Car Park","Pond","Bridle","Amphitheatre","Perimeter","Passive"},C531)))&gt;0,"no",IF(SUMPRODUCT(--ISNUMBER(SEARCH({"Cricket","Junior","Mini","Summer Football","Small"},C531)))&gt;0,"reduced",IF(SUMPRODUCT(--ISNUMBER(SEARCH({"Rugby","Football","League","Touch","Gaelic","Australian","Lacrosse","General Sport","Training Area","Ultimate"},C531)))&gt;0,"full","unknown"))))</f>
        <v/>
      </c>
      <c r="E531" s="9"/>
      <c r="F531" s="9"/>
      <c r="G531" s="9"/>
      <c r="H531" s="9"/>
      <c r="I531" s="12"/>
      <c r="J531" s="9"/>
      <c r="K531" s="9"/>
      <c r="L531" s="9"/>
      <c r="M531" s="9"/>
      <c r="N531" s="9"/>
      <c r="O531" s="13" t="str">
        <f aca="false">IF(C531="","",IF(N(M531)+N(N531)&lt;Settings!$C$9,"untested",M531/(M531+N531)))</f>
        <v/>
      </c>
      <c r="P531" s="9"/>
      <c r="Q531" s="9"/>
      <c r="R531" s="9"/>
      <c r="S531" s="12"/>
      <c r="T531" s="9"/>
      <c r="U531" s="9"/>
      <c r="V531" s="9"/>
      <c r="W531" s="10" t="str">
        <f aca="false">IF(C531="","",IF(OR(G531="training",G531="full"),"Yes",IF(G531="none","No","?")))</f>
        <v/>
      </c>
      <c r="X531" s="10" t="str">
        <f aca="false">IF(C531="","",IF(OR(E531="",E531="unknown"),D531,E531))</f>
        <v/>
      </c>
      <c r="Y531" s="10" t="str">
        <f aca="false">IF(C531="","",IF(OR(T531="unsuitable",T531="retired",X531="no"),"—",IF(J531="","unrated",IF(AND(X531="full",J531&gt;=Settings!$C$5,OR(O531="untested",O531&gt;=Settings!$C$6)),"A",IF(AND(OR(X531="full",X531="reduced"),J531&gt;=Settings!$C$7,OR(O531="untested",O531&gt;=Settings!$C$8)),"B","C")))))</f>
        <v/>
      </c>
      <c r="Z531" s="11" t="str">
        <f aca="false">IF(C531="","",IF(P531&lt;&gt;"",P531,Y531))</f>
        <v/>
      </c>
    </row>
    <row r="532" customFormat="false" ht="15" hidden="false" customHeight="false" outlineLevel="0" collapsed="false">
      <c r="A532" s="9"/>
      <c r="B532" s="10" t="str">
        <f aca="false">IF(A532="","",IFERROR(INDEX(Parks!$A$2:$A$255,MATCH(A532,Parks!$B$2:$B$255,0)),"?"))</f>
        <v/>
      </c>
      <c r="C532" s="9"/>
      <c r="D532" s="10" t="str">
        <f aca="false">IF(C532="","",IF(SUMPRODUCT(--ISNUMBER(SEARCH({"Nets","Wicket","Diamond","Softball","T-ball","Baseball","Netball","Tennis","Bocce","Pentaque","Petanque","Skate","Car Park","Pond","Bridle","Amphitheatre","Perimeter","Passive"},C532)))&gt;0,"no",IF(SUMPRODUCT(--ISNUMBER(SEARCH({"Cricket","Junior","Mini","Summer Football","Small"},C532)))&gt;0,"reduced",IF(SUMPRODUCT(--ISNUMBER(SEARCH({"Rugby","Football","League","Touch","Gaelic","Australian","Lacrosse","General Sport","Training Area","Ultimate"},C532)))&gt;0,"full","unknown"))))</f>
        <v/>
      </c>
      <c r="E532" s="9"/>
      <c r="F532" s="9"/>
      <c r="G532" s="9"/>
      <c r="H532" s="9"/>
      <c r="I532" s="12"/>
      <c r="J532" s="9"/>
      <c r="K532" s="9"/>
      <c r="L532" s="9"/>
      <c r="M532" s="9"/>
      <c r="N532" s="9"/>
      <c r="O532" s="13" t="str">
        <f aca="false">IF(C532="","",IF(N(M532)+N(N532)&lt;Settings!$C$9,"untested",M532/(M532+N532)))</f>
        <v/>
      </c>
      <c r="P532" s="9"/>
      <c r="Q532" s="9"/>
      <c r="R532" s="9"/>
      <c r="S532" s="12"/>
      <c r="T532" s="9"/>
      <c r="U532" s="9"/>
      <c r="V532" s="9"/>
      <c r="W532" s="10" t="str">
        <f aca="false">IF(C532="","",IF(OR(G532="training",G532="full"),"Yes",IF(G532="none","No","?")))</f>
        <v/>
      </c>
      <c r="X532" s="10" t="str">
        <f aca="false">IF(C532="","",IF(OR(E532="",E532="unknown"),D532,E532))</f>
        <v/>
      </c>
      <c r="Y532" s="10" t="str">
        <f aca="false">IF(C532="","",IF(OR(T532="unsuitable",T532="retired",X532="no"),"—",IF(J532="","unrated",IF(AND(X532="full",J532&gt;=Settings!$C$5,OR(O532="untested",O532&gt;=Settings!$C$6)),"A",IF(AND(OR(X532="full",X532="reduced"),J532&gt;=Settings!$C$7,OR(O532="untested",O532&gt;=Settings!$C$8)),"B","C")))))</f>
        <v/>
      </c>
      <c r="Z532" s="11" t="str">
        <f aca="false">IF(C532="","",IF(P532&lt;&gt;"",P532,Y532))</f>
        <v/>
      </c>
    </row>
    <row r="533" customFormat="false" ht="15" hidden="false" customHeight="false" outlineLevel="0" collapsed="false">
      <c r="A533" s="9"/>
      <c r="B533" s="10" t="str">
        <f aca="false">IF(A533="","",IFERROR(INDEX(Parks!$A$2:$A$255,MATCH(A533,Parks!$B$2:$B$255,0)),"?"))</f>
        <v/>
      </c>
      <c r="C533" s="9"/>
      <c r="D533" s="10" t="str">
        <f aca="false">IF(C533="","",IF(SUMPRODUCT(--ISNUMBER(SEARCH({"Nets","Wicket","Diamond","Softball","T-ball","Baseball","Netball","Tennis","Bocce","Pentaque","Petanque","Skate","Car Park","Pond","Bridle","Amphitheatre","Perimeter","Passive"},C533)))&gt;0,"no",IF(SUMPRODUCT(--ISNUMBER(SEARCH({"Cricket","Junior","Mini","Summer Football","Small"},C533)))&gt;0,"reduced",IF(SUMPRODUCT(--ISNUMBER(SEARCH({"Rugby","Football","League","Touch","Gaelic","Australian","Lacrosse","General Sport","Training Area","Ultimate"},C533)))&gt;0,"full","unknown"))))</f>
        <v/>
      </c>
      <c r="E533" s="9"/>
      <c r="F533" s="9"/>
      <c r="G533" s="9"/>
      <c r="H533" s="9"/>
      <c r="I533" s="12"/>
      <c r="J533" s="9"/>
      <c r="K533" s="9"/>
      <c r="L533" s="9"/>
      <c r="M533" s="9"/>
      <c r="N533" s="9"/>
      <c r="O533" s="13" t="str">
        <f aca="false">IF(C533="","",IF(N(M533)+N(N533)&lt;Settings!$C$9,"untested",M533/(M533+N533)))</f>
        <v/>
      </c>
      <c r="P533" s="9"/>
      <c r="Q533" s="9"/>
      <c r="R533" s="9"/>
      <c r="S533" s="12"/>
      <c r="T533" s="9"/>
      <c r="U533" s="9"/>
      <c r="V533" s="9"/>
      <c r="W533" s="10" t="str">
        <f aca="false">IF(C533="","",IF(OR(G533="training",G533="full"),"Yes",IF(G533="none","No","?")))</f>
        <v/>
      </c>
      <c r="X533" s="10" t="str">
        <f aca="false">IF(C533="","",IF(OR(E533="",E533="unknown"),D533,E533))</f>
        <v/>
      </c>
      <c r="Y533" s="10" t="str">
        <f aca="false">IF(C533="","",IF(OR(T533="unsuitable",T533="retired",X533="no"),"—",IF(J533="","unrated",IF(AND(X533="full",J533&gt;=Settings!$C$5,OR(O533="untested",O533&gt;=Settings!$C$6)),"A",IF(AND(OR(X533="full",X533="reduced"),J533&gt;=Settings!$C$7,OR(O533="untested",O533&gt;=Settings!$C$8)),"B","C")))))</f>
        <v/>
      </c>
      <c r="Z533" s="11" t="str">
        <f aca="false">IF(C533="","",IF(P533&lt;&gt;"",P533,Y533))</f>
        <v/>
      </c>
    </row>
    <row r="534" customFormat="false" ht="15" hidden="false" customHeight="false" outlineLevel="0" collapsed="false">
      <c r="A534" s="9"/>
      <c r="B534" s="10" t="str">
        <f aca="false">IF(A534="","",IFERROR(INDEX(Parks!$A$2:$A$255,MATCH(A534,Parks!$B$2:$B$255,0)),"?"))</f>
        <v/>
      </c>
      <c r="C534" s="9"/>
      <c r="D534" s="10" t="str">
        <f aca="false">IF(C534="","",IF(SUMPRODUCT(--ISNUMBER(SEARCH({"Nets","Wicket","Diamond","Softball","T-ball","Baseball","Netball","Tennis","Bocce","Pentaque","Petanque","Skate","Car Park","Pond","Bridle","Amphitheatre","Perimeter","Passive"},C534)))&gt;0,"no",IF(SUMPRODUCT(--ISNUMBER(SEARCH({"Cricket","Junior","Mini","Summer Football","Small"},C534)))&gt;0,"reduced",IF(SUMPRODUCT(--ISNUMBER(SEARCH({"Rugby","Football","League","Touch","Gaelic","Australian","Lacrosse","General Sport","Training Area","Ultimate"},C534)))&gt;0,"full","unknown"))))</f>
        <v/>
      </c>
      <c r="E534" s="9"/>
      <c r="F534" s="9"/>
      <c r="G534" s="9"/>
      <c r="H534" s="9"/>
      <c r="I534" s="12"/>
      <c r="J534" s="9"/>
      <c r="K534" s="9"/>
      <c r="L534" s="9"/>
      <c r="M534" s="9"/>
      <c r="N534" s="9"/>
      <c r="O534" s="13" t="str">
        <f aca="false">IF(C534="","",IF(N(M534)+N(N534)&lt;Settings!$C$9,"untested",M534/(M534+N534)))</f>
        <v/>
      </c>
      <c r="P534" s="9"/>
      <c r="Q534" s="9"/>
      <c r="R534" s="9"/>
      <c r="S534" s="12"/>
      <c r="T534" s="9"/>
      <c r="U534" s="9"/>
      <c r="V534" s="9"/>
      <c r="W534" s="10" t="str">
        <f aca="false">IF(C534="","",IF(OR(G534="training",G534="full"),"Yes",IF(G534="none","No","?")))</f>
        <v/>
      </c>
      <c r="X534" s="10" t="str">
        <f aca="false">IF(C534="","",IF(OR(E534="",E534="unknown"),D534,E534))</f>
        <v/>
      </c>
      <c r="Y534" s="10" t="str">
        <f aca="false">IF(C534="","",IF(OR(T534="unsuitable",T534="retired",X534="no"),"—",IF(J534="","unrated",IF(AND(X534="full",J534&gt;=Settings!$C$5,OR(O534="untested",O534&gt;=Settings!$C$6)),"A",IF(AND(OR(X534="full",X534="reduced"),J534&gt;=Settings!$C$7,OR(O534="untested",O534&gt;=Settings!$C$8)),"B","C")))))</f>
        <v/>
      </c>
      <c r="Z534" s="11" t="str">
        <f aca="false">IF(C534="","",IF(P534&lt;&gt;"",P534,Y534))</f>
        <v/>
      </c>
    </row>
    <row r="535" customFormat="false" ht="15" hidden="false" customHeight="false" outlineLevel="0" collapsed="false">
      <c r="A535" s="9"/>
      <c r="B535" s="10" t="str">
        <f aca="false">IF(A535="","",IFERROR(INDEX(Parks!$A$2:$A$255,MATCH(A535,Parks!$B$2:$B$255,0)),"?"))</f>
        <v/>
      </c>
      <c r="C535" s="9"/>
      <c r="D535" s="10" t="str">
        <f aca="false">IF(C535="","",IF(SUMPRODUCT(--ISNUMBER(SEARCH({"Nets","Wicket","Diamond","Softball","T-ball","Baseball","Netball","Tennis","Bocce","Pentaque","Petanque","Skate","Car Park","Pond","Bridle","Amphitheatre","Perimeter","Passive"},C535)))&gt;0,"no",IF(SUMPRODUCT(--ISNUMBER(SEARCH({"Cricket","Junior","Mini","Summer Football","Small"},C535)))&gt;0,"reduced",IF(SUMPRODUCT(--ISNUMBER(SEARCH({"Rugby","Football","League","Touch","Gaelic","Australian","Lacrosse","General Sport","Training Area","Ultimate"},C535)))&gt;0,"full","unknown"))))</f>
        <v/>
      </c>
      <c r="E535" s="9"/>
      <c r="F535" s="9"/>
      <c r="G535" s="9"/>
      <c r="H535" s="9"/>
      <c r="I535" s="12"/>
      <c r="J535" s="9"/>
      <c r="K535" s="9"/>
      <c r="L535" s="9"/>
      <c r="M535" s="9"/>
      <c r="N535" s="9"/>
      <c r="O535" s="13" t="str">
        <f aca="false">IF(C535="","",IF(N(M535)+N(N535)&lt;Settings!$C$9,"untested",M535/(M535+N535)))</f>
        <v/>
      </c>
      <c r="P535" s="9"/>
      <c r="Q535" s="9"/>
      <c r="R535" s="9"/>
      <c r="S535" s="12"/>
      <c r="T535" s="9"/>
      <c r="U535" s="9"/>
      <c r="V535" s="9"/>
      <c r="W535" s="10" t="str">
        <f aca="false">IF(C535="","",IF(OR(G535="training",G535="full"),"Yes",IF(G535="none","No","?")))</f>
        <v/>
      </c>
      <c r="X535" s="10" t="str">
        <f aca="false">IF(C535="","",IF(OR(E535="",E535="unknown"),D535,E535))</f>
        <v/>
      </c>
      <c r="Y535" s="10" t="str">
        <f aca="false">IF(C535="","",IF(OR(T535="unsuitable",T535="retired",X535="no"),"—",IF(J535="","unrated",IF(AND(X535="full",J535&gt;=Settings!$C$5,OR(O535="untested",O535&gt;=Settings!$C$6)),"A",IF(AND(OR(X535="full",X535="reduced"),J535&gt;=Settings!$C$7,OR(O535="untested",O535&gt;=Settings!$C$8)),"B","C")))))</f>
        <v/>
      </c>
      <c r="Z535" s="11" t="str">
        <f aca="false">IF(C535="","",IF(P535&lt;&gt;"",P535,Y535))</f>
        <v/>
      </c>
    </row>
    <row r="536" customFormat="false" ht="15" hidden="false" customHeight="false" outlineLevel="0" collapsed="false">
      <c r="A536" s="9"/>
      <c r="B536" s="10" t="str">
        <f aca="false">IF(A536="","",IFERROR(INDEX(Parks!$A$2:$A$255,MATCH(A536,Parks!$B$2:$B$255,0)),"?"))</f>
        <v/>
      </c>
      <c r="C536" s="9"/>
      <c r="D536" s="10" t="str">
        <f aca="false">IF(C536="","",IF(SUMPRODUCT(--ISNUMBER(SEARCH({"Nets","Wicket","Diamond","Softball","T-ball","Baseball","Netball","Tennis","Bocce","Pentaque","Petanque","Skate","Car Park","Pond","Bridle","Amphitheatre","Perimeter","Passive"},C536)))&gt;0,"no",IF(SUMPRODUCT(--ISNUMBER(SEARCH({"Cricket","Junior","Mini","Summer Football","Small"},C536)))&gt;0,"reduced",IF(SUMPRODUCT(--ISNUMBER(SEARCH({"Rugby","Football","League","Touch","Gaelic","Australian","Lacrosse","General Sport","Training Area","Ultimate"},C536)))&gt;0,"full","unknown"))))</f>
        <v/>
      </c>
      <c r="E536" s="9"/>
      <c r="F536" s="9"/>
      <c r="G536" s="9"/>
      <c r="H536" s="9"/>
      <c r="I536" s="12"/>
      <c r="J536" s="9"/>
      <c r="K536" s="9"/>
      <c r="L536" s="9"/>
      <c r="M536" s="9"/>
      <c r="N536" s="9"/>
      <c r="O536" s="13" t="str">
        <f aca="false">IF(C536="","",IF(N(M536)+N(N536)&lt;Settings!$C$9,"untested",M536/(M536+N536)))</f>
        <v/>
      </c>
      <c r="P536" s="9"/>
      <c r="Q536" s="9"/>
      <c r="R536" s="9"/>
      <c r="S536" s="12"/>
      <c r="T536" s="9"/>
      <c r="U536" s="9"/>
      <c r="V536" s="9"/>
      <c r="W536" s="10" t="str">
        <f aca="false">IF(C536="","",IF(OR(G536="training",G536="full"),"Yes",IF(G536="none","No","?")))</f>
        <v/>
      </c>
      <c r="X536" s="10" t="str">
        <f aca="false">IF(C536="","",IF(OR(E536="",E536="unknown"),D536,E536))</f>
        <v/>
      </c>
      <c r="Y536" s="10" t="str">
        <f aca="false">IF(C536="","",IF(OR(T536="unsuitable",T536="retired",X536="no"),"—",IF(J536="","unrated",IF(AND(X536="full",J536&gt;=Settings!$C$5,OR(O536="untested",O536&gt;=Settings!$C$6)),"A",IF(AND(OR(X536="full",X536="reduced"),J536&gt;=Settings!$C$7,OR(O536="untested",O536&gt;=Settings!$C$8)),"B","C")))))</f>
        <v/>
      </c>
      <c r="Z536" s="11" t="str">
        <f aca="false">IF(C536="","",IF(P536&lt;&gt;"",P536,Y536))</f>
        <v/>
      </c>
    </row>
    <row r="537" customFormat="false" ht="15" hidden="false" customHeight="false" outlineLevel="0" collapsed="false">
      <c r="A537" s="9"/>
      <c r="B537" s="10" t="str">
        <f aca="false">IF(A537="","",IFERROR(INDEX(Parks!$A$2:$A$255,MATCH(A537,Parks!$B$2:$B$255,0)),"?"))</f>
        <v/>
      </c>
      <c r="C537" s="9"/>
      <c r="D537" s="10" t="str">
        <f aca="false">IF(C537="","",IF(SUMPRODUCT(--ISNUMBER(SEARCH({"Nets","Wicket","Diamond","Softball","T-ball","Baseball","Netball","Tennis","Bocce","Pentaque","Petanque","Skate","Car Park","Pond","Bridle","Amphitheatre","Perimeter","Passive"},C537)))&gt;0,"no",IF(SUMPRODUCT(--ISNUMBER(SEARCH({"Cricket","Junior","Mini","Summer Football","Small"},C537)))&gt;0,"reduced",IF(SUMPRODUCT(--ISNUMBER(SEARCH({"Rugby","Football","League","Touch","Gaelic","Australian","Lacrosse","General Sport","Training Area","Ultimate"},C537)))&gt;0,"full","unknown"))))</f>
        <v/>
      </c>
      <c r="E537" s="9"/>
      <c r="F537" s="9"/>
      <c r="G537" s="9"/>
      <c r="H537" s="9"/>
      <c r="I537" s="12"/>
      <c r="J537" s="9"/>
      <c r="K537" s="9"/>
      <c r="L537" s="9"/>
      <c r="M537" s="9"/>
      <c r="N537" s="9"/>
      <c r="O537" s="13" t="str">
        <f aca="false">IF(C537="","",IF(N(M537)+N(N537)&lt;Settings!$C$9,"untested",M537/(M537+N537)))</f>
        <v/>
      </c>
      <c r="P537" s="9"/>
      <c r="Q537" s="9"/>
      <c r="R537" s="9"/>
      <c r="S537" s="12"/>
      <c r="T537" s="9"/>
      <c r="U537" s="9"/>
      <c r="V537" s="9"/>
      <c r="W537" s="10" t="str">
        <f aca="false">IF(C537="","",IF(OR(G537="training",G537="full"),"Yes",IF(G537="none","No","?")))</f>
        <v/>
      </c>
      <c r="X537" s="10" t="str">
        <f aca="false">IF(C537="","",IF(OR(E537="",E537="unknown"),D537,E537))</f>
        <v/>
      </c>
      <c r="Y537" s="10" t="str">
        <f aca="false">IF(C537="","",IF(OR(T537="unsuitable",T537="retired",X537="no"),"—",IF(J537="","unrated",IF(AND(X537="full",J537&gt;=Settings!$C$5,OR(O537="untested",O537&gt;=Settings!$C$6)),"A",IF(AND(OR(X537="full",X537="reduced"),J537&gt;=Settings!$C$7,OR(O537="untested",O537&gt;=Settings!$C$8)),"B","C")))))</f>
        <v/>
      </c>
      <c r="Z537" s="11" t="str">
        <f aca="false">IF(C537="","",IF(P537&lt;&gt;"",P537,Y537))</f>
        <v/>
      </c>
    </row>
    <row r="538" customFormat="false" ht="15" hidden="false" customHeight="false" outlineLevel="0" collapsed="false">
      <c r="A538" s="9"/>
      <c r="B538" s="10" t="str">
        <f aca="false">IF(A538="","",IFERROR(INDEX(Parks!$A$2:$A$255,MATCH(A538,Parks!$B$2:$B$255,0)),"?"))</f>
        <v/>
      </c>
      <c r="C538" s="9"/>
      <c r="D538" s="10" t="str">
        <f aca="false">IF(C538="","",IF(SUMPRODUCT(--ISNUMBER(SEARCH({"Nets","Wicket","Diamond","Softball","T-ball","Baseball","Netball","Tennis","Bocce","Pentaque","Petanque","Skate","Car Park","Pond","Bridle","Amphitheatre","Perimeter","Passive"},C538)))&gt;0,"no",IF(SUMPRODUCT(--ISNUMBER(SEARCH({"Cricket","Junior","Mini","Summer Football","Small"},C538)))&gt;0,"reduced",IF(SUMPRODUCT(--ISNUMBER(SEARCH({"Rugby","Football","League","Touch","Gaelic","Australian","Lacrosse","General Sport","Training Area","Ultimate"},C538)))&gt;0,"full","unknown"))))</f>
        <v/>
      </c>
      <c r="E538" s="9"/>
      <c r="F538" s="9"/>
      <c r="G538" s="9"/>
      <c r="H538" s="9"/>
      <c r="I538" s="12"/>
      <c r="J538" s="9"/>
      <c r="K538" s="9"/>
      <c r="L538" s="9"/>
      <c r="M538" s="9"/>
      <c r="N538" s="9"/>
      <c r="O538" s="13" t="str">
        <f aca="false">IF(C538="","",IF(N(M538)+N(N538)&lt;Settings!$C$9,"untested",M538/(M538+N538)))</f>
        <v/>
      </c>
      <c r="P538" s="9"/>
      <c r="Q538" s="9"/>
      <c r="R538" s="9"/>
      <c r="S538" s="12"/>
      <c r="T538" s="9"/>
      <c r="U538" s="9"/>
      <c r="V538" s="9"/>
      <c r="W538" s="10" t="str">
        <f aca="false">IF(C538="","",IF(OR(G538="training",G538="full"),"Yes",IF(G538="none","No","?")))</f>
        <v/>
      </c>
      <c r="X538" s="10" t="str">
        <f aca="false">IF(C538="","",IF(OR(E538="",E538="unknown"),D538,E538))</f>
        <v/>
      </c>
      <c r="Y538" s="10" t="str">
        <f aca="false">IF(C538="","",IF(OR(T538="unsuitable",T538="retired",X538="no"),"—",IF(J538="","unrated",IF(AND(X538="full",J538&gt;=Settings!$C$5,OR(O538="untested",O538&gt;=Settings!$C$6)),"A",IF(AND(OR(X538="full",X538="reduced"),J538&gt;=Settings!$C$7,OR(O538="untested",O538&gt;=Settings!$C$8)),"B","C")))))</f>
        <v/>
      </c>
      <c r="Z538" s="11" t="str">
        <f aca="false">IF(C538="","",IF(P538&lt;&gt;"",P538,Y538))</f>
        <v/>
      </c>
    </row>
    <row r="539" customFormat="false" ht="15" hidden="false" customHeight="false" outlineLevel="0" collapsed="false">
      <c r="A539" s="9"/>
      <c r="B539" s="10" t="str">
        <f aca="false">IF(A539="","",IFERROR(INDEX(Parks!$A$2:$A$255,MATCH(A539,Parks!$B$2:$B$255,0)),"?"))</f>
        <v/>
      </c>
      <c r="C539" s="9"/>
      <c r="D539" s="10" t="str">
        <f aca="false">IF(C539="","",IF(SUMPRODUCT(--ISNUMBER(SEARCH({"Nets","Wicket","Diamond","Softball","T-ball","Baseball","Netball","Tennis","Bocce","Pentaque","Petanque","Skate","Car Park","Pond","Bridle","Amphitheatre","Perimeter","Passive"},C539)))&gt;0,"no",IF(SUMPRODUCT(--ISNUMBER(SEARCH({"Cricket","Junior","Mini","Summer Football","Small"},C539)))&gt;0,"reduced",IF(SUMPRODUCT(--ISNUMBER(SEARCH({"Rugby","Football","League","Touch","Gaelic","Australian","Lacrosse","General Sport","Training Area","Ultimate"},C539)))&gt;0,"full","unknown"))))</f>
        <v/>
      </c>
      <c r="E539" s="9"/>
      <c r="F539" s="9"/>
      <c r="G539" s="9"/>
      <c r="H539" s="9"/>
      <c r="I539" s="12"/>
      <c r="J539" s="9"/>
      <c r="K539" s="9"/>
      <c r="L539" s="9"/>
      <c r="M539" s="9"/>
      <c r="N539" s="9"/>
      <c r="O539" s="13" t="str">
        <f aca="false">IF(C539="","",IF(N(M539)+N(N539)&lt;Settings!$C$9,"untested",M539/(M539+N539)))</f>
        <v/>
      </c>
      <c r="P539" s="9"/>
      <c r="Q539" s="9"/>
      <c r="R539" s="9"/>
      <c r="S539" s="12"/>
      <c r="T539" s="9"/>
      <c r="U539" s="9"/>
      <c r="V539" s="9"/>
      <c r="W539" s="10" t="str">
        <f aca="false">IF(C539="","",IF(OR(G539="training",G539="full"),"Yes",IF(G539="none","No","?")))</f>
        <v/>
      </c>
      <c r="X539" s="10" t="str">
        <f aca="false">IF(C539="","",IF(OR(E539="",E539="unknown"),D539,E539))</f>
        <v/>
      </c>
      <c r="Y539" s="10" t="str">
        <f aca="false">IF(C539="","",IF(OR(T539="unsuitable",T539="retired",X539="no"),"—",IF(J539="","unrated",IF(AND(X539="full",J539&gt;=Settings!$C$5,OR(O539="untested",O539&gt;=Settings!$C$6)),"A",IF(AND(OR(X539="full",X539="reduced"),J539&gt;=Settings!$C$7,OR(O539="untested",O539&gt;=Settings!$C$8)),"B","C")))))</f>
        <v/>
      </c>
      <c r="Z539" s="11" t="str">
        <f aca="false">IF(C539="","",IF(P539&lt;&gt;"",P539,Y539))</f>
        <v/>
      </c>
    </row>
    <row r="540" customFormat="false" ht="15" hidden="false" customHeight="false" outlineLevel="0" collapsed="false">
      <c r="A540" s="9"/>
      <c r="B540" s="10" t="str">
        <f aca="false">IF(A540="","",IFERROR(INDEX(Parks!$A$2:$A$255,MATCH(A540,Parks!$B$2:$B$255,0)),"?"))</f>
        <v/>
      </c>
      <c r="C540" s="9"/>
      <c r="D540" s="10" t="str">
        <f aca="false">IF(C540="","",IF(SUMPRODUCT(--ISNUMBER(SEARCH({"Nets","Wicket","Diamond","Softball","T-ball","Baseball","Netball","Tennis","Bocce","Pentaque","Petanque","Skate","Car Park","Pond","Bridle","Amphitheatre","Perimeter","Passive"},C540)))&gt;0,"no",IF(SUMPRODUCT(--ISNUMBER(SEARCH({"Cricket","Junior","Mini","Summer Football","Small"},C540)))&gt;0,"reduced",IF(SUMPRODUCT(--ISNUMBER(SEARCH({"Rugby","Football","League","Touch","Gaelic","Australian","Lacrosse","General Sport","Training Area","Ultimate"},C540)))&gt;0,"full","unknown"))))</f>
        <v/>
      </c>
      <c r="E540" s="9"/>
      <c r="F540" s="9"/>
      <c r="G540" s="9"/>
      <c r="H540" s="9"/>
      <c r="I540" s="12"/>
      <c r="J540" s="9"/>
      <c r="K540" s="9"/>
      <c r="L540" s="9"/>
      <c r="M540" s="9"/>
      <c r="N540" s="9"/>
      <c r="O540" s="13" t="str">
        <f aca="false">IF(C540="","",IF(N(M540)+N(N540)&lt;Settings!$C$9,"untested",M540/(M540+N540)))</f>
        <v/>
      </c>
      <c r="P540" s="9"/>
      <c r="Q540" s="9"/>
      <c r="R540" s="9"/>
      <c r="S540" s="12"/>
      <c r="T540" s="9"/>
      <c r="U540" s="9"/>
      <c r="V540" s="9"/>
      <c r="W540" s="10" t="str">
        <f aca="false">IF(C540="","",IF(OR(G540="training",G540="full"),"Yes",IF(G540="none","No","?")))</f>
        <v/>
      </c>
      <c r="X540" s="10" t="str">
        <f aca="false">IF(C540="","",IF(OR(E540="",E540="unknown"),D540,E540))</f>
        <v/>
      </c>
      <c r="Y540" s="10" t="str">
        <f aca="false">IF(C540="","",IF(OR(T540="unsuitable",T540="retired",X540="no"),"—",IF(J540="","unrated",IF(AND(X540="full",J540&gt;=Settings!$C$5,OR(O540="untested",O540&gt;=Settings!$C$6)),"A",IF(AND(OR(X540="full",X540="reduced"),J540&gt;=Settings!$C$7,OR(O540="untested",O540&gt;=Settings!$C$8)),"B","C")))))</f>
        <v/>
      </c>
      <c r="Z540" s="11" t="str">
        <f aca="false">IF(C540="","",IF(P540&lt;&gt;"",P540,Y540))</f>
        <v/>
      </c>
    </row>
    <row r="541" customFormat="false" ht="15" hidden="false" customHeight="false" outlineLevel="0" collapsed="false">
      <c r="A541" s="9"/>
      <c r="B541" s="10" t="str">
        <f aca="false">IF(A541="","",IFERROR(INDEX(Parks!$A$2:$A$255,MATCH(A541,Parks!$B$2:$B$255,0)),"?"))</f>
        <v/>
      </c>
      <c r="C541" s="9"/>
      <c r="D541" s="10" t="str">
        <f aca="false">IF(C541="","",IF(SUMPRODUCT(--ISNUMBER(SEARCH({"Nets","Wicket","Diamond","Softball","T-ball","Baseball","Netball","Tennis","Bocce","Pentaque","Petanque","Skate","Car Park","Pond","Bridle","Amphitheatre","Perimeter","Passive"},C541)))&gt;0,"no",IF(SUMPRODUCT(--ISNUMBER(SEARCH({"Cricket","Junior","Mini","Summer Football","Small"},C541)))&gt;0,"reduced",IF(SUMPRODUCT(--ISNUMBER(SEARCH({"Rugby","Football","League","Touch","Gaelic","Australian","Lacrosse","General Sport","Training Area","Ultimate"},C541)))&gt;0,"full","unknown"))))</f>
        <v/>
      </c>
      <c r="E541" s="9"/>
      <c r="F541" s="9"/>
      <c r="G541" s="9"/>
      <c r="H541" s="9"/>
      <c r="I541" s="12"/>
      <c r="J541" s="9"/>
      <c r="K541" s="9"/>
      <c r="L541" s="9"/>
      <c r="M541" s="9"/>
      <c r="N541" s="9"/>
      <c r="O541" s="13" t="str">
        <f aca="false">IF(C541="","",IF(N(M541)+N(N541)&lt;Settings!$C$9,"untested",M541/(M541+N541)))</f>
        <v/>
      </c>
      <c r="P541" s="9"/>
      <c r="Q541" s="9"/>
      <c r="R541" s="9"/>
      <c r="S541" s="12"/>
      <c r="T541" s="9"/>
      <c r="U541" s="9"/>
      <c r="V541" s="9"/>
      <c r="W541" s="10" t="str">
        <f aca="false">IF(C541="","",IF(OR(G541="training",G541="full"),"Yes",IF(G541="none","No","?")))</f>
        <v/>
      </c>
      <c r="X541" s="10" t="str">
        <f aca="false">IF(C541="","",IF(OR(E541="",E541="unknown"),D541,E541))</f>
        <v/>
      </c>
      <c r="Y541" s="10" t="str">
        <f aca="false">IF(C541="","",IF(OR(T541="unsuitable",T541="retired",X541="no"),"—",IF(J541="","unrated",IF(AND(X541="full",J541&gt;=Settings!$C$5,OR(O541="untested",O541&gt;=Settings!$C$6)),"A",IF(AND(OR(X541="full",X541="reduced"),J541&gt;=Settings!$C$7,OR(O541="untested",O541&gt;=Settings!$C$8)),"B","C")))))</f>
        <v/>
      </c>
      <c r="Z541" s="11" t="str">
        <f aca="false">IF(C541="","",IF(P541&lt;&gt;"",P541,Y541))</f>
        <v/>
      </c>
    </row>
    <row r="542" customFormat="false" ht="15" hidden="false" customHeight="false" outlineLevel="0" collapsed="false">
      <c r="A542" s="9"/>
      <c r="B542" s="10" t="str">
        <f aca="false">IF(A542="","",IFERROR(INDEX(Parks!$A$2:$A$255,MATCH(A542,Parks!$B$2:$B$255,0)),"?"))</f>
        <v/>
      </c>
      <c r="C542" s="9"/>
      <c r="D542" s="10" t="str">
        <f aca="false">IF(C542="","",IF(SUMPRODUCT(--ISNUMBER(SEARCH({"Nets","Wicket","Diamond","Softball","T-ball","Baseball","Netball","Tennis","Bocce","Pentaque","Petanque","Skate","Car Park","Pond","Bridle","Amphitheatre","Perimeter","Passive"},C542)))&gt;0,"no",IF(SUMPRODUCT(--ISNUMBER(SEARCH({"Cricket","Junior","Mini","Summer Football","Small"},C542)))&gt;0,"reduced",IF(SUMPRODUCT(--ISNUMBER(SEARCH({"Rugby","Football","League","Touch","Gaelic","Australian","Lacrosse","General Sport","Training Area","Ultimate"},C542)))&gt;0,"full","unknown"))))</f>
        <v/>
      </c>
      <c r="E542" s="9"/>
      <c r="F542" s="9"/>
      <c r="G542" s="9"/>
      <c r="H542" s="9"/>
      <c r="I542" s="12"/>
      <c r="J542" s="9"/>
      <c r="K542" s="9"/>
      <c r="L542" s="9"/>
      <c r="M542" s="9"/>
      <c r="N542" s="9"/>
      <c r="O542" s="13" t="str">
        <f aca="false">IF(C542="","",IF(N(M542)+N(N542)&lt;Settings!$C$9,"untested",M542/(M542+N542)))</f>
        <v/>
      </c>
      <c r="P542" s="9"/>
      <c r="Q542" s="9"/>
      <c r="R542" s="9"/>
      <c r="S542" s="12"/>
      <c r="T542" s="9"/>
      <c r="U542" s="9"/>
      <c r="V542" s="9"/>
      <c r="W542" s="10" t="str">
        <f aca="false">IF(C542="","",IF(OR(G542="training",G542="full"),"Yes",IF(G542="none","No","?")))</f>
        <v/>
      </c>
      <c r="X542" s="10" t="str">
        <f aca="false">IF(C542="","",IF(OR(E542="",E542="unknown"),D542,E542))</f>
        <v/>
      </c>
      <c r="Y542" s="10" t="str">
        <f aca="false">IF(C542="","",IF(OR(T542="unsuitable",T542="retired",X542="no"),"—",IF(J542="","unrated",IF(AND(X542="full",J542&gt;=Settings!$C$5,OR(O542="untested",O542&gt;=Settings!$C$6)),"A",IF(AND(OR(X542="full",X542="reduced"),J542&gt;=Settings!$C$7,OR(O542="untested",O542&gt;=Settings!$C$8)),"B","C")))))</f>
        <v/>
      </c>
      <c r="Z542" s="11" t="str">
        <f aca="false">IF(C542="","",IF(P542&lt;&gt;"",P542,Y542))</f>
        <v/>
      </c>
    </row>
    <row r="543" customFormat="false" ht="15" hidden="false" customHeight="false" outlineLevel="0" collapsed="false">
      <c r="A543" s="9"/>
      <c r="B543" s="10" t="str">
        <f aca="false">IF(A543="","",IFERROR(INDEX(Parks!$A$2:$A$255,MATCH(A543,Parks!$B$2:$B$255,0)),"?"))</f>
        <v/>
      </c>
      <c r="C543" s="9"/>
      <c r="D543" s="10" t="str">
        <f aca="false">IF(C543="","",IF(SUMPRODUCT(--ISNUMBER(SEARCH({"Nets","Wicket","Diamond","Softball","T-ball","Baseball","Netball","Tennis","Bocce","Pentaque","Petanque","Skate","Car Park","Pond","Bridle","Amphitheatre","Perimeter","Passive"},C543)))&gt;0,"no",IF(SUMPRODUCT(--ISNUMBER(SEARCH({"Cricket","Junior","Mini","Summer Football","Small"},C543)))&gt;0,"reduced",IF(SUMPRODUCT(--ISNUMBER(SEARCH({"Rugby","Football","League","Touch","Gaelic","Australian","Lacrosse","General Sport","Training Area","Ultimate"},C543)))&gt;0,"full","unknown"))))</f>
        <v/>
      </c>
      <c r="E543" s="9"/>
      <c r="F543" s="9"/>
      <c r="G543" s="9"/>
      <c r="H543" s="9"/>
      <c r="I543" s="12"/>
      <c r="J543" s="9"/>
      <c r="K543" s="9"/>
      <c r="L543" s="9"/>
      <c r="M543" s="9"/>
      <c r="N543" s="9"/>
      <c r="O543" s="13" t="str">
        <f aca="false">IF(C543="","",IF(N(M543)+N(N543)&lt;Settings!$C$9,"untested",M543/(M543+N543)))</f>
        <v/>
      </c>
      <c r="P543" s="9"/>
      <c r="Q543" s="9"/>
      <c r="R543" s="9"/>
      <c r="S543" s="12"/>
      <c r="T543" s="9"/>
      <c r="U543" s="9"/>
      <c r="V543" s="9"/>
      <c r="W543" s="10" t="str">
        <f aca="false">IF(C543="","",IF(OR(G543="training",G543="full"),"Yes",IF(G543="none","No","?")))</f>
        <v/>
      </c>
      <c r="X543" s="10" t="str">
        <f aca="false">IF(C543="","",IF(OR(E543="",E543="unknown"),D543,E543))</f>
        <v/>
      </c>
      <c r="Y543" s="10" t="str">
        <f aca="false">IF(C543="","",IF(OR(T543="unsuitable",T543="retired",X543="no"),"—",IF(J543="","unrated",IF(AND(X543="full",J543&gt;=Settings!$C$5,OR(O543="untested",O543&gt;=Settings!$C$6)),"A",IF(AND(OR(X543="full",X543="reduced"),J543&gt;=Settings!$C$7,OR(O543="untested",O543&gt;=Settings!$C$8)),"B","C")))))</f>
        <v/>
      </c>
      <c r="Z543" s="11" t="str">
        <f aca="false">IF(C543="","",IF(P543&lt;&gt;"",P543,Y543))</f>
        <v/>
      </c>
    </row>
    <row r="544" customFormat="false" ht="15" hidden="false" customHeight="false" outlineLevel="0" collapsed="false">
      <c r="A544" s="9"/>
      <c r="B544" s="10" t="str">
        <f aca="false">IF(A544="","",IFERROR(INDEX(Parks!$A$2:$A$255,MATCH(A544,Parks!$B$2:$B$255,0)),"?"))</f>
        <v/>
      </c>
      <c r="C544" s="9"/>
      <c r="D544" s="10" t="str">
        <f aca="false">IF(C544="","",IF(SUMPRODUCT(--ISNUMBER(SEARCH({"Nets","Wicket","Diamond","Softball","T-ball","Baseball","Netball","Tennis","Bocce","Pentaque","Petanque","Skate","Car Park","Pond","Bridle","Amphitheatre","Perimeter","Passive"},C544)))&gt;0,"no",IF(SUMPRODUCT(--ISNUMBER(SEARCH({"Cricket","Junior","Mini","Summer Football","Small"},C544)))&gt;0,"reduced",IF(SUMPRODUCT(--ISNUMBER(SEARCH({"Rugby","Football","League","Touch","Gaelic","Australian","Lacrosse","General Sport","Training Area","Ultimate"},C544)))&gt;0,"full","unknown"))))</f>
        <v/>
      </c>
      <c r="E544" s="9"/>
      <c r="F544" s="9"/>
      <c r="G544" s="9"/>
      <c r="H544" s="9"/>
      <c r="I544" s="12"/>
      <c r="J544" s="9"/>
      <c r="K544" s="9"/>
      <c r="L544" s="9"/>
      <c r="M544" s="9"/>
      <c r="N544" s="9"/>
      <c r="O544" s="13" t="str">
        <f aca="false">IF(C544="","",IF(N(M544)+N(N544)&lt;Settings!$C$9,"untested",M544/(M544+N544)))</f>
        <v/>
      </c>
      <c r="P544" s="9"/>
      <c r="Q544" s="9"/>
      <c r="R544" s="9"/>
      <c r="S544" s="12"/>
      <c r="T544" s="9"/>
      <c r="U544" s="9"/>
      <c r="V544" s="9"/>
      <c r="W544" s="10" t="str">
        <f aca="false">IF(C544="","",IF(OR(G544="training",G544="full"),"Yes",IF(G544="none","No","?")))</f>
        <v/>
      </c>
      <c r="X544" s="10" t="str">
        <f aca="false">IF(C544="","",IF(OR(E544="",E544="unknown"),D544,E544))</f>
        <v/>
      </c>
      <c r="Y544" s="10" t="str">
        <f aca="false">IF(C544="","",IF(OR(T544="unsuitable",T544="retired",X544="no"),"—",IF(J544="","unrated",IF(AND(X544="full",J544&gt;=Settings!$C$5,OR(O544="untested",O544&gt;=Settings!$C$6)),"A",IF(AND(OR(X544="full",X544="reduced"),J544&gt;=Settings!$C$7,OR(O544="untested",O544&gt;=Settings!$C$8)),"B","C")))))</f>
        <v/>
      </c>
      <c r="Z544" s="11" t="str">
        <f aca="false">IF(C544="","",IF(P544&lt;&gt;"",P544,Y544))</f>
        <v/>
      </c>
    </row>
    <row r="545" customFormat="false" ht="15" hidden="false" customHeight="false" outlineLevel="0" collapsed="false">
      <c r="A545" s="9"/>
      <c r="B545" s="10" t="str">
        <f aca="false">IF(A545="","",IFERROR(INDEX(Parks!$A$2:$A$255,MATCH(A545,Parks!$B$2:$B$255,0)),"?"))</f>
        <v/>
      </c>
      <c r="C545" s="9"/>
      <c r="D545" s="10" t="str">
        <f aca="false">IF(C545="","",IF(SUMPRODUCT(--ISNUMBER(SEARCH({"Nets","Wicket","Diamond","Softball","T-ball","Baseball","Netball","Tennis","Bocce","Pentaque","Petanque","Skate","Car Park","Pond","Bridle","Amphitheatre","Perimeter","Passive"},C545)))&gt;0,"no",IF(SUMPRODUCT(--ISNUMBER(SEARCH({"Cricket","Junior","Mini","Summer Football","Small"},C545)))&gt;0,"reduced",IF(SUMPRODUCT(--ISNUMBER(SEARCH({"Rugby","Football","League","Touch","Gaelic","Australian","Lacrosse","General Sport","Training Area","Ultimate"},C545)))&gt;0,"full","unknown"))))</f>
        <v/>
      </c>
      <c r="E545" s="9"/>
      <c r="F545" s="9"/>
      <c r="G545" s="9"/>
      <c r="H545" s="9"/>
      <c r="I545" s="12"/>
      <c r="J545" s="9"/>
      <c r="K545" s="9"/>
      <c r="L545" s="9"/>
      <c r="M545" s="9"/>
      <c r="N545" s="9"/>
      <c r="O545" s="13" t="str">
        <f aca="false">IF(C545="","",IF(N(M545)+N(N545)&lt;Settings!$C$9,"untested",M545/(M545+N545)))</f>
        <v/>
      </c>
      <c r="P545" s="9"/>
      <c r="Q545" s="9"/>
      <c r="R545" s="9"/>
      <c r="S545" s="12"/>
      <c r="T545" s="9"/>
      <c r="U545" s="9"/>
      <c r="V545" s="9"/>
      <c r="W545" s="10" t="str">
        <f aca="false">IF(C545="","",IF(OR(G545="training",G545="full"),"Yes",IF(G545="none","No","?")))</f>
        <v/>
      </c>
      <c r="X545" s="10" t="str">
        <f aca="false">IF(C545="","",IF(OR(E545="",E545="unknown"),D545,E545))</f>
        <v/>
      </c>
      <c r="Y545" s="10" t="str">
        <f aca="false">IF(C545="","",IF(OR(T545="unsuitable",T545="retired",X545="no"),"—",IF(J545="","unrated",IF(AND(X545="full",J545&gt;=Settings!$C$5,OR(O545="untested",O545&gt;=Settings!$C$6)),"A",IF(AND(OR(X545="full",X545="reduced"),J545&gt;=Settings!$C$7,OR(O545="untested",O545&gt;=Settings!$C$8)),"B","C")))))</f>
        <v/>
      </c>
      <c r="Z545" s="11" t="str">
        <f aca="false">IF(C545="","",IF(P545&lt;&gt;"",P545,Y545))</f>
        <v/>
      </c>
    </row>
    <row r="546" customFormat="false" ht="15" hidden="false" customHeight="false" outlineLevel="0" collapsed="false">
      <c r="A546" s="9"/>
      <c r="B546" s="10" t="str">
        <f aca="false">IF(A546="","",IFERROR(INDEX(Parks!$A$2:$A$255,MATCH(A546,Parks!$B$2:$B$255,0)),"?"))</f>
        <v/>
      </c>
      <c r="C546" s="9"/>
      <c r="D546" s="10" t="str">
        <f aca="false">IF(C546="","",IF(SUMPRODUCT(--ISNUMBER(SEARCH({"Nets","Wicket","Diamond","Softball","T-ball","Baseball","Netball","Tennis","Bocce","Pentaque","Petanque","Skate","Car Park","Pond","Bridle","Amphitheatre","Perimeter","Passive"},C546)))&gt;0,"no",IF(SUMPRODUCT(--ISNUMBER(SEARCH({"Cricket","Junior","Mini","Summer Football","Small"},C546)))&gt;0,"reduced",IF(SUMPRODUCT(--ISNUMBER(SEARCH({"Rugby","Football","League","Touch","Gaelic","Australian","Lacrosse","General Sport","Training Area","Ultimate"},C546)))&gt;0,"full","unknown"))))</f>
        <v/>
      </c>
      <c r="E546" s="9"/>
      <c r="F546" s="9"/>
      <c r="G546" s="9"/>
      <c r="H546" s="9"/>
      <c r="I546" s="12"/>
      <c r="J546" s="9"/>
      <c r="K546" s="9"/>
      <c r="L546" s="9"/>
      <c r="M546" s="9"/>
      <c r="N546" s="9"/>
      <c r="O546" s="13" t="str">
        <f aca="false">IF(C546="","",IF(N(M546)+N(N546)&lt;Settings!$C$9,"untested",M546/(M546+N546)))</f>
        <v/>
      </c>
      <c r="P546" s="9"/>
      <c r="Q546" s="9"/>
      <c r="R546" s="9"/>
      <c r="S546" s="12"/>
      <c r="T546" s="9"/>
      <c r="U546" s="9"/>
      <c r="V546" s="9"/>
      <c r="W546" s="10" t="str">
        <f aca="false">IF(C546="","",IF(OR(G546="training",G546="full"),"Yes",IF(G546="none","No","?")))</f>
        <v/>
      </c>
      <c r="X546" s="10" t="str">
        <f aca="false">IF(C546="","",IF(OR(E546="",E546="unknown"),D546,E546))</f>
        <v/>
      </c>
      <c r="Y546" s="10" t="str">
        <f aca="false">IF(C546="","",IF(OR(T546="unsuitable",T546="retired",X546="no"),"—",IF(J546="","unrated",IF(AND(X546="full",J546&gt;=Settings!$C$5,OR(O546="untested",O546&gt;=Settings!$C$6)),"A",IF(AND(OR(X546="full",X546="reduced"),J546&gt;=Settings!$C$7,OR(O546="untested",O546&gt;=Settings!$C$8)),"B","C")))))</f>
        <v/>
      </c>
      <c r="Z546" s="11" t="str">
        <f aca="false">IF(C546="","",IF(P546&lt;&gt;"",P546,Y546))</f>
        <v/>
      </c>
    </row>
    <row r="547" customFormat="false" ht="15" hidden="false" customHeight="false" outlineLevel="0" collapsed="false">
      <c r="A547" s="9"/>
      <c r="B547" s="10" t="str">
        <f aca="false">IF(A547="","",IFERROR(INDEX(Parks!$A$2:$A$255,MATCH(A547,Parks!$B$2:$B$255,0)),"?"))</f>
        <v/>
      </c>
      <c r="C547" s="9"/>
      <c r="D547" s="10" t="str">
        <f aca="false">IF(C547="","",IF(SUMPRODUCT(--ISNUMBER(SEARCH({"Nets","Wicket","Diamond","Softball","T-ball","Baseball","Netball","Tennis","Bocce","Pentaque","Petanque","Skate","Car Park","Pond","Bridle","Amphitheatre","Perimeter","Passive"},C547)))&gt;0,"no",IF(SUMPRODUCT(--ISNUMBER(SEARCH({"Cricket","Junior","Mini","Summer Football","Small"},C547)))&gt;0,"reduced",IF(SUMPRODUCT(--ISNUMBER(SEARCH({"Rugby","Football","League","Touch","Gaelic","Australian","Lacrosse","General Sport","Training Area","Ultimate"},C547)))&gt;0,"full","unknown"))))</f>
        <v/>
      </c>
      <c r="E547" s="9"/>
      <c r="F547" s="9"/>
      <c r="G547" s="9"/>
      <c r="H547" s="9"/>
      <c r="I547" s="12"/>
      <c r="J547" s="9"/>
      <c r="K547" s="9"/>
      <c r="L547" s="9"/>
      <c r="M547" s="9"/>
      <c r="N547" s="9"/>
      <c r="O547" s="13" t="str">
        <f aca="false">IF(C547="","",IF(N(M547)+N(N547)&lt;Settings!$C$9,"untested",M547/(M547+N547)))</f>
        <v/>
      </c>
      <c r="P547" s="9"/>
      <c r="Q547" s="9"/>
      <c r="R547" s="9"/>
      <c r="S547" s="12"/>
      <c r="T547" s="9"/>
      <c r="U547" s="9"/>
      <c r="V547" s="9"/>
      <c r="W547" s="10" t="str">
        <f aca="false">IF(C547="","",IF(OR(G547="training",G547="full"),"Yes",IF(G547="none","No","?")))</f>
        <v/>
      </c>
      <c r="X547" s="10" t="str">
        <f aca="false">IF(C547="","",IF(OR(E547="",E547="unknown"),D547,E547))</f>
        <v/>
      </c>
      <c r="Y547" s="10" t="str">
        <f aca="false">IF(C547="","",IF(OR(T547="unsuitable",T547="retired",X547="no"),"—",IF(J547="","unrated",IF(AND(X547="full",J547&gt;=Settings!$C$5,OR(O547="untested",O547&gt;=Settings!$C$6)),"A",IF(AND(OR(X547="full",X547="reduced"),J547&gt;=Settings!$C$7,OR(O547="untested",O547&gt;=Settings!$C$8)),"B","C")))))</f>
        <v/>
      </c>
      <c r="Z547" s="11" t="str">
        <f aca="false">IF(C547="","",IF(P547&lt;&gt;"",P547,Y547))</f>
        <v/>
      </c>
    </row>
    <row r="548" customFormat="false" ht="15" hidden="false" customHeight="false" outlineLevel="0" collapsed="false">
      <c r="A548" s="9"/>
      <c r="B548" s="10" t="str">
        <f aca="false">IF(A548="","",IFERROR(INDEX(Parks!$A$2:$A$255,MATCH(A548,Parks!$B$2:$B$255,0)),"?"))</f>
        <v/>
      </c>
      <c r="C548" s="9"/>
      <c r="D548" s="10" t="str">
        <f aca="false">IF(C548="","",IF(SUMPRODUCT(--ISNUMBER(SEARCH({"Nets","Wicket","Diamond","Softball","T-ball","Baseball","Netball","Tennis","Bocce","Pentaque","Petanque","Skate","Car Park","Pond","Bridle","Amphitheatre","Perimeter","Passive"},C548)))&gt;0,"no",IF(SUMPRODUCT(--ISNUMBER(SEARCH({"Cricket","Junior","Mini","Summer Football","Small"},C548)))&gt;0,"reduced",IF(SUMPRODUCT(--ISNUMBER(SEARCH({"Rugby","Football","League","Touch","Gaelic","Australian","Lacrosse","General Sport","Training Area","Ultimate"},C548)))&gt;0,"full","unknown"))))</f>
        <v/>
      </c>
      <c r="E548" s="9"/>
      <c r="F548" s="9"/>
      <c r="G548" s="9"/>
      <c r="H548" s="9"/>
      <c r="I548" s="12"/>
      <c r="J548" s="9"/>
      <c r="K548" s="9"/>
      <c r="L548" s="9"/>
      <c r="M548" s="9"/>
      <c r="N548" s="9"/>
      <c r="O548" s="13" t="str">
        <f aca="false">IF(C548="","",IF(N(M548)+N(N548)&lt;Settings!$C$9,"untested",M548/(M548+N548)))</f>
        <v/>
      </c>
      <c r="P548" s="9"/>
      <c r="Q548" s="9"/>
      <c r="R548" s="9"/>
      <c r="S548" s="12"/>
      <c r="T548" s="9"/>
      <c r="U548" s="9"/>
      <c r="V548" s="9"/>
      <c r="W548" s="10" t="str">
        <f aca="false">IF(C548="","",IF(OR(G548="training",G548="full"),"Yes",IF(G548="none","No","?")))</f>
        <v/>
      </c>
      <c r="X548" s="10" t="str">
        <f aca="false">IF(C548="","",IF(OR(E548="",E548="unknown"),D548,E548))</f>
        <v/>
      </c>
      <c r="Y548" s="10" t="str">
        <f aca="false">IF(C548="","",IF(OR(T548="unsuitable",T548="retired",X548="no"),"—",IF(J548="","unrated",IF(AND(X548="full",J548&gt;=Settings!$C$5,OR(O548="untested",O548&gt;=Settings!$C$6)),"A",IF(AND(OR(X548="full",X548="reduced"),J548&gt;=Settings!$C$7,OR(O548="untested",O548&gt;=Settings!$C$8)),"B","C")))))</f>
        <v/>
      </c>
      <c r="Z548" s="11" t="str">
        <f aca="false">IF(C548="","",IF(P548&lt;&gt;"",P548,Y548))</f>
        <v/>
      </c>
    </row>
    <row r="549" customFormat="false" ht="15" hidden="false" customHeight="false" outlineLevel="0" collapsed="false">
      <c r="A549" s="9"/>
      <c r="B549" s="10" t="str">
        <f aca="false">IF(A549="","",IFERROR(INDEX(Parks!$A$2:$A$255,MATCH(A549,Parks!$B$2:$B$255,0)),"?"))</f>
        <v/>
      </c>
      <c r="C549" s="9"/>
      <c r="D549" s="10" t="str">
        <f aca="false">IF(C549="","",IF(SUMPRODUCT(--ISNUMBER(SEARCH({"Nets","Wicket","Diamond","Softball","T-ball","Baseball","Netball","Tennis","Bocce","Pentaque","Petanque","Skate","Car Park","Pond","Bridle","Amphitheatre","Perimeter","Passive"},C549)))&gt;0,"no",IF(SUMPRODUCT(--ISNUMBER(SEARCH({"Cricket","Junior","Mini","Summer Football","Small"},C549)))&gt;0,"reduced",IF(SUMPRODUCT(--ISNUMBER(SEARCH({"Rugby","Football","League","Touch","Gaelic","Australian","Lacrosse","General Sport","Training Area","Ultimate"},C549)))&gt;0,"full","unknown"))))</f>
        <v/>
      </c>
      <c r="E549" s="9"/>
      <c r="F549" s="9"/>
      <c r="G549" s="9"/>
      <c r="H549" s="9"/>
      <c r="I549" s="12"/>
      <c r="J549" s="9"/>
      <c r="K549" s="9"/>
      <c r="L549" s="9"/>
      <c r="M549" s="9"/>
      <c r="N549" s="9"/>
      <c r="O549" s="13" t="str">
        <f aca="false">IF(C549="","",IF(N(M549)+N(N549)&lt;Settings!$C$9,"untested",M549/(M549+N549)))</f>
        <v/>
      </c>
      <c r="P549" s="9"/>
      <c r="Q549" s="9"/>
      <c r="R549" s="9"/>
      <c r="S549" s="12"/>
      <c r="T549" s="9"/>
      <c r="U549" s="9"/>
      <c r="V549" s="9"/>
      <c r="W549" s="10" t="str">
        <f aca="false">IF(C549="","",IF(OR(G549="training",G549="full"),"Yes",IF(G549="none","No","?")))</f>
        <v/>
      </c>
      <c r="X549" s="10" t="str">
        <f aca="false">IF(C549="","",IF(OR(E549="",E549="unknown"),D549,E549))</f>
        <v/>
      </c>
      <c r="Y549" s="10" t="str">
        <f aca="false">IF(C549="","",IF(OR(T549="unsuitable",T549="retired",X549="no"),"—",IF(J549="","unrated",IF(AND(X549="full",J549&gt;=Settings!$C$5,OR(O549="untested",O549&gt;=Settings!$C$6)),"A",IF(AND(OR(X549="full",X549="reduced"),J549&gt;=Settings!$C$7,OR(O549="untested",O549&gt;=Settings!$C$8)),"B","C")))))</f>
        <v/>
      </c>
      <c r="Z549" s="11" t="str">
        <f aca="false">IF(C549="","",IF(P549&lt;&gt;"",P549,Y549))</f>
        <v/>
      </c>
    </row>
    <row r="550" customFormat="false" ht="15" hidden="false" customHeight="false" outlineLevel="0" collapsed="false">
      <c r="A550" s="9"/>
      <c r="B550" s="10" t="str">
        <f aca="false">IF(A550="","",IFERROR(INDEX(Parks!$A$2:$A$255,MATCH(A550,Parks!$B$2:$B$255,0)),"?"))</f>
        <v/>
      </c>
      <c r="C550" s="9"/>
      <c r="D550" s="10" t="str">
        <f aca="false">IF(C550="","",IF(SUMPRODUCT(--ISNUMBER(SEARCH({"Nets","Wicket","Diamond","Softball","T-ball","Baseball","Netball","Tennis","Bocce","Pentaque","Petanque","Skate","Car Park","Pond","Bridle","Amphitheatre","Perimeter","Passive"},C550)))&gt;0,"no",IF(SUMPRODUCT(--ISNUMBER(SEARCH({"Cricket","Junior","Mini","Summer Football","Small"},C550)))&gt;0,"reduced",IF(SUMPRODUCT(--ISNUMBER(SEARCH({"Rugby","Football","League","Touch","Gaelic","Australian","Lacrosse","General Sport","Training Area","Ultimate"},C550)))&gt;0,"full","unknown"))))</f>
        <v/>
      </c>
      <c r="E550" s="9"/>
      <c r="F550" s="9"/>
      <c r="G550" s="9"/>
      <c r="H550" s="9"/>
      <c r="I550" s="12"/>
      <c r="J550" s="9"/>
      <c r="K550" s="9"/>
      <c r="L550" s="9"/>
      <c r="M550" s="9"/>
      <c r="N550" s="9"/>
      <c r="O550" s="13" t="str">
        <f aca="false">IF(C550="","",IF(N(M550)+N(N550)&lt;Settings!$C$9,"untested",M550/(M550+N550)))</f>
        <v/>
      </c>
      <c r="P550" s="9"/>
      <c r="Q550" s="9"/>
      <c r="R550" s="9"/>
      <c r="S550" s="12"/>
      <c r="T550" s="9"/>
      <c r="U550" s="9"/>
      <c r="V550" s="9"/>
      <c r="W550" s="10" t="str">
        <f aca="false">IF(C550="","",IF(OR(G550="training",G550="full"),"Yes",IF(G550="none","No","?")))</f>
        <v/>
      </c>
      <c r="X550" s="10" t="str">
        <f aca="false">IF(C550="","",IF(OR(E550="",E550="unknown"),D550,E550))</f>
        <v/>
      </c>
      <c r="Y550" s="10" t="str">
        <f aca="false">IF(C550="","",IF(OR(T550="unsuitable",T550="retired",X550="no"),"—",IF(J550="","unrated",IF(AND(X550="full",J550&gt;=Settings!$C$5,OR(O550="untested",O550&gt;=Settings!$C$6)),"A",IF(AND(OR(X550="full",X550="reduced"),J550&gt;=Settings!$C$7,OR(O550="untested",O550&gt;=Settings!$C$8)),"B","C")))))</f>
        <v/>
      </c>
      <c r="Z550" s="11" t="str">
        <f aca="false">IF(C550="","",IF(P550&lt;&gt;"",P550,Y550))</f>
        <v/>
      </c>
    </row>
    <row r="551" customFormat="false" ht="15" hidden="false" customHeight="false" outlineLevel="0" collapsed="false">
      <c r="A551" s="9"/>
      <c r="B551" s="10" t="str">
        <f aca="false">IF(A551="","",IFERROR(INDEX(Parks!$A$2:$A$255,MATCH(A551,Parks!$B$2:$B$255,0)),"?"))</f>
        <v/>
      </c>
      <c r="C551" s="9"/>
      <c r="D551" s="10" t="str">
        <f aca="false">IF(C551="","",IF(SUMPRODUCT(--ISNUMBER(SEARCH({"Nets","Wicket","Diamond","Softball","T-ball","Baseball","Netball","Tennis","Bocce","Pentaque","Petanque","Skate","Car Park","Pond","Bridle","Amphitheatre","Perimeter","Passive"},C551)))&gt;0,"no",IF(SUMPRODUCT(--ISNUMBER(SEARCH({"Cricket","Junior","Mini","Summer Football","Small"},C551)))&gt;0,"reduced",IF(SUMPRODUCT(--ISNUMBER(SEARCH({"Rugby","Football","League","Touch","Gaelic","Australian","Lacrosse","General Sport","Training Area","Ultimate"},C551)))&gt;0,"full","unknown"))))</f>
        <v/>
      </c>
      <c r="E551" s="9"/>
      <c r="F551" s="9"/>
      <c r="G551" s="9"/>
      <c r="H551" s="9"/>
      <c r="I551" s="12"/>
      <c r="J551" s="9"/>
      <c r="K551" s="9"/>
      <c r="L551" s="9"/>
      <c r="M551" s="9"/>
      <c r="N551" s="9"/>
      <c r="O551" s="13" t="str">
        <f aca="false">IF(C551="","",IF(N(M551)+N(N551)&lt;Settings!$C$9,"untested",M551/(M551+N551)))</f>
        <v/>
      </c>
      <c r="P551" s="9"/>
      <c r="Q551" s="9"/>
      <c r="R551" s="9"/>
      <c r="S551" s="12"/>
      <c r="T551" s="9"/>
      <c r="U551" s="9"/>
      <c r="V551" s="9"/>
      <c r="W551" s="10" t="str">
        <f aca="false">IF(C551="","",IF(OR(G551="training",G551="full"),"Yes",IF(G551="none","No","?")))</f>
        <v/>
      </c>
      <c r="X551" s="10" t="str">
        <f aca="false">IF(C551="","",IF(OR(E551="",E551="unknown"),D551,E551))</f>
        <v/>
      </c>
      <c r="Y551" s="10" t="str">
        <f aca="false">IF(C551="","",IF(OR(T551="unsuitable",T551="retired",X551="no"),"—",IF(J551="","unrated",IF(AND(X551="full",J551&gt;=Settings!$C$5,OR(O551="untested",O551&gt;=Settings!$C$6)),"A",IF(AND(OR(X551="full",X551="reduced"),J551&gt;=Settings!$C$7,OR(O551="untested",O551&gt;=Settings!$C$8)),"B","C")))))</f>
        <v/>
      </c>
      <c r="Z551" s="11" t="str">
        <f aca="false">IF(C551="","",IF(P551&lt;&gt;"",P551,Y551))</f>
        <v/>
      </c>
    </row>
    <row r="552" customFormat="false" ht="15" hidden="false" customHeight="false" outlineLevel="0" collapsed="false">
      <c r="A552" s="9"/>
      <c r="B552" s="10" t="str">
        <f aca="false">IF(A552="","",IFERROR(INDEX(Parks!$A$2:$A$255,MATCH(A552,Parks!$B$2:$B$255,0)),"?"))</f>
        <v/>
      </c>
      <c r="C552" s="9"/>
      <c r="D552" s="10" t="str">
        <f aca="false">IF(C552="","",IF(SUMPRODUCT(--ISNUMBER(SEARCH({"Nets","Wicket","Diamond","Softball","T-ball","Baseball","Netball","Tennis","Bocce","Pentaque","Petanque","Skate","Car Park","Pond","Bridle","Amphitheatre","Perimeter","Passive"},C552)))&gt;0,"no",IF(SUMPRODUCT(--ISNUMBER(SEARCH({"Cricket","Junior","Mini","Summer Football","Small"},C552)))&gt;0,"reduced",IF(SUMPRODUCT(--ISNUMBER(SEARCH({"Rugby","Football","League","Touch","Gaelic","Australian","Lacrosse","General Sport","Training Area","Ultimate"},C552)))&gt;0,"full","unknown"))))</f>
        <v/>
      </c>
      <c r="E552" s="9"/>
      <c r="F552" s="9"/>
      <c r="G552" s="9"/>
      <c r="H552" s="9"/>
      <c r="I552" s="12"/>
      <c r="J552" s="9"/>
      <c r="K552" s="9"/>
      <c r="L552" s="9"/>
      <c r="M552" s="9"/>
      <c r="N552" s="9"/>
      <c r="O552" s="13" t="str">
        <f aca="false">IF(C552="","",IF(N(M552)+N(N552)&lt;Settings!$C$9,"untested",M552/(M552+N552)))</f>
        <v/>
      </c>
      <c r="P552" s="9"/>
      <c r="Q552" s="9"/>
      <c r="R552" s="9"/>
      <c r="S552" s="12"/>
      <c r="T552" s="9"/>
      <c r="U552" s="9"/>
      <c r="V552" s="9"/>
      <c r="W552" s="10" t="str">
        <f aca="false">IF(C552="","",IF(OR(G552="training",G552="full"),"Yes",IF(G552="none","No","?")))</f>
        <v/>
      </c>
      <c r="X552" s="10" t="str">
        <f aca="false">IF(C552="","",IF(OR(E552="",E552="unknown"),D552,E552))</f>
        <v/>
      </c>
      <c r="Y552" s="10" t="str">
        <f aca="false">IF(C552="","",IF(OR(T552="unsuitable",T552="retired",X552="no"),"—",IF(J552="","unrated",IF(AND(X552="full",J552&gt;=Settings!$C$5,OR(O552="untested",O552&gt;=Settings!$C$6)),"A",IF(AND(OR(X552="full",X552="reduced"),J552&gt;=Settings!$C$7,OR(O552="untested",O552&gt;=Settings!$C$8)),"B","C")))))</f>
        <v/>
      </c>
      <c r="Z552" s="11" t="str">
        <f aca="false">IF(C552="","",IF(P552&lt;&gt;"",P552,Y552))</f>
        <v/>
      </c>
    </row>
    <row r="553" customFormat="false" ht="15" hidden="false" customHeight="false" outlineLevel="0" collapsed="false">
      <c r="A553" s="9"/>
      <c r="B553" s="10" t="str">
        <f aca="false">IF(A553="","",IFERROR(INDEX(Parks!$A$2:$A$255,MATCH(A553,Parks!$B$2:$B$255,0)),"?"))</f>
        <v/>
      </c>
      <c r="C553" s="9"/>
      <c r="D553" s="10" t="str">
        <f aca="false">IF(C553="","",IF(SUMPRODUCT(--ISNUMBER(SEARCH({"Nets","Wicket","Diamond","Softball","T-ball","Baseball","Netball","Tennis","Bocce","Pentaque","Petanque","Skate","Car Park","Pond","Bridle","Amphitheatre","Perimeter","Passive"},C553)))&gt;0,"no",IF(SUMPRODUCT(--ISNUMBER(SEARCH({"Cricket","Junior","Mini","Summer Football","Small"},C553)))&gt;0,"reduced",IF(SUMPRODUCT(--ISNUMBER(SEARCH({"Rugby","Football","League","Touch","Gaelic","Australian","Lacrosse","General Sport","Training Area","Ultimate"},C553)))&gt;0,"full","unknown"))))</f>
        <v/>
      </c>
      <c r="E553" s="9"/>
      <c r="F553" s="9"/>
      <c r="G553" s="9"/>
      <c r="H553" s="9"/>
      <c r="I553" s="12"/>
      <c r="J553" s="9"/>
      <c r="K553" s="9"/>
      <c r="L553" s="9"/>
      <c r="M553" s="9"/>
      <c r="N553" s="9"/>
      <c r="O553" s="13" t="str">
        <f aca="false">IF(C553="","",IF(N(M553)+N(N553)&lt;Settings!$C$9,"untested",M553/(M553+N553)))</f>
        <v/>
      </c>
      <c r="P553" s="9"/>
      <c r="Q553" s="9"/>
      <c r="R553" s="9"/>
      <c r="S553" s="12"/>
      <c r="T553" s="9"/>
      <c r="U553" s="9"/>
      <c r="V553" s="9"/>
      <c r="W553" s="10" t="str">
        <f aca="false">IF(C553="","",IF(OR(G553="training",G553="full"),"Yes",IF(G553="none","No","?")))</f>
        <v/>
      </c>
      <c r="X553" s="10" t="str">
        <f aca="false">IF(C553="","",IF(OR(E553="",E553="unknown"),D553,E553))</f>
        <v/>
      </c>
      <c r="Y553" s="10" t="str">
        <f aca="false">IF(C553="","",IF(OR(T553="unsuitable",T553="retired",X553="no"),"—",IF(J553="","unrated",IF(AND(X553="full",J553&gt;=Settings!$C$5,OR(O553="untested",O553&gt;=Settings!$C$6)),"A",IF(AND(OR(X553="full",X553="reduced"),J553&gt;=Settings!$C$7,OR(O553="untested",O553&gt;=Settings!$C$8)),"B","C")))))</f>
        <v/>
      </c>
      <c r="Z553" s="11" t="str">
        <f aca="false">IF(C553="","",IF(P553&lt;&gt;"",P553,Y553))</f>
        <v/>
      </c>
    </row>
    <row r="554" customFormat="false" ht="15" hidden="false" customHeight="false" outlineLevel="0" collapsed="false">
      <c r="A554" s="9"/>
      <c r="B554" s="10" t="str">
        <f aca="false">IF(A554="","",IFERROR(INDEX(Parks!$A$2:$A$255,MATCH(A554,Parks!$B$2:$B$255,0)),"?"))</f>
        <v/>
      </c>
      <c r="C554" s="9"/>
      <c r="D554" s="10" t="str">
        <f aca="false">IF(C554="","",IF(SUMPRODUCT(--ISNUMBER(SEARCH({"Nets","Wicket","Diamond","Softball","T-ball","Baseball","Netball","Tennis","Bocce","Pentaque","Petanque","Skate","Car Park","Pond","Bridle","Amphitheatre","Perimeter","Passive"},C554)))&gt;0,"no",IF(SUMPRODUCT(--ISNUMBER(SEARCH({"Cricket","Junior","Mini","Summer Football","Small"},C554)))&gt;0,"reduced",IF(SUMPRODUCT(--ISNUMBER(SEARCH({"Rugby","Football","League","Touch","Gaelic","Australian","Lacrosse","General Sport","Training Area","Ultimate"},C554)))&gt;0,"full","unknown"))))</f>
        <v/>
      </c>
      <c r="E554" s="9"/>
      <c r="F554" s="9"/>
      <c r="G554" s="9"/>
      <c r="H554" s="9"/>
      <c r="I554" s="12"/>
      <c r="J554" s="9"/>
      <c r="K554" s="9"/>
      <c r="L554" s="9"/>
      <c r="M554" s="9"/>
      <c r="N554" s="9"/>
      <c r="O554" s="13" t="str">
        <f aca="false">IF(C554="","",IF(N(M554)+N(N554)&lt;Settings!$C$9,"untested",M554/(M554+N554)))</f>
        <v/>
      </c>
      <c r="P554" s="9"/>
      <c r="Q554" s="9"/>
      <c r="R554" s="9"/>
      <c r="S554" s="12"/>
      <c r="T554" s="9"/>
      <c r="U554" s="9"/>
      <c r="V554" s="9"/>
      <c r="W554" s="10" t="str">
        <f aca="false">IF(C554="","",IF(OR(G554="training",G554="full"),"Yes",IF(G554="none","No","?")))</f>
        <v/>
      </c>
      <c r="X554" s="10" t="str">
        <f aca="false">IF(C554="","",IF(OR(E554="",E554="unknown"),D554,E554))</f>
        <v/>
      </c>
      <c r="Y554" s="10" t="str">
        <f aca="false">IF(C554="","",IF(OR(T554="unsuitable",T554="retired",X554="no"),"—",IF(J554="","unrated",IF(AND(X554="full",J554&gt;=Settings!$C$5,OR(O554="untested",O554&gt;=Settings!$C$6)),"A",IF(AND(OR(X554="full",X554="reduced"),J554&gt;=Settings!$C$7,OR(O554="untested",O554&gt;=Settings!$C$8)),"B","C")))))</f>
        <v/>
      </c>
      <c r="Z554" s="11" t="str">
        <f aca="false">IF(C554="","",IF(P554&lt;&gt;"",P554,Y554))</f>
        <v/>
      </c>
    </row>
    <row r="555" customFormat="false" ht="15" hidden="false" customHeight="false" outlineLevel="0" collapsed="false">
      <c r="A555" s="9"/>
      <c r="B555" s="10" t="str">
        <f aca="false">IF(A555="","",IFERROR(INDEX(Parks!$A$2:$A$255,MATCH(A555,Parks!$B$2:$B$255,0)),"?"))</f>
        <v/>
      </c>
      <c r="C555" s="9"/>
      <c r="D555" s="10" t="str">
        <f aca="false">IF(C555="","",IF(SUMPRODUCT(--ISNUMBER(SEARCH({"Nets","Wicket","Diamond","Softball","T-ball","Baseball","Netball","Tennis","Bocce","Pentaque","Petanque","Skate","Car Park","Pond","Bridle","Amphitheatre","Perimeter","Passive"},C555)))&gt;0,"no",IF(SUMPRODUCT(--ISNUMBER(SEARCH({"Cricket","Junior","Mini","Summer Football","Small"},C555)))&gt;0,"reduced",IF(SUMPRODUCT(--ISNUMBER(SEARCH({"Rugby","Football","League","Touch","Gaelic","Australian","Lacrosse","General Sport","Training Area","Ultimate"},C555)))&gt;0,"full","unknown"))))</f>
        <v/>
      </c>
      <c r="E555" s="9"/>
      <c r="F555" s="9"/>
      <c r="G555" s="9"/>
      <c r="H555" s="9"/>
      <c r="I555" s="12"/>
      <c r="J555" s="9"/>
      <c r="K555" s="9"/>
      <c r="L555" s="9"/>
      <c r="M555" s="9"/>
      <c r="N555" s="9"/>
      <c r="O555" s="13" t="str">
        <f aca="false">IF(C555="","",IF(N(M555)+N(N555)&lt;Settings!$C$9,"untested",M555/(M555+N555)))</f>
        <v/>
      </c>
      <c r="P555" s="9"/>
      <c r="Q555" s="9"/>
      <c r="R555" s="9"/>
      <c r="S555" s="12"/>
      <c r="T555" s="9"/>
      <c r="U555" s="9"/>
      <c r="V555" s="9"/>
      <c r="W555" s="10" t="str">
        <f aca="false">IF(C555="","",IF(OR(G555="training",G555="full"),"Yes",IF(G555="none","No","?")))</f>
        <v/>
      </c>
      <c r="X555" s="10" t="str">
        <f aca="false">IF(C555="","",IF(OR(E555="",E555="unknown"),D555,E555))</f>
        <v/>
      </c>
      <c r="Y555" s="10" t="str">
        <f aca="false">IF(C555="","",IF(OR(T555="unsuitable",T555="retired",X555="no"),"—",IF(J555="","unrated",IF(AND(X555="full",J555&gt;=Settings!$C$5,OR(O555="untested",O555&gt;=Settings!$C$6)),"A",IF(AND(OR(X555="full",X555="reduced"),J555&gt;=Settings!$C$7,OR(O555="untested",O555&gt;=Settings!$C$8)),"B","C")))))</f>
        <v/>
      </c>
      <c r="Z555" s="11" t="str">
        <f aca="false">IF(C555="","",IF(P555&lt;&gt;"",P555,Y555))</f>
        <v/>
      </c>
    </row>
    <row r="556" customFormat="false" ht="15" hidden="false" customHeight="false" outlineLevel="0" collapsed="false">
      <c r="A556" s="9"/>
      <c r="B556" s="10" t="str">
        <f aca="false">IF(A556="","",IFERROR(INDEX(Parks!$A$2:$A$255,MATCH(A556,Parks!$B$2:$B$255,0)),"?"))</f>
        <v/>
      </c>
      <c r="C556" s="9"/>
      <c r="D556" s="10" t="str">
        <f aca="false">IF(C556="","",IF(SUMPRODUCT(--ISNUMBER(SEARCH({"Nets","Wicket","Diamond","Softball","T-ball","Baseball","Netball","Tennis","Bocce","Pentaque","Petanque","Skate","Car Park","Pond","Bridle","Amphitheatre","Perimeter","Passive"},C556)))&gt;0,"no",IF(SUMPRODUCT(--ISNUMBER(SEARCH({"Cricket","Junior","Mini","Summer Football","Small"},C556)))&gt;0,"reduced",IF(SUMPRODUCT(--ISNUMBER(SEARCH({"Rugby","Football","League","Touch","Gaelic","Australian","Lacrosse","General Sport","Training Area","Ultimate"},C556)))&gt;0,"full","unknown"))))</f>
        <v/>
      </c>
      <c r="E556" s="9"/>
      <c r="F556" s="9"/>
      <c r="G556" s="9"/>
      <c r="H556" s="9"/>
      <c r="I556" s="12"/>
      <c r="J556" s="9"/>
      <c r="K556" s="9"/>
      <c r="L556" s="9"/>
      <c r="M556" s="9"/>
      <c r="N556" s="9"/>
      <c r="O556" s="13" t="str">
        <f aca="false">IF(C556="","",IF(N(M556)+N(N556)&lt;Settings!$C$9,"untested",M556/(M556+N556)))</f>
        <v/>
      </c>
      <c r="P556" s="9"/>
      <c r="Q556" s="9"/>
      <c r="R556" s="9"/>
      <c r="S556" s="12"/>
      <c r="T556" s="9"/>
      <c r="U556" s="9"/>
      <c r="V556" s="9"/>
      <c r="W556" s="10" t="str">
        <f aca="false">IF(C556="","",IF(OR(G556="training",G556="full"),"Yes",IF(G556="none","No","?")))</f>
        <v/>
      </c>
      <c r="X556" s="10" t="str">
        <f aca="false">IF(C556="","",IF(OR(E556="",E556="unknown"),D556,E556))</f>
        <v/>
      </c>
      <c r="Y556" s="10" t="str">
        <f aca="false">IF(C556="","",IF(OR(T556="unsuitable",T556="retired",X556="no"),"—",IF(J556="","unrated",IF(AND(X556="full",J556&gt;=Settings!$C$5,OR(O556="untested",O556&gt;=Settings!$C$6)),"A",IF(AND(OR(X556="full",X556="reduced"),J556&gt;=Settings!$C$7,OR(O556="untested",O556&gt;=Settings!$C$8)),"B","C")))))</f>
        <v/>
      </c>
      <c r="Z556" s="11" t="str">
        <f aca="false">IF(C556="","",IF(P556&lt;&gt;"",P556,Y556))</f>
        <v/>
      </c>
    </row>
    <row r="557" customFormat="false" ht="15" hidden="false" customHeight="false" outlineLevel="0" collapsed="false">
      <c r="A557" s="9"/>
      <c r="B557" s="10" t="str">
        <f aca="false">IF(A557="","",IFERROR(INDEX(Parks!$A$2:$A$255,MATCH(A557,Parks!$B$2:$B$255,0)),"?"))</f>
        <v/>
      </c>
      <c r="C557" s="9"/>
      <c r="D557" s="10" t="str">
        <f aca="false">IF(C557="","",IF(SUMPRODUCT(--ISNUMBER(SEARCH({"Nets","Wicket","Diamond","Softball","T-ball","Baseball","Netball","Tennis","Bocce","Pentaque","Petanque","Skate","Car Park","Pond","Bridle","Amphitheatre","Perimeter","Passive"},C557)))&gt;0,"no",IF(SUMPRODUCT(--ISNUMBER(SEARCH({"Cricket","Junior","Mini","Summer Football","Small"},C557)))&gt;0,"reduced",IF(SUMPRODUCT(--ISNUMBER(SEARCH({"Rugby","Football","League","Touch","Gaelic","Australian","Lacrosse","General Sport","Training Area","Ultimate"},C557)))&gt;0,"full","unknown"))))</f>
        <v/>
      </c>
      <c r="E557" s="9"/>
      <c r="F557" s="9"/>
      <c r="G557" s="9"/>
      <c r="H557" s="9"/>
      <c r="I557" s="12"/>
      <c r="J557" s="9"/>
      <c r="K557" s="9"/>
      <c r="L557" s="9"/>
      <c r="M557" s="9"/>
      <c r="N557" s="9"/>
      <c r="O557" s="13" t="str">
        <f aca="false">IF(C557="","",IF(N(M557)+N(N557)&lt;Settings!$C$9,"untested",M557/(M557+N557)))</f>
        <v/>
      </c>
      <c r="P557" s="9"/>
      <c r="Q557" s="9"/>
      <c r="R557" s="9"/>
      <c r="S557" s="12"/>
      <c r="T557" s="9"/>
      <c r="U557" s="9"/>
      <c r="V557" s="9"/>
      <c r="W557" s="10" t="str">
        <f aca="false">IF(C557="","",IF(OR(G557="training",G557="full"),"Yes",IF(G557="none","No","?")))</f>
        <v/>
      </c>
      <c r="X557" s="10" t="str">
        <f aca="false">IF(C557="","",IF(OR(E557="",E557="unknown"),D557,E557))</f>
        <v/>
      </c>
      <c r="Y557" s="10" t="str">
        <f aca="false">IF(C557="","",IF(OR(T557="unsuitable",T557="retired",X557="no"),"—",IF(J557="","unrated",IF(AND(X557="full",J557&gt;=Settings!$C$5,OR(O557="untested",O557&gt;=Settings!$C$6)),"A",IF(AND(OR(X557="full",X557="reduced"),J557&gt;=Settings!$C$7,OR(O557="untested",O557&gt;=Settings!$C$8)),"B","C")))))</f>
        <v/>
      </c>
      <c r="Z557" s="11" t="str">
        <f aca="false">IF(C557="","",IF(P557&lt;&gt;"",P557,Y557))</f>
        <v/>
      </c>
    </row>
    <row r="558" customFormat="false" ht="15" hidden="false" customHeight="false" outlineLevel="0" collapsed="false">
      <c r="A558" s="9"/>
      <c r="B558" s="10" t="str">
        <f aca="false">IF(A558="","",IFERROR(INDEX(Parks!$A$2:$A$255,MATCH(A558,Parks!$B$2:$B$255,0)),"?"))</f>
        <v/>
      </c>
      <c r="C558" s="9"/>
      <c r="D558" s="10" t="str">
        <f aca="false">IF(C558="","",IF(SUMPRODUCT(--ISNUMBER(SEARCH({"Nets","Wicket","Diamond","Softball","T-ball","Baseball","Netball","Tennis","Bocce","Pentaque","Petanque","Skate","Car Park","Pond","Bridle","Amphitheatre","Perimeter","Passive"},C558)))&gt;0,"no",IF(SUMPRODUCT(--ISNUMBER(SEARCH({"Cricket","Junior","Mini","Summer Football","Small"},C558)))&gt;0,"reduced",IF(SUMPRODUCT(--ISNUMBER(SEARCH({"Rugby","Football","League","Touch","Gaelic","Australian","Lacrosse","General Sport","Training Area","Ultimate"},C558)))&gt;0,"full","unknown"))))</f>
        <v/>
      </c>
      <c r="E558" s="9"/>
      <c r="F558" s="9"/>
      <c r="G558" s="9"/>
      <c r="H558" s="9"/>
      <c r="I558" s="12"/>
      <c r="J558" s="9"/>
      <c r="K558" s="9"/>
      <c r="L558" s="9"/>
      <c r="M558" s="9"/>
      <c r="N558" s="9"/>
      <c r="O558" s="13" t="str">
        <f aca="false">IF(C558="","",IF(N(M558)+N(N558)&lt;Settings!$C$9,"untested",M558/(M558+N558)))</f>
        <v/>
      </c>
      <c r="P558" s="9"/>
      <c r="Q558" s="9"/>
      <c r="R558" s="9"/>
      <c r="S558" s="12"/>
      <c r="T558" s="9"/>
      <c r="U558" s="9"/>
      <c r="V558" s="9"/>
      <c r="W558" s="10" t="str">
        <f aca="false">IF(C558="","",IF(OR(G558="training",G558="full"),"Yes",IF(G558="none","No","?")))</f>
        <v/>
      </c>
      <c r="X558" s="10" t="str">
        <f aca="false">IF(C558="","",IF(OR(E558="",E558="unknown"),D558,E558))</f>
        <v/>
      </c>
      <c r="Y558" s="10" t="str">
        <f aca="false">IF(C558="","",IF(OR(T558="unsuitable",T558="retired",X558="no"),"—",IF(J558="","unrated",IF(AND(X558="full",J558&gt;=Settings!$C$5,OR(O558="untested",O558&gt;=Settings!$C$6)),"A",IF(AND(OR(X558="full",X558="reduced"),J558&gt;=Settings!$C$7,OR(O558="untested",O558&gt;=Settings!$C$8)),"B","C")))))</f>
        <v/>
      </c>
      <c r="Z558" s="11" t="str">
        <f aca="false">IF(C558="","",IF(P558&lt;&gt;"",P558,Y558))</f>
        <v/>
      </c>
    </row>
    <row r="559" customFormat="false" ht="15" hidden="false" customHeight="false" outlineLevel="0" collapsed="false">
      <c r="A559" s="9"/>
      <c r="B559" s="10" t="str">
        <f aca="false">IF(A559="","",IFERROR(INDEX(Parks!$A$2:$A$255,MATCH(A559,Parks!$B$2:$B$255,0)),"?"))</f>
        <v/>
      </c>
      <c r="C559" s="9"/>
      <c r="D559" s="10" t="str">
        <f aca="false">IF(C559="","",IF(SUMPRODUCT(--ISNUMBER(SEARCH({"Nets","Wicket","Diamond","Softball","T-ball","Baseball","Netball","Tennis","Bocce","Pentaque","Petanque","Skate","Car Park","Pond","Bridle","Amphitheatre","Perimeter","Passive"},C559)))&gt;0,"no",IF(SUMPRODUCT(--ISNUMBER(SEARCH({"Cricket","Junior","Mini","Summer Football","Small"},C559)))&gt;0,"reduced",IF(SUMPRODUCT(--ISNUMBER(SEARCH({"Rugby","Football","League","Touch","Gaelic","Australian","Lacrosse","General Sport","Training Area","Ultimate"},C559)))&gt;0,"full","unknown"))))</f>
        <v/>
      </c>
      <c r="E559" s="9"/>
      <c r="F559" s="9"/>
      <c r="G559" s="9"/>
      <c r="H559" s="9"/>
      <c r="I559" s="12"/>
      <c r="J559" s="9"/>
      <c r="K559" s="9"/>
      <c r="L559" s="9"/>
      <c r="M559" s="9"/>
      <c r="N559" s="9"/>
      <c r="O559" s="13" t="str">
        <f aca="false">IF(C559="","",IF(N(M559)+N(N559)&lt;Settings!$C$9,"untested",M559/(M559+N559)))</f>
        <v/>
      </c>
      <c r="P559" s="9"/>
      <c r="Q559" s="9"/>
      <c r="R559" s="9"/>
      <c r="S559" s="12"/>
      <c r="T559" s="9"/>
      <c r="U559" s="9"/>
      <c r="V559" s="9"/>
      <c r="W559" s="10" t="str">
        <f aca="false">IF(C559="","",IF(OR(G559="training",G559="full"),"Yes",IF(G559="none","No","?")))</f>
        <v/>
      </c>
      <c r="X559" s="10" t="str">
        <f aca="false">IF(C559="","",IF(OR(E559="",E559="unknown"),D559,E559))</f>
        <v/>
      </c>
      <c r="Y559" s="10" t="str">
        <f aca="false">IF(C559="","",IF(OR(T559="unsuitable",T559="retired",X559="no"),"—",IF(J559="","unrated",IF(AND(X559="full",J559&gt;=Settings!$C$5,OR(O559="untested",O559&gt;=Settings!$C$6)),"A",IF(AND(OR(X559="full",X559="reduced"),J559&gt;=Settings!$C$7,OR(O559="untested",O559&gt;=Settings!$C$8)),"B","C")))))</f>
        <v/>
      </c>
      <c r="Z559" s="11" t="str">
        <f aca="false">IF(C559="","",IF(P559&lt;&gt;"",P559,Y559))</f>
        <v/>
      </c>
    </row>
    <row r="560" customFormat="false" ht="15" hidden="false" customHeight="false" outlineLevel="0" collapsed="false">
      <c r="A560" s="9"/>
      <c r="B560" s="10" t="str">
        <f aca="false">IF(A560="","",IFERROR(INDEX(Parks!$A$2:$A$255,MATCH(A560,Parks!$B$2:$B$255,0)),"?"))</f>
        <v/>
      </c>
      <c r="C560" s="9"/>
      <c r="D560" s="10" t="str">
        <f aca="false">IF(C560="","",IF(SUMPRODUCT(--ISNUMBER(SEARCH({"Nets","Wicket","Diamond","Softball","T-ball","Baseball","Netball","Tennis","Bocce","Pentaque","Petanque","Skate","Car Park","Pond","Bridle","Amphitheatre","Perimeter","Passive"},C560)))&gt;0,"no",IF(SUMPRODUCT(--ISNUMBER(SEARCH({"Cricket","Junior","Mini","Summer Football","Small"},C560)))&gt;0,"reduced",IF(SUMPRODUCT(--ISNUMBER(SEARCH({"Rugby","Football","League","Touch","Gaelic","Australian","Lacrosse","General Sport","Training Area","Ultimate"},C560)))&gt;0,"full","unknown"))))</f>
        <v/>
      </c>
      <c r="E560" s="9"/>
      <c r="F560" s="9"/>
      <c r="G560" s="9"/>
      <c r="H560" s="9"/>
      <c r="I560" s="12"/>
      <c r="J560" s="9"/>
      <c r="K560" s="9"/>
      <c r="L560" s="9"/>
      <c r="M560" s="9"/>
      <c r="N560" s="9"/>
      <c r="O560" s="13" t="str">
        <f aca="false">IF(C560="","",IF(N(M560)+N(N560)&lt;Settings!$C$9,"untested",M560/(M560+N560)))</f>
        <v/>
      </c>
      <c r="P560" s="9"/>
      <c r="Q560" s="9"/>
      <c r="R560" s="9"/>
      <c r="S560" s="12"/>
      <c r="T560" s="9"/>
      <c r="U560" s="9"/>
      <c r="V560" s="9"/>
      <c r="W560" s="10" t="str">
        <f aca="false">IF(C560="","",IF(OR(G560="training",G560="full"),"Yes",IF(G560="none","No","?")))</f>
        <v/>
      </c>
      <c r="X560" s="10" t="str">
        <f aca="false">IF(C560="","",IF(OR(E560="",E560="unknown"),D560,E560))</f>
        <v/>
      </c>
      <c r="Y560" s="10" t="str">
        <f aca="false">IF(C560="","",IF(OR(T560="unsuitable",T560="retired",X560="no"),"—",IF(J560="","unrated",IF(AND(X560="full",J560&gt;=Settings!$C$5,OR(O560="untested",O560&gt;=Settings!$C$6)),"A",IF(AND(OR(X560="full",X560="reduced"),J560&gt;=Settings!$C$7,OR(O560="untested",O560&gt;=Settings!$C$8)),"B","C")))))</f>
        <v/>
      </c>
      <c r="Z560" s="11" t="str">
        <f aca="false">IF(C560="","",IF(P560&lt;&gt;"",P560,Y560))</f>
        <v/>
      </c>
    </row>
    <row r="561" customFormat="false" ht="15" hidden="false" customHeight="false" outlineLevel="0" collapsed="false">
      <c r="A561" s="9"/>
      <c r="B561" s="10" t="str">
        <f aca="false">IF(A561="","",IFERROR(INDEX(Parks!$A$2:$A$255,MATCH(A561,Parks!$B$2:$B$255,0)),"?"))</f>
        <v/>
      </c>
      <c r="C561" s="9"/>
      <c r="D561" s="10" t="str">
        <f aca="false">IF(C561="","",IF(SUMPRODUCT(--ISNUMBER(SEARCH({"Nets","Wicket","Diamond","Softball","T-ball","Baseball","Netball","Tennis","Bocce","Pentaque","Petanque","Skate","Car Park","Pond","Bridle","Amphitheatre","Perimeter","Passive"},C561)))&gt;0,"no",IF(SUMPRODUCT(--ISNUMBER(SEARCH({"Cricket","Junior","Mini","Summer Football","Small"},C561)))&gt;0,"reduced",IF(SUMPRODUCT(--ISNUMBER(SEARCH({"Rugby","Football","League","Touch","Gaelic","Australian","Lacrosse","General Sport","Training Area","Ultimate"},C561)))&gt;0,"full","unknown"))))</f>
        <v/>
      </c>
      <c r="E561" s="9"/>
      <c r="F561" s="9"/>
      <c r="G561" s="9"/>
      <c r="H561" s="9"/>
      <c r="I561" s="12"/>
      <c r="J561" s="9"/>
      <c r="K561" s="9"/>
      <c r="L561" s="9"/>
      <c r="M561" s="9"/>
      <c r="N561" s="9"/>
      <c r="O561" s="13" t="str">
        <f aca="false">IF(C561="","",IF(N(M561)+N(N561)&lt;Settings!$C$9,"untested",M561/(M561+N561)))</f>
        <v/>
      </c>
      <c r="P561" s="9"/>
      <c r="Q561" s="9"/>
      <c r="R561" s="9"/>
      <c r="S561" s="12"/>
      <c r="T561" s="9"/>
      <c r="U561" s="9"/>
      <c r="V561" s="9"/>
      <c r="W561" s="10" t="str">
        <f aca="false">IF(C561="","",IF(OR(G561="training",G561="full"),"Yes",IF(G561="none","No","?")))</f>
        <v/>
      </c>
      <c r="X561" s="10" t="str">
        <f aca="false">IF(C561="","",IF(OR(E561="",E561="unknown"),D561,E561))</f>
        <v/>
      </c>
      <c r="Y561" s="10" t="str">
        <f aca="false">IF(C561="","",IF(OR(T561="unsuitable",T561="retired",X561="no"),"—",IF(J561="","unrated",IF(AND(X561="full",J561&gt;=Settings!$C$5,OR(O561="untested",O561&gt;=Settings!$C$6)),"A",IF(AND(OR(X561="full",X561="reduced"),J561&gt;=Settings!$C$7,OR(O561="untested",O561&gt;=Settings!$C$8)),"B","C")))))</f>
        <v/>
      </c>
      <c r="Z561" s="11" t="str">
        <f aca="false">IF(C561="","",IF(P561&lt;&gt;"",P561,Y561))</f>
        <v/>
      </c>
    </row>
    <row r="562" customFormat="false" ht="15" hidden="false" customHeight="false" outlineLevel="0" collapsed="false">
      <c r="A562" s="9"/>
      <c r="B562" s="10" t="str">
        <f aca="false">IF(A562="","",IFERROR(INDEX(Parks!$A$2:$A$255,MATCH(A562,Parks!$B$2:$B$255,0)),"?"))</f>
        <v/>
      </c>
      <c r="C562" s="9"/>
      <c r="D562" s="10" t="str">
        <f aca="false">IF(C562="","",IF(SUMPRODUCT(--ISNUMBER(SEARCH({"Nets","Wicket","Diamond","Softball","T-ball","Baseball","Netball","Tennis","Bocce","Pentaque","Petanque","Skate","Car Park","Pond","Bridle","Amphitheatre","Perimeter","Passive"},C562)))&gt;0,"no",IF(SUMPRODUCT(--ISNUMBER(SEARCH({"Cricket","Junior","Mini","Summer Football","Small"},C562)))&gt;0,"reduced",IF(SUMPRODUCT(--ISNUMBER(SEARCH({"Rugby","Football","League","Touch","Gaelic","Australian","Lacrosse","General Sport","Training Area","Ultimate"},C562)))&gt;0,"full","unknown"))))</f>
        <v/>
      </c>
      <c r="E562" s="9"/>
      <c r="F562" s="9"/>
      <c r="G562" s="9"/>
      <c r="H562" s="9"/>
      <c r="I562" s="12"/>
      <c r="J562" s="9"/>
      <c r="K562" s="9"/>
      <c r="L562" s="9"/>
      <c r="M562" s="9"/>
      <c r="N562" s="9"/>
      <c r="O562" s="13" t="str">
        <f aca="false">IF(C562="","",IF(N(M562)+N(N562)&lt;Settings!$C$9,"untested",M562/(M562+N562)))</f>
        <v/>
      </c>
      <c r="P562" s="9"/>
      <c r="Q562" s="9"/>
      <c r="R562" s="9"/>
      <c r="S562" s="12"/>
      <c r="T562" s="9"/>
      <c r="U562" s="9"/>
      <c r="V562" s="9"/>
      <c r="W562" s="10" t="str">
        <f aca="false">IF(C562="","",IF(OR(G562="training",G562="full"),"Yes",IF(G562="none","No","?")))</f>
        <v/>
      </c>
      <c r="X562" s="10" t="str">
        <f aca="false">IF(C562="","",IF(OR(E562="",E562="unknown"),D562,E562))</f>
        <v/>
      </c>
      <c r="Y562" s="10" t="str">
        <f aca="false">IF(C562="","",IF(OR(T562="unsuitable",T562="retired",X562="no"),"—",IF(J562="","unrated",IF(AND(X562="full",J562&gt;=Settings!$C$5,OR(O562="untested",O562&gt;=Settings!$C$6)),"A",IF(AND(OR(X562="full",X562="reduced"),J562&gt;=Settings!$C$7,OR(O562="untested",O562&gt;=Settings!$C$8)),"B","C")))))</f>
        <v/>
      </c>
      <c r="Z562" s="11" t="str">
        <f aca="false">IF(C562="","",IF(P562&lt;&gt;"",P562,Y562))</f>
        <v/>
      </c>
    </row>
    <row r="563" customFormat="false" ht="15" hidden="false" customHeight="false" outlineLevel="0" collapsed="false">
      <c r="A563" s="9"/>
      <c r="B563" s="10" t="str">
        <f aca="false">IF(A563="","",IFERROR(INDEX(Parks!$A$2:$A$255,MATCH(A563,Parks!$B$2:$B$255,0)),"?"))</f>
        <v/>
      </c>
      <c r="C563" s="9"/>
      <c r="D563" s="10" t="str">
        <f aca="false">IF(C563="","",IF(SUMPRODUCT(--ISNUMBER(SEARCH({"Nets","Wicket","Diamond","Softball","T-ball","Baseball","Netball","Tennis","Bocce","Pentaque","Petanque","Skate","Car Park","Pond","Bridle","Amphitheatre","Perimeter","Passive"},C563)))&gt;0,"no",IF(SUMPRODUCT(--ISNUMBER(SEARCH({"Cricket","Junior","Mini","Summer Football","Small"},C563)))&gt;0,"reduced",IF(SUMPRODUCT(--ISNUMBER(SEARCH({"Rugby","Football","League","Touch","Gaelic","Australian","Lacrosse","General Sport","Training Area","Ultimate"},C563)))&gt;0,"full","unknown"))))</f>
        <v/>
      </c>
      <c r="E563" s="9"/>
      <c r="F563" s="9"/>
      <c r="G563" s="9"/>
      <c r="H563" s="9"/>
      <c r="I563" s="12"/>
      <c r="J563" s="9"/>
      <c r="K563" s="9"/>
      <c r="L563" s="9"/>
      <c r="M563" s="9"/>
      <c r="N563" s="9"/>
      <c r="O563" s="13" t="str">
        <f aca="false">IF(C563="","",IF(N(M563)+N(N563)&lt;Settings!$C$9,"untested",M563/(M563+N563)))</f>
        <v/>
      </c>
      <c r="P563" s="9"/>
      <c r="Q563" s="9"/>
      <c r="R563" s="9"/>
      <c r="S563" s="12"/>
      <c r="T563" s="9"/>
      <c r="U563" s="9"/>
      <c r="V563" s="9"/>
      <c r="W563" s="10" t="str">
        <f aca="false">IF(C563="","",IF(OR(G563="training",G563="full"),"Yes",IF(G563="none","No","?")))</f>
        <v/>
      </c>
      <c r="X563" s="10" t="str">
        <f aca="false">IF(C563="","",IF(OR(E563="",E563="unknown"),D563,E563))</f>
        <v/>
      </c>
      <c r="Y563" s="10" t="str">
        <f aca="false">IF(C563="","",IF(OR(T563="unsuitable",T563="retired",X563="no"),"—",IF(J563="","unrated",IF(AND(X563="full",J563&gt;=Settings!$C$5,OR(O563="untested",O563&gt;=Settings!$C$6)),"A",IF(AND(OR(X563="full",X563="reduced"),J563&gt;=Settings!$C$7,OR(O563="untested",O563&gt;=Settings!$C$8)),"B","C")))))</f>
        <v/>
      </c>
      <c r="Z563" s="11" t="str">
        <f aca="false">IF(C563="","",IF(P563&lt;&gt;"",P563,Y563))</f>
        <v/>
      </c>
    </row>
    <row r="564" customFormat="false" ht="15" hidden="false" customHeight="false" outlineLevel="0" collapsed="false">
      <c r="A564" s="9"/>
      <c r="B564" s="10" t="str">
        <f aca="false">IF(A564="","",IFERROR(INDEX(Parks!$A$2:$A$255,MATCH(A564,Parks!$B$2:$B$255,0)),"?"))</f>
        <v/>
      </c>
      <c r="C564" s="9"/>
      <c r="D564" s="10" t="str">
        <f aca="false">IF(C564="","",IF(SUMPRODUCT(--ISNUMBER(SEARCH({"Nets","Wicket","Diamond","Softball","T-ball","Baseball","Netball","Tennis","Bocce","Pentaque","Petanque","Skate","Car Park","Pond","Bridle","Amphitheatre","Perimeter","Passive"},C564)))&gt;0,"no",IF(SUMPRODUCT(--ISNUMBER(SEARCH({"Cricket","Junior","Mini","Summer Football","Small"},C564)))&gt;0,"reduced",IF(SUMPRODUCT(--ISNUMBER(SEARCH({"Rugby","Football","League","Touch","Gaelic","Australian","Lacrosse","General Sport","Training Area","Ultimate"},C564)))&gt;0,"full","unknown"))))</f>
        <v/>
      </c>
      <c r="E564" s="9"/>
      <c r="F564" s="9"/>
      <c r="G564" s="9"/>
      <c r="H564" s="9"/>
      <c r="I564" s="12"/>
      <c r="J564" s="9"/>
      <c r="K564" s="9"/>
      <c r="L564" s="9"/>
      <c r="M564" s="9"/>
      <c r="N564" s="9"/>
      <c r="O564" s="13" t="str">
        <f aca="false">IF(C564="","",IF(N(M564)+N(N564)&lt;Settings!$C$9,"untested",M564/(M564+N564)))</f>
        <v/>
      </c>
      <c r="P564" s="9"/>
      <c r="Q564" s="9"/>
      <c r="R564" s="9"/>
      <c r="S564" s="12"/>
      <c r="T564" s="9"/>
      <c r="U564" s="9"/>
      <c r="V564" s="9"/>
      <c r="W564" s="10" t="str">
        <f aca="false">IF(C564="","",IF(OR(G564="training",G564="full"),"Yes",IF(G564="none","No","?")))</f>
        <v/>
      </c>
      <c r="X564" s="10" t="str">
        <f aca="false">IF(C564="","",IF(OR(E564="",E564="unknown"),D564,E564))</f>
        <v/>
      </c>
      <c r="Y564" s="10" t="str">
        <f aca="false">IF(C564="","",IF(OR(T564="unsuitable",T564="retired",X564="no"),"—",IF(J564="","unrated",IF(AND(X564="full",J564&gt;=Settings!$C$5,OR(O564="untested",O564&gt;=Settings!$C$6)),"A",IF(AND(OR(X564="full",X564="reduced"),J564&gt;=Settings!$C$7,OR(O564="untested",O564&gt;=Settings!$C$8)),"B","C")))))</f>
        <v/>
      </c>
      <c r="Z564" s="11" t="str">
        <f aca="false">IF(C564="","",IF(P564&lt;&gt;"",P564,Y564))</f>
        <v/>
      </c>
    </row>
    <row r="565" customFormat="false" ht="15" hidden="false" customHeight="false" outlineLevel="0" collapsed="false">
      <c r="A565" s="9"/>
      <c r="B565" s="10" t="str">
        <f aca="false">IF(A565="","",IFERROR(INDEX(Parks!$A$2:$A$255,MATCH(A565,Parks!$B$2:$B$255,0)),"?"))</f>
        <v/>
      </c>
      <c r="C565" s="9"/>
      <c r="D565" s="10" t="str">
        <f aca="false">IF(C565="","",IF(SUMPRODUCT(--ISNUMBER(SEARCH({"Nets","Wicket","Diamond","Softball","T-ball","Baseball","Netball","Tennis","Bocce","Pentaque","Petanque","Skate","Car Park","Pond","Bridle","Amphitheatre","Perimeter","Passive"},C565)))&gt;0,"no",IF(SUMPRODUCT(--ISNUMBER(SEARCH({"Cricket","Junior","Mini","Summer Football","Small"},C565)))&gt;0,"reduced",IF(SUMPRODUCT(--ISNUMBER(SEARCH({"Rugby","Football","League","Touch","Gaelic","Australian","Lacrosse","General Sport","Training Area","Ultimate"},C565)))&gt;0,"full","unknown"))))</f>
        <v/>
      </c>
      <c r="E565" s="9"/>
      <c r="F565" s="9"/>
      <c r="G565" s="9"/>
      <c r="H565" s="9"/>
      <c r="I565" s="12"/>
      <c r="J565" s="9"/>
      <c r="K565" s="9"/>
      <c r="L565" s="9"/>
      <c r="M565" s="9"/>
      <c r="N565" s="9"/>
      <c r="O565" s="13" t="str">
        <f aca="false">IF(C565="","",IF(N(M565)+N(N565)&lt;Settings!$C$9,"untested",M565/(M565+N565)))</f>
        <v/>
      </c>
      <c r="P565" s="9"/>
      <c r="Q565" s="9"/>
      <c r="R565" s="9"/>
      <c r="S565" s="12"/>
      <c r="T565" s="9"/>
      <c r="U565" s="9"/>
      <c r="V565" s="9"/>
      <c r="W565" s="10" t="str">
        <f aca="false">IF(C565="","",IF(OR(G565="training",G565="full"),"Yes",IF(G565="none","No","?")))</f>
        <v/>
      </c>
      <c r="X565" s="10" t="str">
        <f aca="false">IF(C565="","",IF(OR(E565="",E565="unknown"),D565,E565))</f>
        <v/>
      </c>
      <c r="Y565" s="10" t="str">
        <f aca="false">IF(C565="","",IF(OR(T565="unsuitable",T565="retired",X565="no"),"—",IF(J565="","unrated",IF(AND(X565="full",J565&gt;=Settings!$C$5,OR(O565="untested",O565&gt;=Settings!$C$6)),"A",IF(AND(OR(X565="full",X565="reduced"),J565&gt;=Settings!$C$7,OR(O565="untested",O565&gt;=Settings!$C$8)),"B","C")))))</f>
        <v/>
      </c>
      <c r="Z565" s="11" t="str">
        <f aca="false">IF(C565="","",IF(P565&lt;&gt;"",P565,Y565))</f>
        <v/>
      </c>
    </row>
    <row r="566" customFormat="false" ht="15" hidden="false" customHeight="false" outlineLevel="0" collapsed="false">
      <c r="A566" s="9"/>
      <c r="B566" s="10" t="str">
        <f aca="false">IF(A566="","",IFERROR(INDEX(Parks!$A$2:$A$255,MATCH(A566,Parks!$B$2:$B$255,0)),"?"))</f>
        <v/>
      </c>
      <c r="C566" s="9"/>
      <c r="D566" s="10" t="str">
        <f aca="false">IF(C566="","",IF(SUMPRODUCT(--ISNUMBER(SEARCH({"Nets","Wicket","Diamond","Softball","T-ball","Baseball","Netball","Tennis","Bocce","Pentaque","Petanque","Skate","Car Park","Pond","Bridle","Amphitheatre","Perimeter","Passive"},C566)))&gt;0,"no",IF(SUMPRODUCT(--ISNUMBER(SEARCH({"Cricket","Junior","Mini","Summer Football","Small"},C566)))&gt;0,"reduced",IF(SUMPRODUCT(--ISNUMBER(SEARCH({"Rugby","Football","League","Touch","Gaelic","Australian","Lacrosse","General Sport","Training Area","Ultimate"},C566)))&gt;0,"full","unknown"))))</f>
        <v/>
      </c>
      <c r="E566" s="9"/>
      <c r="F566" s="9"/>
      <c r="G566" s="9"/>
      <c r="H566" s="9"/>
      <c r="I566" s="12"/>
      <c r="J566" s="9"/>
      <c r="K566" s="9"/>
      <c r="L566" s="9"/>
      <c r="M566" s="9"/>
      <c r="N566" s="9"/>
      <c r="O566" s="13" t="str">
        <f aca="false">IF(C566="","",IF(N(M566)+N(N566)&lt;Settings!$C$9,"untested",M566/(M566+N566)))</f>
        <v/>
      </c>
      <c r="P566" s="9"/>
      <c r="Q566" s="9"/>
      <c r="R566" s="9"/>
      <c r="S566" s="12"/>
      <c r="T566" s="9"/>
      <c r="U566" s="9"/>
      <c r="V566" s="9"/>
      <c r="W566" s="10" t="str">
        <f aca="false">IF(C566="","",IF(OR(G566="training",G566="full"),"Yes",IF(G566="none","No","?")))</f>
        <v/>
      </c>
      <c r="X566" s="10" t="str">
        <f aca="false">IF(C566="","",IF(OR(E566="",E566="unknown"),D566,E566))</f>
        <v/>
      </c>
      <c r="Y566" s="10" t="str">
        <f aca="false">IF(C566="","",IF(OR(T566="unsuitable",T566="retired",X566="no"),"—",IF(J566="","unrated",IF(AND(X566="full",J566&gt;=Settings!$C$5,OR(O566="untested",O566&gt;=Settings!$C$6)),"A",IF(AND(OR(X566="full",X566="reduced"),J566&gt;=Settings!$C$7,OR(O566="untested",O566&gt;=Settings!$C$8)),"B","C")))))</f>
        <v/>
      </c>
      <c r="Z566" s="11" t="str">
        <f aca="false">IF(C566="","",IF(P566&lt;&gt;"",P566,Y566))</f>
        <v/>
      </c>
    </row>
    <row r="567" customFormat="false" ht="15" hidden="false" customHeight="false" outlineLevel="0" collapsed="false">
      <c r="A567" s="9"/>
      <c r="B567" s="10" t="str">
        <f aca="false">IF(A567="","",IFERROR(INDEX(Parks!$A$2:$A$255,MATCH(A567,Parks!$B$2:$B$255,0)),"?"))</f>
        <v/>
      </c>
      <c r="C567" s="9"/>
      <c r="D567" s="10" t="str">
        <f aca="false">IF(C567="","",IF(SUMPRODUCT(--ISNUMBER(SEARCH({"Nets","Wicket","Diamond","Softball","T-ball","Baseball","Netball","Tennis","Bocce","Pentaque","Petanque","Skate","Car Park","Pond","Bridle","Amphitheatre","Perimeter","Passive"},C567)))&gt;0,"no",IF(SUMPRODUCT(--ISNUMBER(SEARCH({"Cricket","Junior","Mini","Summer Football","Small"},C567)))&gt;0,"reduced",IF(SUMPRODUCT(--ISNUMBER(SEARCH({"Rugby","Football","League","Touch","Gaelic","Australian","Lacrosse","General Sport","Training Area","Ultimate"},C567)))&gt;0,"full","unknown"))))</f>
        <v/>
      </c>
      <c r="E567" s="9"/>
      <c r="F567" s="9"/>
      <c r="G567" s="9"/>
      <c r="H567" s="9"/>
      <c r="I567" s="12"/>
      <c r="J567" s="9"/>
      <c r="K567" s="9"/>
      <c r="L567" s="9"/>
      <c r="M567" s="9"/>
      <c r="N567" s="9"/>
      <c r="O567" s="13" t="str">
        <f aca="false">IF(C567="","",IF(N(M567)+N(N567)&lt;Settings!$C$9,"untested",M567/(M567+N567)))</f>
        <v/>
      </c>
      <c r="P567" s="9"/>
      <c r="Q567" s="9"/>
      <c r="R567" s="9"/>
      <c r="S567" s="12"/>
      <c r="T567" s="9"/>
      <c r="U567" s="9"/>
      <c r="V567" s="9"/>
      <c r="W567" s="10" t="str">
        <f aca="false">IF(C567="","",IF(OR(G567="training",G567="full"),"Yes",IF(G567="none","No","?")))</f>
        <v/>
      </c>
      <c r="X567" s="10" t="str">
        <f aca="false">IF(C567="","",IF(OR(E567="",E567="unknown"),D567,E567))</f>
        <v/>
      </c>
      <c r="Y567" s="10" t="str">
        <f aca="false">IF(C567="","",IF(OR(T567="unsuitable",T567="retired",X567="no"),"—",IF(J567="","unrated",IF(AND(X567="full",J567&gt;=Settings!$C$5,OR(O567="untested",O567&gt;=Settings!$C$6)),"A",IF(AND(OR(X567="full",X567="reduced"),J567&gt;=Settings!$C$7,OR(O567="untested",O567&gt;=Settings!$C$8)),"B","C")))))</f>
        <v/>
      </c>
      <c r="Z567" s="11" t="str">
        <f aca="false">IF(C567="","",IF(P567&lt;&gt;"",P567,Y567))</f>
        <v/>
      </c>
    </row>
    <row r="568" customFormat="false" ht="15" hidden="false" customHeight="false" outlineLevel="0" collapsed="false">
      <c r="A568" s="9"/>
      <c r="B568" s="10" t="str">
        <f aca="false">IF(A568="","",IFERROR(INDEX(Parks!$A$2:$A$255,MATCH(A568,Parks!$B$2:$B$255,0)),"?"))</f>
        <v/>
      </c>
      <c r="C568" s="9"/>
      <c r="D568" s="10" t="str">
        <f aca="false">IF(C568="","",IF(SUMPRODUCT(--ISNUMBER(SEARCH({"Nets","Wicket","Diamond","Softball","T-ball","Baseball","Netball","Tennis","Bocce","Pentaque","Petanque","Skate","Car Park","Pond","Bridle","Amphitheatre","Perimeter","Passive"},C568)))&gt;0,"no",IF(SUMPRODUCT(--ISNUMBER(SEARCH({"Cricket","Junior","Mini","Summer Football","Small"},C568)))&gt;0,"reduced",IF(SUMPRODUCT(--ISNUMBER(SEARCH({"Rugby","Football","League","Touch","Gaelic","Australian","Lacrosse","General Sport","Training Area","Ultimate"},C568)))&gt;0,"full","unknown"))))</f>
        <v/>
      </c>
      <c r="E568" s="9"/>
      <c r="F568" s="9"/>
      <c r="G568" s="9"/>
      <c r="H568" s="9"/>
      <c r="I568" s="12"/>
      <c r="J568" s="9"/>
      <c r="K568" s="9"/>
      <c r="L568" s="9"/>
      <c r="M568" s="9"/>
      <c r="N568" s="9"/>
      <c r="O568" s="13" t="str">
        <f aca="false">IF(C568="","",IF(N(M568)+N(N568)&lt;Settings!$C$9,"untested",M568/(M568+N568)))</f>
        <v/>
      </c>
      <c r="P568" s="9"/>
      <c r="Q568" s="9"/>
      <c r="R568" s="9"/>
      <c r="S568" s="12"/>
      <c r="T568" s="9"/>
      <c r="U568" s="9"/>
      <c r="V568" s="9"/>
      <c r="W568" s="10" t="str">
        <f aca="false">IF(C568="","",IF(OR(G568="training",G568="full"),"Yes",IF(G568="none","No","?")))</f>
        <v/>
      </c>
      <c r="X568" s="10" t="str">
        <f aca="false">IF(C568="","",IF(OR(E568="",E568="unknown"),D568,E568))</f>
        <v/>
      </c>
      <c r="Y568" s="10" t="str">
        <f aca="false">IF(C568="","",IF(OR(T568="unsuitable",T568="retired",X568="no"),"—",IF(J568="","unrated",IF(AND(X568="full",J568&gt;=Settings!$C$5,OR(O568="untested",O568&gt;=Settings!$C$6)),"A",IF(AND(OR(X568="full",X568="reduced"),J568&gt;=Settings!$C$7,OR(O568="untested",O568&gt;=Settings!$C$8)),"B","C")))))</f>
        <v/>
      </c>
      <c r="Z568" s="11" t="str">
        <f aca="false">IF(C568="","",IF(P568&lt;&gt;"",P568,Y568))</f>
        <v/>
      </c>
    </row>
    <row r="569" customFormat="false" ht="15" hidden="false" customHeight="false" outlineLevel="0" collapsed="false">
      <c r="A569" s="9"/>
      <c r="B569" s="10" t="str">
        <f aca="false">IF(A569="","",IFERROR(INDEX(Parks!$A$2:$A$255,MATCH(A569,Parks!$B$2:$B$255,0)),"?"))</f>
        <v/>
      </c>
      <c r="C569" s="9"/>
      <c r="D569" s="10" t="str">
        <f aca="false">IF(C569="","",IF(SUMPRODUCT(--ISNUMBER(SEARCH({"Nets","Wicket","Diamond","Softball","T-ball","Baseball","Netball","Tennis","Bocce","Pentaque","Petanque","Skate","Car Park","Pond","Bridle","Amphitheatre","Perimeter","Passive"},C569)))&gt;0,"no",IF(SUMPRODUCT(--ISNUMBER(SEARCH({"Cricket","Junior","Mini","Summer Football","Small"},C569)))&gt;0,"reduced",IF(SUMPRODUCT(--ISNUMBER(SEARCH({"Rugby","Football","League","Touch","Gaelic","Australian","Lacrosse","General Sport","Training Area","Ultimate"},C569)))&gt;0,"full","unknown"))))</f>
        <v/>
      </c>
      <c r="E569" s="9"/>
      <c r="F569" s="9"/>
      <c r="G569" s="9"/>
      <c r="H569" s="9"/>
      <c r="I569" s="12"/>
      <c r="J569" s="9"/>
      <c r="K569" s="9"/>
      <c r="L569" s="9"/>
      <c r="M569" s="9"/>
      <c r="N569" s="9"/>
      <c r="O569" s="13" t="str">
        <f aca="false">IF(C569="","",IF(N(M569)+N(N569)&lt;Settings!$C$9,"untested",M569/(M569+N569)))</f>
        <v/>
      </c>
      <c r="P569" s="9"/>
      <c r="Q569" s="9"/>
      <c r="R569" s="9"/>
      <c r="S569" s="12"/>
      <c r="T569" s="9"/>
      <c r="U569" s="9"/>
      <c r="V569" s="9"/>
      <c r="W569" s="10" t="str">
        <f aca="false">IF(C569="","",IF(OR(G569="training",G569="full"),"Yes",IF(G569="none","No","?")))</f>
        <v/>
      </c>
      <c r="X569" s="10" t="str">
        <f aca="false">IF(C569="","",IF(OR(E569="",E569="unknown"),D569,E569))</f>
        <v/>
      </c>
      <c r="Y569" s="10" t="str">
        <f aca="false">IF(C569="","",IF(OR(T569="unsuitable",T569="retired",X569="no"),"—",IF(J569="","unrated",IF(AND(X569="full",J569&gt;=Settings!$C$5,OR(O569="untested",O569&gt;=Settings!$C$6)),"A",IF(AND(OR(X569="full",X569="reduced"),J569&gt;=Settings!$C$7,OR(O569="untested",O569&gt;=Settings!$C$8)),"B","C")))))</f>
        <v/>
      </c>
      <c r="Z569" s="11" t="str">
        <f aca="false">IF(C569="","",IF(P569&lt;&gt;"",P569,Y569))</f>
        <v/>
      </c>
    </row>
    <row r="570" customFormat="false" ht="15" hidden="false" customHeight="false" outlineLevel="0" collapsed="false">
      <c r="A570" s="9"/>
      <c r="B570" s="10" t="str">
        <f aca="false">IF(A570="","",IFERROR(INDEX(Parks!$A$2:$A$255,MATCH(A570,Parks!$B$2:$B$255,0)),"?"))</f>
        <v/>
      </c>
      <c r="C570" s="9"/>
      <c r="D570" s="10" t="str">
        <f aca="false">IF(C570="","",IF(SUMPRODUCT(--ISNUMBER(SEARCH({"Nets","Wicket","Diamond","Softball","T-ball","Baseball","Netball","Tennis","Bocce","Pentaque","Petanque","Skate","Car Park","Pond","Bridle","Amphitheatre","Perimeter","Passive"},C570)))&gt;0,"no",IF(SUMPRODUCT(--ISNUMBER(SEARCH({"Cricket","Junior","Mini","Summer Football","Small"},C570)))&gt;0,"reduced",IF(SUMPRODUCT(--ISNUMBER(SEARCH({"Rugby","Football","League","Touch","Gaelic","Australian","Lacrosse","General Sport","Training Area","Ultimate"},C570)))&gt;0,"full","unknown"))))</f>
        <v/>
      </c>
      <c r="E570" s="9"/>
      <c r="F570" s="9"/>
      <c r="G570" s="9"/>
      <c r="H570" s="9"/>
      <c r="I570" s="12"/>
      <c r="J570" s="9"/>
      <c r="K570" s="9"/>
      <c r="L570" s="9"/>
      <c r="M570" s="9"/>
      <c r="N570" s="9"/>
      <c r="O570" s="13" t="str">
        <f aca="false">IF(C570="","",IF(N(M570)+N(N570)&lt;Settings!$C$9,"untested",M570/(M570+N570)))</f>
        <v/>
      </c>
      <c r="P570" s="9"/>
      <c r="Q570" s="9"/>
      <c r="R570" s="9"/>
      <c r="S570" s="12"/>
      <c r="T570" s="9"/>
      <c r="U570" s="9"/>
      <c r="V570" s="9"/>
      <c r="W570" s="10" t="str">
        <f aca="false">IF(C570="","",IF(OR(G570="training",G570="full"),"Yes",IF(G570="none","No","?")))</f>
        <v/>
      </c>
      <c r="X570" s="10" t="str">
        <f aca="false">IF(C570="","",IF(OR(E570="",E570="unknown"),D570,E570))</f>
        <v/>
      </c>
      <c r="Y570" s="10" t="str">
        <f aca="false">IF(C570="","",IF(OR(T570="unsuitable",T570="retired",X570="no"),"—",IF(J570="","unrated",IF(AND(X570="full",J570&gt;=Settings!$C$5,OR(O570="untested",O570&gt;=Settings!$C$6)),"A",IF(AND(OR(X570="full",X570="reduced"),J570&gt;=Settings!$C$7,OR(O570="untested",O570&gt;=Settings!$C$8)),"B","C")))))</f>
        <v/>
      </c>
      <c r="Z570" s="11" t="str">
        <f aca="false">IF(C570="","",IF(P570&lt;&gt;"",P570,Y570))</f>
        <v/>
      </c>
    </row>
    <row r="571" customFormat="false" ht="15" hidden="false" customHeight="false" outlineLevel="0" collapsed="false">
      <c r="A571" s="9"/>
      <c r="B571" s="10" t="str">
        <f aca="false">IF(A571="","",IFERROR(INDEX(Parks!$A$2:$A$255,MATCH(A571,Parks!$B$2:$B$255,0)),"?"))</f>
        <v/>
      </c>
      <c r="C571" s="9"/>
      <c r="D571" s="10" t="str">
        <f aca="false">IF(C571="","",IF(SUMPRODUCT(--ISNUMBER(SEARCH({"Nets","Wicket","Diamond","Softball","T-ball","Baseball","Netball","Tennis","Bocce","Pentaque","Petanque","Skate","Car Park","Pond","Bridle","Amphitheatre","Perimeter","Passive"},C571)))&gt;0,"no",IF(SUMPRODUCT(--ISNUMBER(SEARCH({"Cricket","Junior","Mini","Summer Football","Small"},C571)))&gt;0,"reduced",IF(SUMPRODUCT(--ISNUMBER(SEARCH({"Rugby","Football","League","Touch","Gaelic","Australian","Lacrosse","General Sport","Training Area","Ultimate"},C571)))&gt;0,"full","unknown"))))</f>
        <v/>
      </c>
      <c r="E571" s="9"/>
      <c r="F571" s="9"/>
      <c r="G571" s="9"/>
      <c r="H571" s="9"/>
      <c r="I571" s="12"/>
      <c r="J571" s="9"/>
      <c r="K571" s="9"/>
      <c r="L571" s="9"/>
      <c r="M571" s="9"/>
      <c r="N571" s="9"/>
      <c r="O571" s="13" t="str">
        <f aca="false">IF(C571="","",IF(N(M571)+N(N571)&lt;Settings!$C$9,"untested",M571/(M571+N571)))</f>
        <v/>
      </c>
      <c r="P571" s="9"/>
      <c r="Q571" s="9"/>
      <c r="R571" s="9"/>
      <c r="S571" s="12"/>
      <c r="T571" s="9"/>
      <c r="U571" s="9"/>
      <c r="V571" s="9"/>
      <c r="W571" s="10" t="str">
        <f aca="false">IF(C571="","",IF(OR(G571="training",G571="full"),"Yes",IF(G571="none","No","?")))</f>
        <v/>
      </c>
      <c r="X571" s="10" t="str">
        <f aca="false">IF(C571="","",IF(OR(E571="",E571="unknown"),D571,E571))</f>
        <v/>
      </c>
      <c r="Y571" s="10" t="str">
        <f aca="false">IF(C571="","",IF(OR(T571="unsuitable",T571="retired",X571="no"),"—",IF(J571="","unrated",IF(AND(X571="full",J571&gt;=Settings!$C$5,OR(O571="untested",O571&gt;=Settings!$C$6)),"A",IF(AND(OR(X571="full",X571="reduced"),J571&gt;=Settings!$C$7,OR(O571="untested",O571&gt;=Settings!$C$8)),"B","C")))))</f>
        <v/>
      </c>
      <c r="Z571" s="11" t="str">
        <f aca="false">IF(C571="","",IF(P571&lt;&gt;"",P571,Y571))</f>
        <v/>
      </c>
    </row>
    <row r="572" customFormat="false" ht="15" hidden="false" customHeight="false" outlineLevel="0" collapsed="false">
      <c r="A572" s="9"/>
      <c r="B572" s="10" t="str">
        <f aca="false">IF(A572="","",IFERROR(INDEX(Parks!$A$2:$A$255,MATCH(A572,Parks!$B$2:$B$255,0)),"?"))</f>
        <v/>
      </c>
      <c r="C572" s="9"/>
      <c r="D572" s="10" t="str">
        <f aca="false">IF(C572="","",IF(SUMPRODUCT(--ISNUMBER(SEARCH({"Nets","Wicket","Diamond","Softball","T-ball","Baseball","Netball","Tennis","Bocce","Pentaque","Petanque","Skate","Car Park","Pond","Bridle","Amphitheatre","Perimeter","Passive"},C572)))&gt;0,"no",IF(SUMPRODUCT(--ISNUMBER(SEARCH({"Cricket","Junior","Mini","Summer Football","Small"},C572)))&gt;0,"reduced",IF(SUMPRODUCT(--ISNUMBER(SEARCH({"Rugby","Football","League","Touch","Gaelic","Australian","Lacrosse","General Sport","Training Area","Ultimate"},C572)))&gt;0,"full","unknown"))))</f>
        <v/>
      </c>
      <c r="E572" s="9"/>
      <c r="F572" s="9"/>
      <c r="G572" s="9"/>
      <c r="H572" s="9"/>
      <c r="I572" s="12"/>
      <c r="J572" s="9"/>
      <c r="K572" s="9"/>
      <c r="L572" s="9"/>
      <c r="M572" s="9"/>
      <c r="N572" s="9"/>
      <c r="O572" s="13" t="str">
        <f aca="false">IF(C572="","",IF(N(M572)+N(N572)&lt;Settings!$C$9,"untested",M572/(M572+N572)))</f>
        <v/>
      </c>
      <c r="P572" s="9"/>
      <c r="Q572" s="9"/>
      <c r="R572" s="9"/>
      <c r="S572" s="12"/>
      <c r="T572" s="9"/>
      <c r="U572" s="9"/>
      <c r="V572" s="9"/>
      <c r="W572" s="10" t="str">
        <f aca="false">IF(C572="","",IF(OR(G572="training",G572="full"),"Yes",IF(G572="none","No","?")))</f>
        <v/>
      </c>
      <c r="X572" s="10" t="str">
        <f aca="false">IF(C572="","",IF(OR(E572="",E572="unknown"),D572,E572))</f>
        <v/>
      </c>
      <c r="Y572" s="10" t="str">
        <f aca="false">IF(C572="","",IF(OR(T572="unsuitable",T572="retired",X572="no"),"—",IF(J572="","unrated",IF(AND(X572="full",J572&gt;=Settings!$C$5,OR(O572="untested",O572&gt;=Settings!$C$6)),"A",IF(AND(OR(X572="full",X572="reduced"),J572&gt;=Settings!$C$7,OR(O572="untested",O572&gt;=Settings!$C$8)),"B","C")))))</f>
        <v/>
      </c>
      <c r="Z572" s="11" t="str">
        <f aca="false">IF(C572="","",IF(P572&lt;&gt;"",P572,Y572))</f>
        <v/>
      </c>
    </row>
    <row r="573" customFormat="false" ht="15" hidden="false" customHeight="false" outlineLevel="0" collapsed="false">
      <c r="A573" s="9"/>
      <c r="B573" s="10" t="str">
        <f aca="false">IF(A573="","",IFERROR(INDEX(Parks!$A$2:$A$255,MATCH(A573,Parks!$B$2:$B$255,0)),"?"))</f>
        <v/>
      </c>
      <c r="C573" s="9"/>
      <c r="D573" s="10" t="str">
        <f aca="false">IF(C573="","",IF(SUMPRODUCT(--ISNUMBER(SEARCH({"Nets","Wicket","Diamond","Softball","T-ball","Baseball","Netball","Tennis","Bocce","Pentaque","Petanque","Skate","Car Park","Pond","Bridle","Amphitheatre","Perimeter","Passive"},C573)))&gt;0,"no",IF(SUMPRODUCT(--ISNUMBER(SEARCH({"Cricket","Junior","Mini","Summer Football","Small"},C573)))&gt;0,"reduced",IF(SUMPRODUCT(--ISNUMBER(SEARCH({"Rugby","Football","League","Touch","Gaelic","Australian","Lacrosse","General Sport","Training Area","Ultimate"},C573)))&gt;0,"full","unknown"))))</f>
        <v/>
      </c>
      <c r="E573" s="9"/>
      <c r="F573" s="9"/>
      <c r="G573" s="9"/>
      <c r="H573" s="9"/>
      <c r="I573" s="12"/>
      <c r="J573" s="9"/>
      <c r="K573" s="9"/>
      <c r="L573" s="9"/>
      <c r="M573" s="9"/>
      <c r="N573" s="9"/>
      <c r="O573" s="13" t="str">
        <f aca="false">IF(C573="","",IF(N(M573)+N(N573)&lt;Settings!$C$9,"untested",M573/(M573+N573)))</f>
        <v/>
      </c>
      <c r="P573" s="9"/>
      <c r="Q573" s="9"/>
      <c r="R573" s="9"/>
      <c r="S573" s="12"/>
      <c r="T573" s="9"/>
      <c r="U573" s="9"/>
      <c r="V573" s="9"/>
      <c r="W573" s="10" t="str">
        <f aca="false">IF(C573="","",IF(OR(G573="training",G573="full"),"Yes",IF(G573="none","No","?")))</f>
        <v/>
      </c>
      <c r="X573" s="10" t="str">
        <f aca="false">IF(C573="","",IF(OR(E573="",E573="unknown"),D573,E573))</f>
        <v/>
      </c>
      <c r="Y573" s="10" t="str">
        <f aca="false">IF(C573="","",IF(OR(T573="unsuitable",T573="retired",X573="no"),"—",IF(J573="","unrated",IF(AND(X573="full",J573&gt;=Settings!$C$5,OR(O573="untested",O573&gt;=Settings!$C$6)),"A",IF(AND(OR(X573="full",X573="reduced"),J573&gt;=Settings!$C$7,OR(O573="untested",O573&gt;=Settings!$C$8)),"B","C")))))</f>
        <v/>
      </c>
      <c r="Z573" s="11" t="str">
        <f aca="false">IF(C573="","",IF(P573&lt;&gt;"",P573,Y573))</f>
        <v/>
      </c>
    </row>
    <row r="574" customFormat="false" ht="15" hidden="false" customHeight="false" outlineLevel="0" collapsed="false">
      <c r="A574" s="9"/>
      <c r="B574" s="10" t="str">
        <f aca="false">IF(A574="","",IFERROR(INDEX(Parks!$A$2:$A$255,MATCH(A574,Parks!$B$2:$B$255,0)),"?"))</f>
        <v/>
      </c>
      <c r="C574" s="9"/>
      <c r="D574" s="10" t="str">
        <f aca="false">IF(C574="","",IF(SUMPRODUCT(--ISNUMBER(SEARCH({"Nets","Wicket","Diamond","Softball","T-ball","Baseball","Netball","Tennis","Bocce","Pentaque","Petanque","Skate","Car Park","Pond","Bridle","Amphitheatre","Perimeter","Passive"},C574)))&gt;0,"no",IF(SUMPRODUCT(--ISNUMBER(SEARCH({"Cricket","Junior","Mini","Summer Football","Small"},C574)))&gt;0,"reduced",IF(SUMPRODUCT(--ISNUMBER(SEARCH({"Rugby","Football","League","Touch","Gaelic","Australian","Lacrosse","General Sport","Training Area","Ultimate"},C574)))&gt;0,"full","unknown"))))</f>
        <v/>
      </c>
      <c r="E574" s="9"/>
      <c r="F574" s="9"/>
      <c r="G574" s="9"/>
      <c r="H574" s="9"/>
      <c r="I574" s="12"/>
      <c r="J574" s="9"/>
      <c r="K574" s="9"/>
      <c r="L574" s="9"/>
      <c r="M574" s="9"/>
      <c r="N574" s="9"/>
      <c r="O574" s="13" t="str">
        <f aca="false">IF(C574="","",IF(N(M574)+N(N574)&lt;Settings!$C$9,"untested",M574/(M574+N574)))</f>
        <v/>
      </c>
      <c r="P574" s="9"/>
      <c r="Q574" s="9"/>
      <c r="R574" s="9"/>
      <c r="S574" s="12"/>
      <c r="T574" s="9"/>
      <c r="U574" s="9"/>
      <c r="V574" s="9"/>
      <c r="W574" s="10" t="str">
        <f aca="false">IF(C574="","",IF(OR(G574="training",G574="full"),"Yes",IF(G574="none","No","?")))</f>
        <v/>
      </c>
      <c r="X574" s="10" t="str">
        <f aca="false">IF(C574="","",IF(OR(E574="",E574="unknown"),D574,E574))</f>
        <v/>
      </c>
      <c r="Y574" s="10" t="str">
        <f aca="false">IF(C574="","",IF(OR(T574="unsuitable",T574="retired",X574="no"),"—",IF(J574="","unrated",IF(AND(X574="full",J574&gt;=Settings!$C$5,OR(O574="untested",O574&gt;=Settings!$C$6)),"A",IF(AND(OR(X574="full",X574="reduced"),J574&gt;=Settings!$C$7,OR(O574="untested",O574&gt;=Settings!$C$8)),"B","C")))))</f>
        <v/>
      </c>
      <c r="Z574" s="11" t="str">
        <f aca="false">IF(C574="","",IF(P574&lt;&gt;"",P574,Y574))</f>
        <v/>
      </c>
    </row>
    <row r="575" customFormat="false" ht="15" hidden="false" customHeight="false" outlineLevel="0" collapsed="false">
      <c r="A575" s="9"/>
      <c r="B575" s="10" t="str">
        <f aca="false">IF(A575="","",IFERROR(INDEX(Parks!$A$2:$A$255,MATCH(A575,Parks!$B$2:$B$255,0)),"?"))</f>
        <v/>
      </c>
      <c r="C575" s="9"/>
      <c r="D575" s="10" t="str">
        <f aca="false">IF(C575="","",IF(SUMPRODUCT(--ISNUMBER(SEARCH({"Nets","Wicket","Diamond","Softball","T-ball","Baseball","Netball","Tennis","Bocce","Pentaque","Petanque","Skate","Car Park","Pond","Bridle","Amphitheatre","Perimeter","Passive"},C575)))&gt;0,"no",IF(SUMPRODUCT(--ISNUMBER(SEARCH({"Cricket","Junior","Mini","Summer Football","Small"},C575)))&gt;0,"reduced",IF(SUMPRODUCT(--ISNUMBER(SEARCH({"Rugby","Football","League","Touch","Gaelic","Australian","Lacrosse","General Sport","Training Area","Ultimate"},C575)))&gt;0,"full","unknown"))))</f>
        <v/>
      </c>
      <c r="E575" s="9"/>
      <c r="F575" s="9"/>
      <c r="G575" s="9"/>
      <c r="H575" s="9"/>
      <c r="I575" s="12"/>
      <c r="J575" s="9"/>
      <c r="K575" s="9"/>
      <c r="L575" s="9"/>
      <c r="M575" s="9"/>
      <c r="N575" s="9"/>
      <c r="O575" s="13" t="str">
        <f aca="false">IF(C575="","",IF(N(M575)+N(N575)&lt;Settings!$C$9,"untested",M575/(M575+N575)))</f>
        <v/>
      </c>
      <c r="P575" s="9"/>
      <c r="Q575" s="9"/>
      <c r="R575" s="9"/>
      <c r="S575" s="12"/>
      <c r="T575" s="9"/>
      <c r="U575" s="9"/>
      <c r="V575" s="9"/>
      <c r="W575" s="10" t="str">
        <f aca="false">IF(C575="","",IF(OR(G575="training",G575="full"),"Yes",IF(G575="none","No","?")))</f>
        <v/>
      </c>
      <c r="X575" s="10" t="str">
        <f aca="false">IF(C575="","",IF(OR(E575="",E575="unknown"),D575,E575))</f>
        <v/>
      </c>
      <c r="Y575" s="10" t="str">
        <f aca="false">IF(C575="","",IF(OR(T575="unsuitable",T575="retired",X575="no"),"—",IF(J575="","unrated",IF(AND(X575="full",J575&gt;=Settings!$C$5,OR(O575="untested",O575&gt;=Settings!$C$6)),"A",IF(AND(OR(X575="full",X575="reduced"),J575&gt;=Settings!$C$7,OR(O575="untested",O575&gt;=Settings!$C$8)),"B","C")))))</f>
        <v/>
      </c>
      <c r="Z575" s="11" t="str">
        <f aca="false">IF(C575="","",IF(P575&lt;&gt;"",P575,Y575))</f>
        <v/>
      </c>
    </row>
    <row r="576" customFormat="false" ht="15" hidden="false" customHeight="false" outlineLevel="0" collapsed="false">
      <c r="A576" s="9"/>
      <c r="B576" s="10" t="str">
        <f aca="false">IF(A576="","",IFERROR(INDEX(Parks!$A$2:$A$255,MATCH(A576,Parks!$B$2:$B$255,0)),"?"))</f>
        <v/>
      </c>
      <c r="C576" s="9"/>
      <c r="D576" s="10" t="str">
        <f aca="false">IF(C576="","",IF(SUMPRODUCT(--ISNUMBER(SEARCH({"Nets","Wicket","Diamond","Softball","T-ball","Baseball","Netball","Tennis","Bocce","Pentaque","Petanque","Skate","Car Park","Pond","Bridle","Amphitheatre","Perimeter","Passive"},C576)))&gt;0,"no",IF(SUMPRODUCT(--ISNUMBER(SEARCH({"Cricket","Junior","Mini","Summer Football","Small"},C576)))&gt;0,"reduced",IF(SUMPRODUCT(--ISNUMBER(SEARCH({"Rugby","Football","League","Touch","Gaelic","Australian","Lacrosse","General Sport","Training Area","Ultimate"},C576)))&gt;0,"full","unknown"))))</f>
        <v/>
      </c>
      <c r="E576" s="9"/>
      <c r="F576" s="9"/>
      <c r="G576" s="9"/>
      <c r="H576" s="9"/>
      <c r="I576" s="12"/>
      <c r="J576" s="9"/>
      <c r="K576" s="9"/>
      <c r="L576" s="9"/>
      <c r="M576" s="9"/>
      <c r="N576" s="9"/>
      <c r="O576" s="13" t="str">
        <f aca="false">IF(C576="","",IF(N(M576)+N(N576)&lt;Settings!$C$9,"untested",M576/(M576+N576)))</f>
        <v/>
      </c>
      <c r="P576" s="9"/>
      <c r="Q576" s="9"/>
      <c r="R576" s="9"/>
      <c r="S576" s="12"/>
      <c r="T576" s="9"/>
      <c r="U576" s="9"/>
      <c r="V576" s="9"/>
      <c r="W576" s="10" t="str">
        <f aca="false">IF(C576="","",IF(OR(G576="training",G576="full"),"Yes",IF(G576="none","No","?")))</f>
        <v/>
      </c>
      <c r="X576" s="10" t="str">
        <f aca="false">IF(C576="","",IF(OR(E576="",E576="unknown"),D576,E576))</f>
        <v/>
      </c>
      <c r="Y576" s="10" t="str">
        <f aca="false">IF(C576="","",IF(OR(T576="unsuitable",T576="retired",X576="no"),"—",IF(J576="","unrated",IF(AND(X576="full",J576&gt;=Settings!$C$5,OR(O576="untested",O576&gt;=Settings!$C$6)),"A",IF(AND(OR(X576="full",X576="reduced"),J576&gt;=Settings!$C$7,OR(O576="untested",O576&gt;=Settings!$C$8)),"B","C")))))</f>
        <v/>
      </c>
      <c r="Z576" s="11" t="str">
        <f aca="false">IF(C576="","",IF(P576&lt;&gt;"",P576,Y576))</f>
        <v/>
      </c>
    </row>
    <row r="577" customFormat="false" ht="15" hidden="false" customHeight="false" outlineLevel="0" collapsed="false">
      <c r="A577" s="9"/>
      <c r="B577" s="10" t="str">
        <f aca="false">IF(A577="","",IFERROR(INDEX(Parks!$A$2:$A$255,MATCH(A577,Parks!$B$2:$B$255,0)),"?"))</f>
        <v/>
      </c>
      <c r="C577" s="9"/>
      <c r="D577" s="10" t="str">
        <f aca="false">IF(C577="","",IF(SUMPRODUCT(--ISNUMBER(SEARCH({"Nets","Wicket","Diamond","Softball","T-ball","Baseball","Netball","Tennis","Bocce","Pentaque","Petanque","Skate","Car Park","Pond","Bridle","Amphitheatre","Perimeter","Passive"},C577)))&gt;0,"no",IF(SUMPRODUCT(--ISNUMBER(SEARCH({"Cricket","Junior","Mini","Summer Football","Small"},C577)))&gt;0,"reduced",IF(SUMPRODUCT(--ISNUMBER(SEARCH({"Rugby","Football","League","Touch","Gaelic","Australian","Lacrosse","General Sport","Training Area","Ultimate"},C577)))&gt;0,"full","unknown"))))</f>
        <v/>
      </c>
      <c r="E577" s="9"/>
      <c r="F577" s="9"/>
      <c r="G577" s="9"/>
      <c r="H577" s="9"/>
      <c r="I577" s="12"/>
      <c r="J577" s="9"/>
      <c r="K577" s="9"/>
      <c r="L577" s="9"/>
      <c r="M577" s="9"/>
      <c r="N577" s="9"/>
      <c r="O577" s="13" t="str">
        <f aca="false">IF(C577="","",IF(N(M577)+N(N577)&lt;Settings!$C$9,"untested",M577/(M577+N577)))</f>
        <v/>
      </c>
      <c r="P577" s="9"/>
      <c r="Q577" s="9"/>
      <c r="R577" s="9"/>
      <c r="S577" s="12"/>
      <c r="T577" s="9"/>
      <c r="U577" s="9"/>
      <c r="V577" s="9"/>
      <c r="W577" s="10" t="str">
        <f aca="false">IF(C577="","",IF(OR(G577="training",G577="full"),"Yes",IF(G577="none","No","?")))</f>
        <v/>
      </c>
      <c r="X577" s="10" t="str">
        <f aca="false">IF(C577="","",IF(OR(E577="",E577="unknown"),D577,E577))</f>
        <v/>
      </c>
      <c r="Y577" s="10" t="str">
        <f aca="false">IF(C577="","",IF(OR(T577="unsuitable",T577="retired",X577="no"),"—",IF(J577="","unrated",IF(AND(X577="full",J577&gt;=Settings!$C$5,OR(O577="untested",O577&gt;=Settings!$C$6)),"A",IF(AND(OR(X577="full",X577="reduced"),J577&gt;=Settings!$C$7,OR(O577="untested",O577&gt;=Settings!$C$8)),"B","C")))))</f>
        <v/>
      </c>
      <c r="Z577" s="11" t="str">
        <f aca="false">IF(C577="","",IF(P577&lt;&gt;"",P577,Y577))</f>
        <v/>
      </c>
    </row>
    <row r="578" customFormat="false" ht="15" hidden="false" customHeight="false" outlineLevel="0" collapsed="false">
      <c r="A578" s="9"/>
      <c r="B578" s="10" t="str">
        <f aca="false">IF(A578="","",IFERROR(INDEX(Parks!$A$2:$A$255,MATCH(A578,Parks!$B$2:$B$255,0)),"?"))</f>
        <v/>
      </c>
      <c r="C578" s="9"/>
      <c r="D578" s="10" t="str">
        <f aca="false">IF(C578="","",IF(SUMPRODUCT(--ISNUMBER(SEARCH({"Nets","Wicket","Diamond","Softball","T-ball","Baseball","Netball","Tennis","Bocce","Pentaque","Petanque","Skate","Car Park","Pond","Bridle","Amphitheatre","Perimeter","Passive"},C578)))&gt;0,"no",IF(SUMPRODUCT(--ISNUMBER(SEARCH({"Cricket","Junior","Mini","Summer Football","Small"},C578)))&gt;0,"reduced",IF(SUMPRODUCT(--ISNUMBER(SEARCH({"Rugby","Football","League","Touch","Gaelic","Australian","Lacrosse","General Sport","Training Area","Ultimate"},C578)))&gt;0,"full","unknown"))))</f>
        <v/>
      </c>
      <c r="E578" s="9"/>
      <c r="F578" s="9"/>
      <c r="G578" s="9"/>
      <c r="H578" s="9"/>
      <c r="I578" s="12"/>
      <c r="J578" s="9"/>
      <c r="K578" s="9"/>
      <c r="L578" s="9"/>
      <c r="M578" s="9"/>
      <c r="N578" s="9"/>
      <c r="O578" s="13" t="str">
        <f aca="false">IF(C578="","",IF(N(M578)+N(N578)&lt;Settings!$C$9,"untested",M578/(M578+N578)))</f>
        <v/>
      </c>
      <c r="P578" s="9"/>
      <c r="Q578" s="9"/>
      <c r="R578" s="9"/>
      <c r="S578" s="12"/>
      <c r="T578" s="9"/>
      <c r="U578" s="9"/>
      <c r="V578" s="9"/>
      <c r="W578" s="10" t="str">
        <f aca="false">IF(C578="","",IF(OR(G578="training",G578="full"),"Yes",IF(G578="none","No","?")))</f>
        <v/>
      </c>
      <c r="X578" s="10" t="str">
        <f aca="false">IF(C578="","",IF(OR(E578="",E578="unknown"),D578,E578))</f>
        <v/>
      </c>
      <c r="Y578" s="10" t="str">
        <f aca="false">IF(C578="","",IF(OR(T578="unsuitable",T578="retired",X578="no"),"—",IF(J578="","unrated",IF(AND(X578="full",J578&gt;=Settings!$C$5,OR(O578="untested",O578&gt;=Settings!$C$6)),"A",IF(AND(OR(X578="full",X578="reduced"),J578&gt;=Settings!$C$7,OR(O578="untested",O578&gt;=Settings!$C$8)),"B","C")))))</f>
        <v/>
      </c>
      <c r="Z578" s="11" t="str">
        <f aca="false">IF(C578="","",IF(P578&lt;&gt;"",P578,Y578))</f>
        <v/>
      </c>
    </row>
    <row r="579" customFormat="false" ht="15" hidden="false" customHeight="false" outlineLevel="0" collapsed="false">
      <c r="A579" s="9"/>
      <c r="B579" s="10" t="str">
        <f aca="false">IF(A579="","",IFERROR(INDEX(Parks!$A$2:$A$255,MATCH(A579,Parks!$B$2:$B$255,0)),"?"))</f>
        <v/>
      </c>
      <c r="C579" s="9"/>
      <c r="D579" s="10" t="str">
        <f aca="false">IF(C579="","",IF(SUMPRODUCT(--ISNUMBER(SEARCH({"Nets","Wicket","Diamond","Softball","T-ball","Baseball","Netball","Tennis","Bocce","Pentaque","Petanque","Skate","Car Park","Pond","Bridle","Amphitheatre","Perimeter","Passive"},C579)))&gt;0,"no",IF(SUMPRODUCT(--ISNUMBER(SEARCH({"Cricket","Junior","Mini","Summer Football","Small"},C579)))&gt;0,"reduced",IF(SUMPRODUCT(--ISNUMBER(SEARCH({"Rugby","Football","League","Touch","Gaelic","Australian","Lacrosse","General Sport","Training Area","Ultimate"},C579)))&gt;0,"full","unknown"))))</f>
        <v/>
      </c>
      <c r="E579" s="9"/>
      <c r="F579" s="9"/>
      <c r="G579" s="9"/>
      <c r="H579" s="9"/>
      <c r="I579" s="12"/>
      <c r="J579" s="9"/>
      <c r="K579" s="9"/>
      <c r="L579" s="9"/>
      <c r="M579" s="9"/>
      <c r="N579" s="9"/>
      <c r="O579" s="13" t="str">
        <f aca="false">IF(C579="","",IF(N(M579)+N(N579)&lt;Settings!$C$9,"untested",M579/(M579+N579)))</f>
        <v/>
      </c>
      <c r="P579" s="9"/>
      <c r="Q579" s="9"/>
      <c r="R579" s="9"/>
      <c r="S579" s="12"/>
      <c r="T579" s="9"/>
      <c r="U579" s="9"/>
      <c r="V579" s="9"/>
      <c r="W579" s="10" t="str">
        <f aca="false">IF(C579="","",IF(OR(G579="training",G579="full"),"Yes",IF(G579="none","No","?")))</f>
        <v/>
      </c>
      <c r="X579" s="10" t="str">
        <f aca="false">IF(C579="","",IF(OR(E579="",E579="unknown"),D579,E579))</f>
        <v/>
      </c>
      <c r="Y579" s="10" t="str">
        <f aca="false">IF(C579="","",IF(OR(T579="unsuitable",T579="retired",X579="no"),"—",IF(J579="","unrated",IF(AND(X579="full",J579&gt;=Settings!$C$5,OR(O579="untested",O579&gt;=Settings!$C$6)),"A",IF(AND(OR(X579="full",X579="reduced"),J579&gt;=Settings!$C$7,OR(O579="untested",O579&gt;=Settings!$C$8)),"B","C")))))</f>
        <v/>
      </c>
      <c r="Z579" s="11" t="str">
        <f aca="false">IF(C579="","",IF(P579&lt;&gt;"",P579,Y579))</f>
        <v/>
      </c>
    </row>
    <row r="580" customFormat="false" ht="15" hidden="false" customHeight="false" outlineLevel="0" collapsed="false">
      <c r="A580" s="9"/>
      <c r="B580" s="10" t="str">
        <f aca="false">IF(A580="","",IFERROR(INDEX(Parks!$A$2:$A$255,MATCH(A580,Parks!$B$2:$B$255,0)),"?"))</f>
        <v/>
      </c>
      <c r="C580" s="9"/>
      <c r="D580" s="10" t="str">
        <f aca="false">IF(C580="","",IF(SUMPRODUCT(--ISNUMBER(SEARCH({"Nets","Wicket","Diamond","Softball","T-ball","Baseball","Netball","Tennis","Bocce","Pentaque","Petanque","Skate","Car Park","Pond","Bridle","Amphitheatre","Perimeter","Passive"},C580)))&gt;0,"no",IF(SUMPRODUCT(--ISNUMBER(SEARCH({"Cricket","Junior","Mini","Summer Football","Small"},C580)))&gt;0,"reduced",IF(SUMPRODUCT(--ISNUMBER(SEARCH({"Rugby","Football","League","Touch","Gaelic","Australian","Lacrosse","General Sport","Training Area","Ultimate"},C580)))&gt;0,"full","unknown"))))</f>
        <v/>
      </c>
      <c r="E580" s="9"/>
      <c r="F580" s="9"/>
      <c r="G580" s="9"/>
      <c r="H580" s="9"/>
      <c r="I580" s="12"/>
      <c r="J580" s="9"/>
      <c r="K580" s="9"/>
      <c r="L580" s="9"/>
      <c r="M580" s="9"/>
      <c r="N580" s="9"/>
      <c r="O580" s="13" t="str">
        <f aca="false">IF(C580="","",IF(N(M580)+N(N580)&lt;Settings!$C$9,"untested",M580/(M580+N580)))</f>
        <v/>
      </c>
      <c r="P580" s="9"/>
      <c r="Q580" s="9"/>
      <c r="R580" s="9"/>
      <c r="S580" s="12"/>
      <c r="T580" s="9"/>
      <c r="U580" s="9"/>
      <c r="V580" s="9"/>
      <c r="W580" s="10" t="str">
        <f aca="false">IF(C580="","",IF(OR(G580="training",G580="full"),"Yes",IF(G580="none","No","?")))</f>
        <v/>
      </c>
      <c r="X580" s="10" t="str">
        <f aca="false">IF(C580="","",IF(OR(E580="",E580="unknown"),D580,E580))</f>
        <v/>
      </c>
      <c r="Y580" s="10" t="str">
        <f aca="false">IF(C580="","",IF(OR(T580="unsuitable",T580="retired",X580="no"),"—",IF(J580="","unrated",IF(AND(X580="full",J580&gt;=Settings!$C$5,OR(O580="untested",O580&gt;=Settings!$C$6)),"A",IF(AND(OR(X580="full",X580="reduced"),J580&gt;=Settings!$C$7,OR(O580="untested",O580&gt;=Settings!$C$8)),"B","C")))))</f>
        <v/>
      </c>
      <c r="Z580" s="11" t="str">
        <f aca="false">IF(C580="","",IF(P580&lt;&gt;"",P580,Y580))</f>
        <v/>
      </c>
    </row>
    <row r="581" customFormat="false" ht="15" hidden="false" customHeight="false" outlineLevel="0" collapsed="false">
      <c r="A581" s="9"/>
      <c r="B581" s="10" t="str">
        <f aca="false">IF(A581="","",IFERROR(INDEX(Parks!$A$2:$A$255,MATCH(A581,Parks!$B$2:$B$255,0)),"?"))</f>
        <v/>
      </c>
      <c r="C581" s="9"/>
      <c r="D581" s="10" t="str">
        <f aca="false">IF(C581="","",IF(SUMPRODUCT(--ISNUMBER(SEARCH({"Nets","Wicket","Diamond","Softball","T-ball","Baseball","Netball","Tennis","Bocce","Pentaque","Petanque","Skate","Car Park","Pond","Bridle","Amphitheatre","Perimeter","Passive"},C581)))&gt;0,"no",IF(SUMPRODUCT(--ISNUMBER(SEARCH({"Cricket","Junior","Mini","Summer Football","Small"},C581)))&gt;0,"reduced",IF(SUMPRODUCT(--ISNUMBER(SEARCH({"Rugby","Football","League","Touch","Gaelic","Australian","Lacrosse","General Sport","Training Area","Ultimate"},C581)))&gt;0,"full","unknown"))))</f>
        <v/>
      </c>
      <c r="E581" s="9"/>
      <c r="F581" s="9"/>
      <c r="G581" s="9"/>
      <c r="H581" s="9"/>
      <c r="I581" s="12"/>
      <c r="J581" s="9"/>
      <c r="K581" s="9"/>
      <c r="L581" s="9"/>
      <c r="M581" s="9"/>
      <c r="N581" s="9"/>
      <c r="O581" s="13" t="str">
        <f aca="false">IF(C581="","",IF(N(M581)+N(N581)&lt;Settings!$C$9,"untested",M581/(M581+N581)))</f>
        <v/>
      </c>
      <c r="P581" s="9"/>
      <c r="Q581" s="9"/>
      <c r="R581" s="9"/>
      <c r="S581" s="12"/>
      <c r="T581" s="9"/>
      <c r="U581" s="9"/>
      <c r="V581" s="9"/>
      <c r="W581" s="10" t="str">
        <f aca="false">IF(C581="","",IF(OR(G581="training",G581="full"),"Yes",IF(G581="none","No","?")))</f>
        <v/>
      </c>
      <c r="X581" s="10" t="str">
        <f aca="false">IF(C581="","",IF(OR(E581="",E581="unknown"),D581,E581))</f>
        <v/>
      </c>
      <c r="Y581" s="10" t="str">
        <f aca="false">IF(C581="","",IF(OR(T581="unsuitable",T581="retired",X581="no"),"—",IF(J581="","unrated",IF(AND(X581="full",J581&gt;=Settings!$C$5,OR(O581="untested",O581&gt;=Settings!$C$6)),"A",IF(AND(OR(X581="full",X581="reduced"),J581&gt;=Settings!$C$7,OR(O581="untested",O581&gt;=Settings!$C$8)),"B","C")))))</f>
        <v/>
      </c>
      <c r="Z581" s="11" t="str">
        <f aca="false">IF(C581="","",IF(P581&lt;&gt;"",P581,Y581))</f>
        <v/>
      </c>
    </row>
    <row r="582" customFormat="false" ht="15" hidden="false" customHeight="false" outlineLevel="0" collapsed="false">
      <c r="A582" s="9"/>
      <c r="B582" s="10" t="str">
        <f aca="false">IF(A582="","",IFERROR(INDEX(Parks!$A$2:$A$255,MATCH(A582,Parks!$B$2:$B$255,0)),"?"))</f>
        <v/>
      </c>
      <c r="C582" s="9"/>
      <c r="D582" s="10" t="str">
        <f aca="false">IF(C582="","",IF(SUMPRODUCT(--ISNUMBER(SEARCH({"Nets","Wicket","Diamond","Softball","T-ball","Baseball","Netball","Tennis","Bocce","Pentaque","Petanque","Skate","Car Park","Pond","Bridle","Amphitheatre","Perimeter","Passive"},C582)))&gt;0,"no",IF(SUMPRODUCT(--ISNUMBER(SEARCH({"Cricket","Junior","Mini","Summer Football","Small"},C582)))&gt;0,"reduced",IF(SUMPRODUCT(--ISNUMBER(SEARCH({"Rugby","Football","League","Touch","Gaelic","Australian","Lacrosse","General Sport","Training Area","Ultimate"},C582)))&gt;0,"full","unknown"))))</f>
        <v/>
      </c>
      <c r="E582" s="9"/>
      <c r="F582" s="9"/>
      <c r="G582" s="9"/>
      <c r="H582" s="9"/>
      <c r="I582" s="12"/>
      <c r="J582" s="9"/>
      <c r="K582" s="9"/>
      <c r="L582" s="9"/>
      <c r="M582" s="9"/>
      <c r="N582" s="9"/>
      <c r="O582" s="13" t="str">
        <f aca="false">IF(C582="","",IF(N(M582)+N(N582)&lt;Settings!$C$9,"untested",M582/(M582+N582)))</f>
        <v/>
      </c>
      <c r="P582" s="9"/>
      <c r="Q582" s="9"/>
      <c r="R582" s="9"/>
      <c r="S582" s="12"/>
      <c r="T582" s="9"/>
      <c r="U582" s="9"/>
      <c r="V582" s="9"/>
      <c r="W582" s="10" t="str">
        <f aca="false">IF(C582="","",IF(OR(G582="training",G582="full"),"Yes",IF(G582="none","No","?")))</f>
        <v/>
      </c>
      <c r="X582" s="10" t="str">
        <f aca="false">IF(C582="","",IF(OR(E582="",E582="unknown"),D582,E582))</f>
        <v/>
      </c>
      <c r="Y582" s="10" t="str">
        <f aca="false">IF(C582="","",IF(OR(T582="unsuitable",T582="retired",X582="no"),"—",IF(J582="","unrated",IF(AND(X582="full",J582&gt;=Settings!$C$5,OR(O582="untested",O582&gt;=Settings!$C$6)),"A",IF(AND(OR(X582="full",X582="reduced"),J582&gt;=Settings!$C$7,OR(O582="untested",O582&gt;=Settings!$C$8)),"B","C")))))</f>
        <v/>
      </c>
      <c r="Z582" s="11" t="str">
        <f aca="false">IF(C582="","",IF(P582&lt;&gt;"",P582,Y582))</f>
        <v/>
      </c>
    </row>
    <row r="583" customFormat="false" ht="15" hidden="false" customHeight="false" outlineLevel="0" collapsed="false">
      <c r="A583" s="9"/>
      <c r="B583" s="10" t="str">
        <f aca="false">IF(A583="","",IFERROR(INDEX(Parks!$A$2:$A$255,MATCH(A583,Parks!$B$2:$B$255,0)),"?"))</f>
        <v/>
      </c>
      <c r="C583" s="9"/>
      <c r="D583" s="10" t="str">
        <f aca="false">IF(C583="","",IF(SUMPRODUCT(--ISNUMBER(SEARCH({"Nets","Wicket","Diamond","Softball","T-ball","Baseball","Netball","Tennis","Bocce","Pentaque","Petanque","Skate","Car Park","Pond","Bridle","Amphitheatre","Perimeter","Passive"},C583)))&gt;0,"no",IF(SUMPRODUCT(--ISNUMBER(SEARCH({"Cricket","Junior","Mini","Summer Football","Small"},C583)))&gt;0,"reduced",IF(SUMPRODUCT(--ISNUMBER(SEARCH({"Rugby","Football","League","Touch","Gaelic","Australian","Lacrosse","General Sport","Training Area","Ultimate"},C583)))&gt;0,"full","unknown"))))</f>
        <v/>
      </c>
      <c r="E583" s="9"/>
      <c r="F583" s="9"/>
      <c r="G583" s="9"/>
      <c r="H583" s="9"/>
      <c r="I583" s="12"/>
      <c r="J583" s="9"/>
      <c r="K583" s="9"/>
      <c r="L583" s="9"/>
      <c r="M583" s="9"/>
      <c r="N583" s="9"/>
      <c r="O583" s="13" t="str">
        <f aca="false">IF(C583="","",IF(N(M583)+N(N583)&lt;Settings!$C$9,"untested",M583/(M583+N583)))</f>
        <v/>
      </c>
      <c r="P583" s="9"/>
      <c r="Q583" s="9"/>
      <c r="R583" s="9"/>
      <c r="S583" s="12"/>
      <c r="T583" s="9"/>
      <c r="U583" s="9"/>
      <c r="V583" s="9"/>
      <c r="W583" s="10" t="str">
        <f aca="false">IF(C583="","",IF(OR(G583="training",G583="full"),"Yes",IF(G583="none","No","?")))</f>
        <v/>
      </c>
      <c r="X583" s="10" t="str">
        <f aca="false">IF(C583="","",IF(OR(E583="",E583="unknown"),D583,E583))</f>
        <v/>
      </c>
      <c r="Y583" s="10" t="str">
        <f aca="false">IF(C583="","",IF(OR(T583="unsuitable",T583="retired",X583="no"),"—",IF(J583="","unrated",IF(AND(X583="full",J583&gt;=Settings!$C$5,OR(O583="untested",O583&gt;=Settings!$C$6)),"A",IF(AND(OR(X583="full",X583="reduced"),J583&gt;=Settings!$C$7,OR(O583="untested",O583&gt;=Settings!$C$8)),"B","C")))))</f>
        <v/>
      </c>
      <c r="Z583" s="11" t="str">
        <f aca="false">IF(C583="","",IF(P583&lt;&gt;"",P583,Y583))</f>
        <v/>
      </c>
    </row>
    <row r="584" customFormat="false" ht="15" hidden="false" customHeight="false" outlineLevel="0" collapsed="false">
      <c r="A584" s="9"/>
      <c r="B584" s="10" t="str">
        <f aca="false">IF(A584="","",IFERROR(INDEX(Parks!$A$2:$A$255,MATCH(A584,Parks!$B$2:$B$255,0)),"?"))</f>
        <v/>
      </c>
      <c r="C584" s="9"/>
      <c r="D584" s="10" t="str">
        <f aca="false">IF(C584="","",IF(SUMPRODUCT(--ISNUMBER(SEARCH({"Nets","Wicket","Diamond","Softball","T-ball","Baseball","Netball","Tennis","Bocce","Pentaque","Petanque","Skate","Car Park","Pond","Bridle","Amphitheatre","Perimeter","Passive"},C584)))&gt;0,"no",IF(SUMPRODUCT(--ISNUMBER(SEARCH({"Cricket","Junior","Mini","Summer Football","Small"},C584)))&gt;0,"reduced",IF(SUMPRODUCT(--ISNUMBER(SEARCH({"Rugby","Football","League","Touch","Gaelic","Australian","Lacrosse","General Sport","Training Area","Ultimate"},C584)))&gt;0,"full","unknown"))))</f>
        <v/>
      </c>
      <c r="E584" s="9"/>
      <c r="F584" s="9"/>
      <c r="G584" s="9"/>
      <c r="H584" s="9"/>
      <c r="I584" s="12"/>
      <c r="J584" s="9"/>
      <c r="K584" s="9"/>
      <c r="L584" s="9"/>
      <c r="M584" s="9"/>
      <c r="N584" s="9"/>
      <c r="O584" s="13" t="str">
        <f aca="false">IF(C584="","",IF(N(M584)+N(N584)&lt;Settings!$C$9,"untested",M584/(M584+N584)))</f>
        <v/>
      </c>
      <c r="P584" s="9"/>
      <c r="Q584" s="9"/>
      <c r="R584" s="9"/>
      <c r="S584" s="12"/>
      <c r="T584" s="9"/>
      <c r="U584" s="9"/>
      <c r="V584" s="9"/>
      <c r="W584" s="10" t="str">
        <f aca="false">IF(C584="","",IF(OR(G584="training",G584="full"),"Yes",IF(G584="none","No","?")))</f>
        <v/>
      </c>
      <c r="X584" s="10" t="str">
        <f aca="false">IF(C584="","",IF(OR(E584="",E584="unknown"),D584,E584))</f>
        <v/>
      </c>
      <c r="Y584" s="10" t="str">
        <f aca="false">IF(C584="","",IF(OR(T584="unsuitable",T584="retired",X584="no"),"—",IF(J584="","unrated",IF(AND(X584="full",J584&gt;=Settings!$C$5,OR(O584="untested",O584&gt;=Settings!$C$6)),"A",IF(AND(OR(X584="full",X584="reduced"),J584&gt;=Settings!$C$7,OR(O584="untested",O584&gt;=Settings!$C$8)),"B","C")))))</f>
        <v/>
      </c>
      <c r="Z584" s="11" t="str">
        <f aca="false">IF(C584="","",IF(P584&lt;&gt;"",P584,Y584))</f>
        <v/>
      </c>
    </row>
    <row r="585" customFormat="false" ht="15" hidden="false" customHeight="false" outlineLevel="0" collapsed="false">
      <c r="A585" s="9"/>
      <c r="B585" s="10" t="str">
        <f aca="false">IF(A585="","",IFERROR(INDEX(Parks!$A$2:$A$255,MATCH(A585,Parks!$B$2:$B$255,0)),"?"))</f>
        <v/>
      </c>
      <c r="C585" s="9"/>
      <c r="D585" s="10" t="str">
        <f aca="false">IF(C585="","",IF(SUMPRODUCT(--ISNUMBER(SEARCH({"Nets","Wicket","Diamond","Softball","T-ball","Baseball","Netball","Tennis","Bocce","Pentaque","Petanque","Skate","Car Park","Pond","Bridle","Amphitheatre","Perimeter","Passive"},C585)))&gt;0,"no",IF(SUMPRODUCT(--ISNUMBER(SEARCH({"Cricket","Junior","Mini","Summer Football","Small"},C585)))&gt;0,"reduced",IF(SUMPRODUCT(--ISNUMBER(SEARCH({"Rugby","Football","League","Touch","Gaelic","Australian","Lacrosse","General Sport","Training Area","Ultimate"},C585)))&gt;0,"full","unknown"))))</f>
        <v/>
      </c>
      <c r="E585" s="9"/>
      <c r="F585" s="9"/>
      <c r="G585" s="9"/>
      <c r="H585" s="9"/>
      <c r="I585" s="12"/>
      <c r="J585" s="9"/>
      <c r="K585" s="9"/>
      <c r="L585" s="9"/>
      <c r="M585" s="9"/>
      <c r="N585" s="9"/>
      <c r="O585" s="13" t="str">
        <f aca="false">IF(C585="","",IF(N(M585)+N(N585)&lt;Settings!$C$9,"untested",M585/(M585+N585)))</f>
        <v/>
      </c>
      <c r="P585" s="9"/>
      <c r="Q585" s="9"/>
      <c r="R585" s="9"/>
      <c r="S585" s="12"/>
      <c r="T585" s="9"/>
      <c r="U585" s="9"/>
      <c r="V585" s="9"/>
      <c r="W585" s="10" t="str">
        <f aca="false">IF(C585="","",IF(OR(G585="training",G585="full"),"Yes",IF(G585="none","No","?")))</f>
        <v/>
      </c>
      <c r="X585" s="10" t="str">
        <f aca="false">IF(C585="","",IF(OR(E585="",E585="unknown"),D585,E585))</f>
        <v/>
      </c>
      <c r="Y585" s="10" t="str">
        <f aca="false">IF(C585="","",IF(OR(T585="unsuitable",T585="retired",X585="no"),"—",IF(J585="","unrated",IF(AND(X585="full",J585&gt;=Settings!$C$5,OR(O585="untested",O585&gt;=Settings!$C$6)),"A",IF(AND(OR(X585="full",X585="reduced"),J585&gt;=Settings!$C$7,OR(O585="untested",O585&gt;=Settings!$C$8)),"B","C")))))</f>
        <v/>
      </c>
      <c r="Z585" s="11" t="str">
        <f aca="false">IF(C585="","",IF(P585&lt;&gt;"",P585,Y585))</f>
        <v/>
      </c>
    </row>
    <row r="586" customFormat="false" ht="15" hidden="false" customHeight="false" outlineLevel="0" collapsed="false">
      <c r="A586" s="9"/>
      <c r="B586" s="10" t="str">
        <f aca="false">IF(A586="","",IFERROR(INDEX(Parks!$A$2:$A$255,MATCH(A586,Parks!$B$2:$B$255,0)),"?"))</f>
        <v/>
      </c>
      <c r="C586" s="9"/>
      <c r="D586" s="10" t="str">
        <f aca="false">IF(C586="","",IF(SUMPRODUCT(--ISNUMBER(SEARCH({"Nets","Wicket","Diamond","Softball","T-ball","Baseball","Netball","Tennis","Bocce","Pentaque","Petanque","Skate","Car Park","Pond","Bridle","Amphitheatre","Perimeter","Passive"},C586)))&gt;0,"no",IF(SUMPRODUCT(--ISNUMBER(SEARCH({"Cricket","Junior","Mini","Summer Football","Small"},C586)))&gt;0,"reduced",IF(SUMPRODUCT(--ISNUMBER(SEARCH({"Rugby","Football","League","Touch","Gaelic","Australian","Lacrosse","General Sport","Training Area","Ultimate"},C586)))&gt;0,"full","unknown"))))</f>
        <v/>
      </c>
      <c r="E586" s="9"/>
      <c r="F586" s="9"/>
      <c r="G586" s="9"/>
      <c r="H586" s="9"/>
      <c r="I586" s="12"/>
      <c r="J586" s="9"/>
      <c r="K586" s="9"/>
      <c r="L586" s="9"/>
      <c r="M586" s="9"/>
      <c r="N586" s="9"/>
      <c r="O586" s="13" t="str">
        <f aca="false">IF(C586="","",IF(N(M586)+N(N586)&lt;Settings!$C$9,"untested",M586/(M586+N586)))</f>
        <v/>
      </c>
      <c r="P586" s="9"/>
      <c r="Q586" s="9"/>
      <c r="R586" s="9"/>
      <c r="S586" s="12"/>
      <c r="T586" s="9"/>
      <c r="U586" s="9"/>
      <c r="V586" s="9"/>
      <c r="W586" s="10" t="str">
        <f aca="false">IF(C586="","",IF(OR(G586="training",G586="full"),"Yes",IF(G586="none","No","?")))</f>
        <v/>
      </c>
      <c r="X586" s="10" t="str">
        <f aca="false">IF(C586="","",IF(OR(E586="",E586="unknown"),D586,E586))</f>
        <v/>
      </c>
      <c r="Y586" s="10" t="str">
        <f aca="false">IF(C586="","",IF(OR(T586="unsuitable",T586="retired",X586="no"),"—",IF(J586="","unrated",IF(AND(X586="full",J586&gt;=Settings!$C$5,OR(O586="untested",O586&gt;=Settings!$C$6)),"A",IF(AND(OR(X586="full",X586="reduced"),J586&gt;=Settings!$C$7,OR(O586="untested",O586&gt;=Settings!$C$8)),"B","C")))))</f>
        <v/>
      </c>
      <c r="Z586" s="11" t="str">
        <f aca="false">IF(C586="","",IF(P586&lt;&gt;"",P586,Y586))</f>
        <v/>
      </c>
    </row>
    <row r="587" customFormat="false" ht="15" hidden="false" customHeight="false" outlineLevel="0" collapsed="false">
      <c r="A587" s="9"/>
      <c r="B587" s="10" t="str">
        <f aca="false">IF(A587="","",IFERROR(INDEX(Parks!$A$2:$A$255,MATCH(A587,Parks!$B$2:$B$255,0)),"?"))</f>
        <v/>
      </c>
      <c r="C587" s="9"/>
      <c r="D587" s="10" t="str">
        <f aca="false">IF(C587="","",IF(SUMPRODUCT(--ISNUMBER(SEARCH({"Nets","Wicket","Diamond","Softball","T-ball","Baseball","Netball","Tennis","Bocce","Pentaque","Petanque","Skate","Car Park","Pond","Bridle","Amphitheatre","Perimeter","Passive"},C587)))&gt;0,"no",IF(SUMPRODUCT(--ISNUMBER(SEARCH({"Cricket","Junior","Mini","Summer Football","Small"},C587)))&gt;0,"reduced",IF(SUMPRODUCT(--ISNUMBER(SEARCH({"Rugby","Football","League","Touch","Gaelic","Australian","Lacrosse","General Sport","Training Area","Ultimate"},C587)))&gt;0,"full","unknown"))))</f>
        <v/>
      </c>
      <c r="E587" s="9"/>
      <c r="F587" s="9"/>
      <c r="G587" s="9"/>
      <c r="H587" s="9"/>
      <c r="I587" s="12"/>
      <c r="J587" s="9"/>
      <c r="K587" s="9"/>
      <c r="L587" s="9"/>
      <c r="M587" s="9"/>
      <c r="N587" s="9"/>
      <c r="O587" s="13" t="str">
        <f aca="false">IF(C587="","",IF(N(M587)+N(N587)&lt;Settings!$C$9,"untested",M587/(M587+N587)))</f>
        <v/>
      </c>
      <c r="P587" s="9"/>
      <c r="Q587" s="9"/>
      <c r="R587" s="9"/>
      <c r="S587" s="12"/>
      <c r="T587" s="9"/>
      <c r="U587" s="9"/>
      <c r="V587" s="9"/>
      <c r="W587" s="10" t="str">
        <f aca="false">IF(C587="","",IF(OR(G587="training",G587="full"),"Yes",IF(G587="none","No","?")))</f>
        <v/>
      </c>
      <c r="X587" s="10" t="str">
        <f aca="false">IF(C587="","",IF(OR(E587="",E587="unknown"),D587,E587))</f>
        <v/>
      </c>
      <c r="Y587" s="10" t="str">
        <f aca="false">IF(C587="","",IF(OR(T587="unsuitable",T587="retired",X587="no"),"—",IF(J587="","unrated",IF(AND(X587="full",J587&gt;=Settings!$C$5,OR(O587="untested",O587&gt;=Settings!$C$6)),"A",IF(AND(OR(X587="full",X587="reduced"),J587&gt;=Settings!$C$7,OR(O587="untested",O587&gt;=Settings!$C$8)),"B","C")))))</f>
        <v/>
      </c>
      <c r="Z587" s="11" t="str">
        <f aca="false">IF(C587="","",IF(P587&lt;&gt;"",P587,Y587))</f>
        <v/>
      </c>
    </row>
    <row r="588" customFormat="false" ht="15" hidden="false" customHeight="false" outlineLevel="0" collapsed="false">
      <c r="A588" s="9"/>
      <c r="B588" s="10" t="str">
        <f aca="false">IF(A588="","",IFERROR(INDEX(Parks!$A$2:$A$255,MATCH(A588,Parks!$B$2:$B$255,0)),"?"))</f>
        <v/>
      </c>
      <c r="C588" s="9"/>
      <c r="D588" s="10" t="str">
        <f aca="false">IF(C588="","",IF(SUMPRODUCT(--ISNUMBER(SEARCH({"Nets","Wicket","Diamond","Softball","T-ball","Baseball","Netball","Tennis","Bocce","Pentaque","Petanque","Skate","Car Park","Pond","Bridle","Amphitheatre","Perimeter","Passive"},C588)))&gt;0,"no",IF(SUMPRODUCT(--ISNUMBER(SEARCH({"Cricket","Junior","Mini","Summer Football","Small"},C588)))&gt;0,"reduced",IF(SUMPRODUCT(--ISNUMBER(SEARCH({"Rugby","Football","League","Touch","Gaelic","Australian","Lacrosse","General Sport","Training Area","Ultimate"},C588)))&gt;0,"full","unknown"))))</f>
        <v/>
      </c>
      <c r="E588" s="9"/>
      <c r="F588" s="9"/>
      <c r="G588" s="9"/>
      <c r="H588" s="9"/>
      <c r="I588" s="12"/>
      <c r="J588" s="9"/>
      <c r="K588" s="9"/>
      <c r="L588" s="9"/>
      <c r="M588" s="9"/>
      <c r="N588" s="9"/>
      <c r="O588" s="13" t="str">
        <f aca="false">IF(C588="","",IF(N(M588)+N(N588)&lt;Settings!$C$9,"untested",M588/(M588+N588)))</f>
        <v/>
      </c>
      <c r="P588" s="9"/>
      <c r="Q588" s="9"/>
      <c r="R588" s="9"/>
      <c r="S588" s="12"/>
      <c r="T588" s="9"/>
      <c r="U588" s="9"/>
      <c r="V588" s="9"/>
      <c r="W588" s="10" t="str">
        <f aca="false">IF(C588="","",IF(OR(G588="training",G588="full"),"Yes",IF(G588="none","No","?")))</f>
        <v/>
      </c>
      <c r="X588" s="10" t="str">
        <f aca="false">IF(C588="","",IF(OR(E588="",E588="unknown"),D588,E588))</f>
        <v/>
      </c>
      <c r="Y588" s="10" t="str">
        <f aca="false">IF(C588="","",IF(OR(T588="unsuitable",T588="retired",X588="no"),"—",IF(J588="","unrated",IF(AND(X588="full",J588&gt;=Settings!$C$5,OR(O588="untested",O588&gt;=Settings!$C$6)),"A",IF(AND(OR(X588="full",X588="reduced"),J588&gt;=Settings!$C$7,OR(O588="untested",O588&gt;=Settings!$C$8)),"B","C")))))</f>
        <v/>
      </c>
      <c r="Z588" s="11" t="str">
        <f aca="false">IF(C588="","",IF(P588&lt;&gt;"",P588,Y588))</f>
        <v/>
      </c>
    </row>
    <row r="589" customFormat="false" ht="15" hidden="false" customHeight="false" outlineLevel="0" collapsed="false">
      <c r="A589" s="9"/>
      <c r="B589" s="10" t="str">
        <f aca="false">IF(A589="","",IFERROR(INDEX(Parks!$A$2:$A$255,MATCH(A589,Parks!$B$2:$B$255,0)),"?"))</f>
        <v/>
      </c>
      <c r="C589" s="9"/>
      <c r="D589" s="10" t="str">
        <f aca="false">IF(C589="","",IF(SUMPRODUCT(--ISNUMBER(SEARCH({"Nets","Wicket","Diamond","Softball","T-ball","Baseball","Netball","Tennis","Bocce","Pentaque","Petanque","Skate","Car Park","Pond","Bridle","Amphitheatre","Perimeter","Passive"},C589)))&gt;0,"no",IF(SUMPRODUCT(--ISNUMBER(SEARCH({"Cricket","Junior","Mini","Summer Football","Small"},C589)))&gt;0,"reduced",IF(SUMPRODUCT(--ISNUMBER(SEARCH({"Rugby","Football","League","Touch","Gaelic","Australian","Lacrosse","General Sport","Training Area","Ultimate"},C589)))&gt;0,"full","unknown"))))</f>
        <v/>
      </c>
      <c r="E589" s="9"/>
      <c r="F589" s="9"/>
      <c r="G589" s="9"/>
      <c r="H589" s="9"/>
      <c r="I589" s="12"/>
      <c r="J589" s="9"/>
      <c r="K589" s="9"/>
      <c r="L589" s="9"/>
      <c r="M589" s="9"/>
      <c r="N589" s="9"/>
      <c r="O589" s="13" t="str">
        <f aca="false">IF(C589="","",IF(N(M589)+N(N589)&lt;Settings!$C$9,"untested",M589/(M589+N589)))</f>
        <v/>
      </c>
      <c r="P589" s="9"/>
      <c r="Q589" s="9"/>
      <c r="R589" s="9"/>
      <c r="S589" s="12"/>
      <c r="T589" s="9"/>
      <c r="U589" s="9"/>
      <c r="V589" s="9"/>
      <c r="W589" s="10" t="str">
        <f aca="false">IF(C589="","",IF(OR(G589="training",G589="full"),"Yes",IF(G589="none","No","?")))</f>
        <v/>
      </c>
      <c r="X589" s="10" t="str">
        <f aca="false">IF(C589="","",IF(OR(E589="",E589="unknown"),D589,E589))</f>
        <v/>
      </c>
      <c r="Y589" s="10" t="str">
        <f aca="false">IF(C589="","",IF(OR(T589="unsuitable",T589="retired",X589="no"),"—",IF(J589="","unrated",IF(AND(X589="full",J589&gt;=Settings!$C$5,OR(O589="untested",O589&gt;=Settings!$C$6)),"A",IF(AND(OR(X589="full",X589="reduced"),J589&gt;=Settings!$C$7,OR(O589="untested",O589&gt;=Settings!$C$8)),"B","C")))))</f>
        <v/>
      </c>
      <c r="Z589" s="11" t="str">
        <f aca="false">IF(C589="","",IF(P589&lt;&gt;"",P589,Y589))</f>
        <v/>
      </c>
    </row>
    <row r="590" customFormat="false" ht="15" hidden="false" customHeight="false" outlineLevel="0" collapsed="false">
      <c r="A590" s="9"/>
      <c r="B590" s="10" t="str">
        <f aca="false">IF(A590="","",IFERROR(INDEX(Parks!$A$2:$A$255,MATCH(A590,Parks!$B$2:$B$255,0)),"?"))</f>
        <v/>
      </c>
      <c r="C590" s="9"/>
      <c r="D590" s="10" t="str">
        <f aca="false">IF(C590="","",IF(SUMPRODUCT(--ISNUMBER(SEARCH({"Nets","Wicket","Diamond","Softball","T-ball","Baseball","Netball","Tennis","Bocce","Pentaque","Petanque","Skate","Car Park","Pond","Bridle","Amphitheatre","Perimeter","Passive"},C590)))&gt;0,"no",IF(SUMPRODUCT(--ISNUMBER(SEARCH({"Cricket","Junior","Mini","Summer Football","Small"},C590)))&gt;0,"reduced",IF(SUMPRODUCT(--ISNUMBER(SEARCH({"Rugby","Football","League","Touch","Gaelic","Australian","Lacrosse","General Sport","Training Area","Ultimate"},C590)))&gt;0,"full","unknown"))))</f>
        <v/>
      </c>
      <c r="E590" s="9"/>
      <c r="F590" s="9"/>
      <c r="G590" s="9"/>
      <c r="H590" s="9"/>
      <c r="I590" s="12"/>
      <c r="J590" s="9"/>
      <c r="K590" s="9"/>
      <c r="L590" s="9"/>
      <c r="M590" s="9"/>
      <c r="N590" s="9"/>
      <c r="O590" s="13" t="str">
        <f aca="false">IF(C590="","",IF(N(M590)+N(N590)&lt;Settings!$C$9,"untested",M590/(M590+N590)))</f>
        <v/>
      </c>
      <c r="P590" s="9"/>
      <c r="Q590" s="9"/>
      <c r="R590" s="9"/>
      <c r="S590" s="12"/>
      <c r="T590" s="9"/>
      <c r="U590" s="9"/>
      <c r="V590" s="9"/>
      <c r="W590" s="10" t="str">
        <f aca="false">IF(C590="","",IF(OR(G590="training",G590="full"),"Yes",IF(G590="none","No","?")))</f>
        <v/>
      </c>
      <c r="X590" s="10" t="str">
        <f aca="false">IF(C590="","",IF(OR(E590="",E590="unknown"),D590,E590))</f>
        <v/>
      </c>
      <c r="Y590" s="10" t="str">
        <f aca="false">IF(C590="","",IF(OR(T590="unsuitable",T590="retired",X590="no"),"—",IF(J590="","unrated",IF(AND(X590="full",J590&gt;=Settings!$C$5,OR(O590="untested",O590&gt;=Settings!$C$6)),"A",IF(AND(OR(X590="full",X590="reduced"),J590&gt;=Settings!$C$7,OR(O590="untested",O590&gt;=Settings!$C$8)),"B","C")))))</f>
        <v/>
      </c>
      <c r="Z590" s="11" t="str">
        <f aca="false">IF(C590="","",IF(P590&lt;&gt;"",P590,Y590))</f>
        <v/>
      </c>
    </row>
    <row r="591" customFormat="false" ht="15" hidden="false" customHeight="false" outlineLevel="0" collapsed="false">
      <c r="A591" s="9"/>
      <c r="B591" s="10" t="str">
        <f aca="false">IF(A591="","",IFERROR(INDEX(Parks!$A$2:$A$255,MATCH(A591,Parks!$B$2:$B$255,0)),"?"))</f>
        <v/>
      </c>
      <c r="C591" s="9"/>
      <c r="D591" s="10" t="str">
        <f aca="false">IF(C591="","",IF(SUMPRODUCT(--ISNUMBER(SEARCH({"Nets","Wicket","Diamond","Softball","T-ball","Baseball","Netball","Tennis","Bocce","Pentaque","Petanque","Skate","Car Park","Pond","Bridle","Amphitheatre","Perimeter","Passive"},C591)))&gt;0,"no",IF(SUMPRODUCT(--ISNUMBER(SEARCH({"Cricket","Junior","Mini","Summer Football","Small"},C591)))&gt;0,"reduced",IF(SUMPRODUCT(--ISNUMBER(SEARCH({"Rugby","Football","League","Touch","Gaelic","Australian","Lacrosse","General Sport","Training Area","Ultimate"},C591)))&gt;0,"full","unknown"))))</f>
        <v/>
      </c>
      <c r="E591" s="9"/>
      <c r="F591" s="9"/>
      <c r="G591" s="9"/>
      <c r="H591" s="9"/>
      <c r="I591" s="12"/>
      <c r="J591" s="9"/>
      <c r="K591" s="9"/>
      <c r="L591" s="9"/>
      <c r="M591" s="9"/>
      <c r="N591" s="9"/>
      <c r="O591" s="13" t="str">
        <f aca="false">IF(C591="","",IF(N(M591)+N(N591)&lt;Settings!$C$9,"untested",M591/(M591+N591)))</f>
        <v/>
      </c>
      <c r="P591" s="9"/>
      <c r="Q591" s="9"/>
      <c r="R591" s="9"/>
      <c r="S591" s="12"/>
      <c r="T591" s="9"/>
      <c r="U591" s="9"/>
      <c r="V591" s="9"/>
      <c r="W591" s="10" t="str">
        <f aca="false">IF(C591="","",IF(OR(G591="training",G591="full"),"Yes",IF(G591="none","No","?")))</f>
        <v/>
      </c>
      <c r="X591" s="10" t="str">
        <f aca="false">IF(C591="","",IF(OR(E591="",E591="unknown"),D591,E591))</f>
        <v/>
      </c>
      <c r="Y591" s="10" t="str">
        <f aca="false">IF(C591="","",IF(OR(T591="unsuitable",T591="retired",X591="no"),"—",IF(J591="","unrated",IF(AND(X591="full",J591&gt;=Settings!$C$5,OR(O591="untested",O591&gt;=Settings!$C$6)),"A",IF(AND(OR(X591="full",X591="reduced"),J591&gt;=Settings!$C$7,OR(O591="untested",O591&gt;=Settings!$C$8)),"B","C")))))</f>
        <v/>
      </c>
      <c r="Z591" s="11" t="str">
        <f aca="false">IF(C591="","",IF(P591&lt;&gt;"",P591,Y591))</f>
        <v/>
      </c>
    </row>
    <row r="592" customFormat="false" ht="15" hidden="false" customHeight="false" outlineLevel="0" collapsed="false">
      <c r="A592" s="9"/>
      <c r="B592" s="10" t="str">
        <f aca="false">IF(A592="","",IFERROR(INDEX(Parks!$A$2:$A$255,MATCH(A592,Parks!$B$2:$B$255,0)),"?"))</f>
        <v/>
      </c>
      <c r="C592" s="9"/>
      <c r="D592" s="10" t="str">
        <f aca="false">IF(C592="","",IF(SUMPRODUCT(--ISNUMBER(SEARCH({"Nets","Wicket","Diamond","Softball","T-ball","Baseball","Netball","Tennis","Bocce","Pentaque","Petanque","Skate","Car Park","Pond","Bridle","Amphitheatre","Perimeter","Passive"},C592)))&gt;0,"no",IF(SUMPRODUCT(--ISNUMBER(SEARCH({"Cricket","Junior","Mini","Summer Football","Small"},C592)))&gt;0,"reduced",IF(SUMPRODUCT(--ISNUMBER(SEARCH({"Rugby","Football","League","Touch","Gaelic","Australian","Lacrosse","General Sport","Training Area","Ultimate"},C592)))&gt;0,"full","unknown"))))</f>
        <v/>
      </c>
      <c r="E592" s="9"/>
      <c r="F592" s="9"/>
      <c r="G592" s="9"/>
      <c r="H592" s="9"/>
      <c r="I592" s="12"/>
      <c r="J592" s="9"/>
      <c r="K592" s="9"/>
      <c r="L592" s="9"/>
      <c r="M592" s="9"/>
      <c r="N592" s="9"/>
      <c r="O592" s="13" t="str">
        <f aca="false">IF(C592="","",IF(N(M592)+N(N592)&lt;Settings!$C$9,"untested",M592/(M592+N592)))</f>
        <v/>
      </c>
      <c r="P592" s="9"/>
      <c r="Q592" s="9"/>
      <c r="R592" s="9"/>
      <c r="S592" s="12"/>
      <c r="T592" s="9"/>
      <c r="U592" s="9"/>
      <c r="V592" s="9"/>
      <c r="W592" s="10" t="str">
        <f aca="false">IF(C592="","",IF(OR(G592="training",G592="full"),"Yes",IF(G592="none","No","?")))</f>
        <v/>
      </c>
      <c r="X592" s="10" t="str">
        <f aca="false">IF(C592="","",IF(OR(E592="",E592="unknown"),D592,E592))</f>
        <v/>
      </c>
      <c r="Y592" s="10" t="str">
        <f aca="false">IF(C592="","",IF(OR(T592="unsuitable",T592="retired",X592="no"),"—",IF(J592="","unrated",IF(AND(X592="full",J592&gt;=Settings!$C$5,OR(O592="untested",O592&gt;=Settings!$C$6)),"A",IF(AND(OR(X592="full",X592="reduced"),J592&gt;=Settings!$C$7,OR(O592="untested",O592&gt;=Settings!$C$8)),"B","C")))))</f>
        <v/>
      </c>
      <c r="Z592" s="11" t="str">
        <f aca="false">IF(C592="","",IF(P592&lt;&gt;"",P592,Y592))</f>
        <v/>
      </c>
    </row>
    <row r="593" customFormat="false" ht="15" hidden="false" customHeight="false" outlineLevel="0" collapsed="false">
      <c r="A593" s="9"/>
      <c r="B593" s="10" t="str">
        <f aca="false">IF(A593="","",IFERROR(INDEX(Parks!$A$2:$A$255,MATCH(A593,Parks!$B$2:$B$255,0)),"?"))</f>
        <v/>
      </c>
      <c r="C593" s="9"/>
      <c r="D593" s="10" t="str">
        <f aca="false">IF(C593="","",IF(SUMPRODUCT(--ISNUMBER(SEARCH({"Nets","Wicket","Diamond","Softball","T-ball","Baseball","Netball","Tennis","Bocce","Pentaque","Petanque","Skate","Car Park","Pond","Bridle","Amphitheatre","Perimeter","Passive"},C593)))&gt;0,"no",IF(SUMPRODUCT(--ISNUMBER(SEARCH({"Cricket","Junior","Mini","Summer Football","Small"},C593)))&gt;0,"reduced",IF(SUMPRODUCT(--ISNUMBER(SEARCH({"Rugby","Football","League","Touch","Gaelic","Australian","Lacrosse","General Sport","Training Area","Ultimate"},C593)))&gt;0,"full","unknown"))))</f>
        <v/>
      </c>
      <c r="E593" s="9"/>
      <c r="F593" s="9"/>
      <c r="G593" s="9"/>
      <c r="H593" s="9"/>
      <c r="I593" s="12"/>
      <c r="J593" s="9"/>
      <c r="K593" s="9"/>
      <c r="L593" s="9"/>
      <c r="M593" s="9"/>
      <c r="N593" s="9"/>
      <c r="O593" s="13" t="str">
        <f aca="false">IF(C593="","",IF(N(M593)+N(N593)&lt;Settings!$C$9,"untested",M593/(M593+N593)))</f>
        <v/>
      </c>
      <c r="P593" s="9"/>
      <c r="Q593" s="9"/>
      <c r="R593" s="9"/>
      <c r="S593" s="12"/>
      <c r="T593" s="9"/>
      <c r="U593" s="9"/>
      <c r="V593" s="9"/>
      <c r="W593" s="10" t="str">
        <f aca="false">IF(C593="","",IF(OR(G593="training",G593="full"),"Yes",IF(G593="none","No","?")))</f>
        <v/>
      </c>
      <c r="X593" s="10" t="str">
        <f aca="false">IF(C593="","",IF(OR(E593="",E593="unknown"),D593,E593))</f>
        <v/>
      </c>
      <c r="Y593" s="10" t="str">
        <f aca="false">IF(C593="","",IF(OR(T593="unsuitable",T593="retired",X593="no"),"—",IF(J593="","unrated",IF(AND(X593="full",J593&gt;=Settings!$C$5,OR(O593="untested",O593&gt;=Settings!$C$6)),"A",IF(AND(OR(X593="full",X593="reduced"),J593&gt;=Settings!$C$7,OR(O593="untested",O593&gt;=Settings!$C$8)),"B","C")))))</f>
        <v/>
      </c>
      <c r="Z593" s="11" t="str">
        <f aca="false">IF(C593="","",IF(P593&lt;&gt;"",P593,Y593))</f>
        <v/>
      </c>
    </row>
    <row r="594" customFormat="false" ht="15" hidden="false" customHeight="false" outlineLevel="0" collapsed="false">
      <c r="A594" s="9"/>
      <c r="B594" s="10" t="str">
        <f aca="false">IF(A594="","",IFERROR(INDEX(Parks!$A$2:$A$255,MATCH(A594,Parks!$B$2:$B$255,0)),"?"))</f>
        <v/>
      </c>
      <c r="C594" s="9"/>
      <c r="D594" s="10" t="str">
        <f aca="false">IF(C594="","",IF(SUMPRODUCT(--ISNUMBER(SEARCH({"Nets","Wicket","Diamond","Softball","T-ball","Baseball","Netball","Tennis","Bocce","Pentaque","Petanque","Skate","Car Park","Pond","Bridle","Amphitheatre","Perimeter","Passive"},C594)))&gt;0,"no",IF(SUMPRODUCT(--ISNUMBER(SEARCH({"Cricket","Junior","Mini","Summer Football","Small"},C594)))&gt;0,"reduced",IF(SUMPRODUCT(--ISNUMBER(SEARCH({"Rugby","Football","League","Touch","Gaelic","Australian","Lacrosse","General Sport","Training Area","Ultimate"},C594)))&gt;0,"full","unknown"))))</f>
        <v/>
      </c>
      <c r="E594" s="9"/>
      <c r="F594" s="9"/>
      <c r="G594" s="9"/>
      <c r="H594" s="9"/>
      <c r="I594" s="12"/>
      <c r="J594" s="9"/>
      <c r="K594" s="9"/>
      <c r="L594" s="9"/>
      <c r="M594" s="9"/>
      <c r="N594" s="9"/>
      <c r="O594" s="13" t="str">
        <f aca="false">IF(C594="","",IF(N(M594)+N(N594)&lt;Settings!$C$9,"untested",M594/(M594+N594)))</f>
        <v/>
      </c>
      <c r="P594" s="9"/>
      <c r="Q594" s="9"/>
      <c r="R594" s="9"/>
      <c r="S594" s="12"/>
      <c r="T594" s="9"/>
      <c r="U594" s="9"/>
      <c r="V594" s="9"/>
      <c r="W594" s="10" t="str">
        <f aca="false">IF(C594="","",IF(OR(G594="training",G594="full"),"Yes",IF(G594="none","No","?")))</f>
        <v/>
      </c>
      <c r="X594" s="10" t="str">
        <f aca="false">IF(C594="","",IF(OR(E594="",E594="unknown"),D594,E594))</f>
        <v/>
      </c>
      <c r="Y594" s="10" t="str">
        <f aca="false">IF(C594="","",IF(OR(T594="unsuitable",T594="retired",X594="no"),"—",IF(J594="","unrated",IF(AND(X594="full",J594&gt;=Settings!$C$5,OR(O594="untested",O594&gt;=Settings!$C$6)),"A",IF(AND(OR(X594="full",X594="reduced"),J594&gt;=Settings!$C$7,OR(O594="untested",O594&gt;=Settings!$C$8)),"B","C")))))</f>
        <v/>
      </c>
      <c r="Z594" s="11" t="str">
        <f aca="false">IF(C594="","",IF(P594&lt;&gt;"",P594,Y594))</f>
        <v/>
      </c>
    </row>
    <row r="595" customFormat="false" ht="15" hidden="false" customHeight="false" outlineLevel="0" collapsed="false">
      <c r="A595" s="9"/>
      <c r="B595" s="10" t="str">
        <f aca="false">IF(A595="","",IFERROR(INDEX(Parks!$A$2:$A$255,MATCH(A595,Parks!$B$2:$B$255,0)),"?"))</f>
        <v/>
      </c>
      <c r="C595" s="9"/>
      <c r="D595" s="10" t="str">
        <f aca="false">IF(C595="","",IF(SUMPRODUCT(--ISNUMBER(SEARCH({"Nets","Wicket","Diamond","Softball","T-ball","Baseball","Netball","Tennis","Bocce","Pentaque","Petanque","Skate","Car Park","Pond","Bridle","Amphitheatre","Perimeter","Passive"},C595)))&gt;0,"no",IF(SUMPRODUCT(--ISNUMBER(SEARCH({"Cricket","Junior","Mini","Summer Football","Small"},C595)))&gt;0,"reduced",IF(SUMPRODUCT(--ISNUMBER(SEARCH({"Rugby","Football","League","Touch","Gaelic","Australian","Lacrosse","General Sport","Training Area","Ultimate"},C595)))&gt;0,"full","unknown"))))</f>
        <v/>
      </c>
      <c r="E595" s="9"/>
      <c r="F595" s="9"/>
      <c r="G595" s="9"/>
      <c r="H595" s="9"/>
      <c r="I595" s="12"/>
      <c r="J595" s="9"/>
      <c r="K595" s="9"/>
      <c r="L595" s="9"/>
      <c r="M595" s="9"/>
      <c r="N595" s="9"/>
      <c r="O595" s="13" t="str">
        <f aca="false">IF(C595="","",IF(N(M595)+N(N595)&lt;Settings!$C$9,"untested",M595/(M595+N595)))</f>
        <v/>
      </c>
      <c r="P595" s="9"/>
      <c r="Q595" s="9"/>
      <c r="R595" s="9"/>
      <c r="S595" s="12"/>
      <c r="T595" s="9"/>
      <c r="U595" s="9"/>
      <c r="V595" s="9"/>
      <c r="W595" s="10" t="str">
        <f aca="false">IF(C595="","",IF(OR(G595="training",G595="full"),"Yes",IF(G595="none","No","?")))</f>
        <v/>
      </c>
      <c r="X595" s="10" t="str">
        <f aca="false">IF(C595="","",IF(OR(E595="",E595="unknown"),D595,E595))</f>
        <v/>
      </c>
      <c r="Y595" s="10" t="str">
        <f aca="false">IF(C595="","",IF(OR(T595="unsuitable",T595="retired",X595="no"),"—",IF(J595="","unrated",IF(AND(X595="full",J595&gt;=Settings!$C$5,OR(O595="untested",O595&gt;=Settings!$C$6)),"A",IF(AND(OR(X595="full",X595="reduced"),J595&gt;=Settings!$C$7,OR(O595="untested",O595&gt;=Settings!$C$8)),"B","C")))))</f>
        <v/>
      </c>
      <c r="Z595" s="11" t="str">
        <f aca="false">IF(C595="","",IF(P595&lt;&gt;"",P595,Y595))</f>
        <v/>
      </c>
    </row>
    <row r="596" customFormat="false" ht="15" hidden="false" customHeight="false" outlineLevel="0" collapsed="false">
      <c r="A596" s="9"/>
      <c r="B596" s="10" t="str">
        <f aca="false">IF(A596="","",IFERROR(INDEX(Parks!$A$2:$A$255,MATCH(A596,Parks!$B$2:$B$255,0)),"?"))</f>
        <v/>
      </c>
      <c r="C596" s="9"/>
      <c r="D596" s="10" t="str">
        <f aca="false">IF(C596="","",IF(SUMPRODUCT(--ISNUMBER(SEARCH({"Nets","Wicket","Diamond","Softball","T-ball","Baseball","Netball","Tennis","Bocce","Pentaque","Petanque","Skate","Car Park","Pond","Bridle","Amphitheatre","Perimeter","Passive"},C596)))&gt;0,"no",IF(SUMPRODUCT(--ISNUMBER(SEARCH({"Cricket","Junior","Mini","Summer Football","Small"},C596)))&gt;0,"reduced",IF(SUMPRODUCT(--ISNUMBER(SEARCH({"Rugby","Football","League","Touch","Gaelic","Australian","Lacrosse","General Sport","Training Area","Ultimate"},C596)))&gt;0,"full","unknown"))))</f>
        <v/>
      </c>
      <c r="E596" s="9"/>
      <c r="F596" s="9"/>
      <c r="G596" s="9"/>
      <c r="H596" s="9"/>
      <c r="I596" s="12"/>
      <c r="J596" s="9"/>
      <c r="K596" s="9"/>
      <c r="L596" s="9"/>
      <c r="M596" s="9"/>
      <c r="N596" s="9"/>
      <c r="O596" s="13" t="str">
        <f aca="false">IF(C596="","",IF(N(M596)+N(N596)&lt;Settings!$C$9,"untested",M596/(M596+N596)))</f>
        <v/>
      </c>
      <c r="P596" s="9"/>
      <c r="Q596" s="9"/>
      <c r="R596" s="9"/>
      <c r="S596" s="12"/>
      <c r="T596" s="9"/>
      <c r="U596" s="9"/>
      <c r="V596" s="9"/>
      <c r="W596" s="10" t="str">
        <f aca="false">IF(C596="","",IF(OR(G596="training",G596="full"),"Yes",IF(G596="none","No","?")))</f>
        <v/>
      </c>
      <c r="X596" s="10" t="str">
        <f aca="false">IF(C596="","",IF(OR(E596="",E596="unknown"),D596,E596))</f>
        <v/>
      </c>
      <c r="Y596" s="10" t="str">
        <f aca="false">IF(C596="","",IF(OR(T596="unsuitable",T596="retired",X596="no"),"—",IF(J596="","unrated",IF(AND(X596="full",J596&gt;=Settings!$C$5,OR(O596="untested",O596&gt;=Settings!$C$6)),"A",IF(AND(OR(X596="full",X596="reduced"),J596&gt;=Settings!$C$7,OR(O596="untested",O596&gt;=Settings!$C$8)),"B","C")))))</f>
        <v/>
      </c>
      <c r="Z596" s="11" t="str">
        <f aca="false">IF(C596="","",IF(P596&lt;&gt;"",P596,Y596))</f>
        <v/>
      </c>
    </row>
    <row r="597" customFormat="false" ht="15" hidden="false" customHeight="false" outlineLevel="0" collapsed="false">
      <c r="A597" s="9"/>
      <c r="B597" s="10" t="str">
        <f aca="false">IF(A597="","",IFERROR(INDEX(Parks!$A$2:$A$255,MATCH(A597,Parks!$B$2:$B$255,0)),"?"))</f>
        <v/>
      </c>
      <c r="C597" s="9"/>
      <c r="D597" s="10" t="str">
        <f aca="false">IF(C597="","",IF(SUMPRODUCT(--ISNUMBER(SEARCH({"Nets","Wicket","Diamond","Softball","T-ball","Baseball","Netball","Tennis","Bocce","Pentaque","Petanque","Skate","Car Park","Pond","Bridle","Amphitheatre","Perimeter","Passive"},C597)))&gt;0,"no",IF(SUMPRODUCT(--ISNUMBER(SEARCH({"Cricket","Junior","Mini","Summer Football","Small"},C597)))&gt;0,"reduced",IF(SUMPRODUCT(--ISNUMBER(SEARCH({"Rugby","Football","League","Touch","Gaelic","Australian","Lacrosse","General Sport","Training Area","Ultimate"},C597)))&gt;0,"full","unknown"))))</f>
        <v/>
      </c>
      <c r="E597" s="9"/>
      <c r="F597" s="9"/>
      <c r="G597" s="9"/>
      <c r="H597" s="9"/>
      <c r="I597" s="12"/>
      <c r="J597" s="9"/>
      <c r="K597" s="9"/>
      <c r="L597" s="9"/>
      <c r="M597" s="9"/>
      <c r="N597" s="9"/>
      <c r="O597" s="13" t="str">
        <f aca="false">IF(C597="","",IF(N(M597)+N(N597)&lt;Settings!$C$9,"untested",M597/(M597+N597)))</f>
        <v/>
      </c>
      <c r="P597" s="9"/>
      <c r="Q597" s="9"/>
      <c r="R597" s="9"/>
      <c r="S597" s="12"/>
      <c r="T597" s="9"/>
      <c r="U597" s="9"/>
      <c r="V597" s="9"/>
      <c r="W597" s="10" t="str">
        <f aca="false">IF(C597="","",IF(OR(G597="training",G597="full"),"Yes",IF(G597="none","No","?")))</f>
        <v/>
      </c>
      <c r="X597" s="10" t="str">
        <f aca="false">IF(C597="","",IF(OR(E597="",E597="unknown"),D597,E597))</f>
        <v/>
      </c>
      <c r="Y597" s="10" t="str">
        <f aca="false">IF(C597="","",IF(OR(T597="unsuitable",T597="retired",X597="no"),"—",IF(J597="","unrated",IF(AND(X597="full",J597&gt;=Settings!$C$5,OR(O597="untested",O597&gt;=Settings!$C$6)),"A",IF(AND(OR(X597="full",X597="reduced"),J597&gt;=Settings!$C$7,OR(O597="untested",O597&gt;=Settings!$C$8)),"B","C")))))</f>
        <v/>
      </c>
      <c r="Z597" s="11" t="str">
        <f aca="false">IF(C597="","",IF(P597&lt;&gt;"",P597,Y597))</f>
        <v/>
      </c>
    </row>
    <row r="598" customFormat="false" ht="15" hidden="false" customHeight="false" outlineLevel="0" collapsed="false">
      <c r="A598" s="9"/>
      <c r="B598" s="10" t="str">
        <f aca="false">IF(A598="","",IFERROR(INDEX(Parks!$A$2:$A$255,MATCH(A598,Parks!$B$2:$B$255,0)),"?"))</f>
        <v/>
      </c>
      <c r="C598" s="9"/>
      <c r="D598" s="10" t="str">
        <f aca="false">IF(C598="","",IF(SUMPRODUCT(--ISNUMBER(SEARCH({"Nets","Wicket","Diamond","Softball","T-ball","Baseball","Netball","Tennis","Bocce","Pentaque","Petanque","Skate","Car Park","Pond","Bridle","Amphitheatre","Perimeter","Passive"},C598)))&gt;0,"no",IF(SUMPRODUCT(--ISNUMBER(SEARCH({"Cricket","Junior","Mini","Summer Football","Small"},C598)))&gt;0,"reduced",IF(SUMPRODUCT(--ISNUMBER(SEARCH({"Rugby","Football","League","Touch","Gaelic","Australian","Lacrosse","General Sport","Training Area","Ultimate"},C598)))&gt;0,"full","unknown"))))</f>
        <v/>
      </c>
      <c r="E598" s="9"/>
      <c r="F598" s="9"/>
      <c r="G598" s="9"/>
      <c r="H598" s="9"/>
      <c r="I598" s="12"/>
      <c r="J598" s="9"/>
      <c r="K598" s="9"/>
      <c r="L598" s="9"/>
      <c r="M598" s="9"/>
      <c r="N598" s="9"/>
      <c r="O598" s="13" t="str">
        <f aca="false">IF(C598="","",IF(N(M598)+N(N598)&lt;Settings!$C$9,"untested",M598/(M598+N598)))</f>
        <v/>
      </c>
      <c r="P598" s="9"/>
      <c r="Q598" s="9"/>
      <c r="R598" s="9"/>
      <c r="S598" s="12"/>
      <c r="T598" s="9"/>
      <c r="U598" s="9"/>
      <c r="V598" s="9"/>
      <c r="W598" s="10" t="str">
        <f aca="false">IF(C598="","",IF(OR(G598="training",G598="full"),"Yes",IF(G598="none","No","?")))</f>
        <v/>
      </c>
      <c r="X598" s="10" t="str">
        <f aca="false">IF(C598="","",IF(OR(E598="",E598="unknown"),D598,E598))</f>
        <v/>
      </c>
      <c r="Y598" s="10" t="str">
        <f aca="false">IF(C598="","",IF(OR(T598="unsuitable",T598="retired",X598="no"),"—",IF(J598="","unrated",IF(AND(X598="full",J598&gt;=Settings!$C$5,OR(O598="untested",O598&gt;=Settings!$C$6)),"A",IF(AND(OR(X598="full",X598="reduced"),J598&gt;=Settings!$C$7,OR(O598="untested",O598&gt;=Settings!$C$8)),"B","C")))))</f>
        <v/>
      </c>
      <c r="Z598" s="11" t="str">
        <f aca="false">IF(C598="","",IF(P598&lt;&gt;"",P598,Y598))</f>
        <v/>
      </c>
    </row>
    <row r="599" customFormat="false" ht="15" hidden="false" customHeight="false" outlineLevel="0" collapsed="false">
      <c r="A599" s="9"/>
      <c r="B599" s="10" t="str">
        <f aca="false">IF(A599="","",IFERROR(INDEX(Parks!$A$2:$A$255,MATCH(A599,Parks!$B$2:$B$255,0)),"?"))</f>
        <v/>
      </c>
      <c r="C599" s="9"/>
      <c r="D599" s="10" t="str">
        <f aca="false">IF(C599="","",IF(SUMPRODUCT(--ISNUMBER(SEARCH({"Nets","Wicket","Diamond","Softball","T-ball","Baseball","Netball","Tennis","Bocce","Pentaque","Petanque","Skate","Car Park","Pond","Bridle","Amphitheatre","Perimeter","Passive"},C599)))&gt;0,"no",IF(SUMPRODUCT(--ISNUMBER(SEARCH({"Cricket","Junior","Mini","Summer Football","Small"},C599)))&gt;0,"reduced",IF(SUMPRODUCT(--ISNUMBER(SEARCH({"Rugby","Football","League","Touch","Gaelic","Australian","Lacrosse","General Sport","Training Area","Ultimate"},C599)))&gt;0,"full","unknown"))))</f>
        <v/>
      </c>
      <c r="E599" s="9"/>
      <c r="F599" s="9"/>
      <c r="G599" s="9"/>
      <c r="H599" s="9"/>
      <c r="I599" s="12"/>
      <c r="J599" s="9"/>
      <c r="K599" s="9"/>
      <c r="L599" s="9"/>
      <c r="M599" s="9"/>
      <c r="N599" s="9"/>
      <c r="O599" s="13" t="str">
        <f aca="false">IF(C599="","",IF(N(M599)+N(N599)&lt;Settings!$C$9,"untested",M599/(M599+N599)))</f>
        <v/>
      </c>
      <c r="P599" s="9"/>
      <c r="Q599" s="9"/>
      <c r="R599" s="9"/>
      <c r="S599" s="12"/>
      <c r="T599" s="9"/>
      <c r="U599" s="9"/>
      <c r="V599" s="9"/>
      <c r="W599" s="10" t="str">
        <f aca="false">IF(C599="","",IF(OR(G599="training",G599="full"),"Yes",IF(G599="none","No","?")))</f>
        <v/>
      </c>
      <c r="X599" s="10" t="str">
        <f aca="false">IF(C599="","",IF(OR(E599="",E599="unknown"),D599,E599))</f>
        <v/>
      </c>
      <c r="Y599" s="10" t="str">
        <f aca="false">IF(C599="","",IF(OR(T599="unsuitable",T599="retired",X599="no"),"—",IF(J599="","unrated",IF(AND(X599="full",J599&gt;=Settings!$C$5,OR(O599="untested",O599&gt;=Settings!$C$6)),"A",IF(AND(OR(X599="full",X599="reduced"),J599&gt;=Settings!$C$7,OR(O599="untested",O599&gt;=Settings!$C$8)),"B","C")))))</f>
        <v/>
      </c>
      <c r="Z599" s="11" t="str">
        <f aca="false">IF(C599="","",IF(P599&lt;&gt;"",P599,Y599))</f>
        <v/>
      </c>
    </row>
    <row r="600" customFormat="false" ht="15" hidden="false" customHeight="false" outlineLevel="0" collapsed="false">
      <c r="A600" s="9"/>
      <c r="B600" s="10" t="str">
        <f aca="false">IF(A600="","",IFERROR(INDEX(Parks!$A$2:$A$255,MATCH(A600,Parks!$B$2:$B$255,0)),"?"))</f>
        <v/>
      </c>
      <c r="C600" s="9"/>
      <c r="D600" s="10" t="str">
        <f aca="false">IF(C600="","",IF(SUMPRODUCT(--ISNUMBER(SEARCH({"Nets","Wicket","Diamond","Softball","T-ball","Baseball","Netball","Tennis","Bocce","Pentaque","Petanque","Skate","Car Park","Pond","Bridle","Amphitheatre","Perimeter","Passive"},C600)))&gt;0,"no",IF(SUMPRODUCT(--ISNUMBER(SEARCH({"Cricket","Junior","Mini","Summer Football","Small"},C600)))&gt;0,"reduced",IF(SUMPRODUCT(--ISNUMBER(SEARCH({"Rugby","Football","League","Touch","Gaelic","Australian","Lacrosse","General Sport","Training Area","Ultimate"},C600)))&gt;0,"full","unknown"))))</f>
        <v/>
      </c>
      <c r="E600" s="9"/>
      <c r="F600" s="9"/>
      <c r="G600" s="9"/>
      <c r="H600" s="9"/>
      <c r="I600" s="12"/>
      <c r="J600" s="9"/>
      <c r="K600" s="9"/>
      <c r="L600" s="9"/>
      <c r="M600" s="9"/>
      <c r="N600" s="9"/>
      <c r="O600" s="13" t="str">
        <f aca="false">IF(C600="","",IF(N(M600)+N(N600)&lt;Settings!$C$9,"untested",M600/(M600+N600)))</f>
        <v/>
      </c>
      <c r="P600" s="9"/>
      <c r="Q600" s="9"/>
      <c r="R600" s="9"/>
      <c r="S600" s="12"/>
      <c r="T600" s="9"/>
      <c r="U600" s="9"/>
      <c r="V600" s="9"/>
      <c r="W600" s="10" t="str">
        <f aca="false">IF(C600="","",IF(OR(G600="training",G600="full"),"Yes",IF(G600="none","No","?")))</f>
        <v/>
      </c>
      <c r="X600" s="10" t="str">
        <f aca="false">IF(C600="","",IF(OR(E600="",E600="unknown"),D600,E600))</f>
        <v/>
      </c>
      <c r="Y600" s="10" t="str">
        <f aca="false">IF(C600="","",IF(OR(T600="unsuitable",T600="retired",X600="no"),"—",IF(J600="","unrated",IF(AND(X600="full",J600&gt;=Settings!$C$5,OR(O600="untested",O600&gt;=Settings!$C$6)),"A",IF(AND(OR(X600="full",X600="reduced"),J600&gt;=Settings!$C$7,OR(O600="untested",O600&gt;=Settings!$C$8)),"B","C")))))</f>
        <v/>
      </c>
      <c r="Z600" s="11" t="str">
        <f aca="false">IF(C600="","",IF(P600&lt;&gt;"",P600,Y600))</f>
        <v/>
      </c>
    </row>
    <row r="601" customFormat="false" ht="15" hidden="false" customHeight="false" outlineLevel="0" collapsed="false">
      <c r="A601" s="9"/>
      <c r="B601" s="10" t="str">
        <f aca="false">IF(A601="","",IFERROR(INDEX(Parks!$A$2:$A$255,MATCH(A601,Parks!$B$2:$B$255,0)),"?"))</f>
        <v/>
      </c>
      <c r="C601" s="9"/>
      <c r="D601" s="10" t="str">
        <f aca="false">IF(C601="","",IF(SUMPRODUCT(--ISNUMBER(SEARCH({"Nets","Wicket","Diamond","Softball","T-ball","Baseball","Netball","Tennis","Bocce","Pentaque","Petanque","Skate","Car Park","Pond","Bridle","Amphitheatre","Perimeter","Passive"},C601)))&gt;0,"no",IF(SUMPRODUCT(--ISNUMBER(SEARCH({"Cricket","Junior","Mini","Summer Football","Small"},C601)))&gt;0,"reduced",IF(SUMPRODUCT(--ISNUMBER(SEARCH({"Rugby","Football","League","Touch","Gaelic","Australian","Lacrosse","General Sport","Training Area","Ultimate"},C601)))&gt;0,"full","unknown"))))</f>
        <v/>
      </c>
      <c r="E601" s="9"/>
      <c r="F601" s="9"/>
      <c r="G601" s="9"/>
      <c r="H601" s="9"/>
      <c r="I601" s="12"/>
      <c r="J601" s="9"/>
      <c r="K601" s="9"/>
      <c r="L601" s="9"/>
      <c r="M601" s="9"/>
      <c r="N601" s="9"/>
      <c r="O601" s="13" t="str">
        <f aca="false">IF(C601="","",IF(N(M601)+N(N601)&lt;Settings!$C$9,"untested",M601/(M601+N601)))</f>
        <v/>
      </c>
      <c r="P601" s="9"/>
      <c r="Q601" s="9"/>
      <c r="R601" s="9"/>
      <c r="S601" s="12"/>
      <c r="T601" s="9"/>
      <c r="U601" s="9"/>
      <c r="V601" s="9"/>
      <c r="W601" s="10" t="str">
        <f aca="false">IF(C601="","",IF(OR(G601="training",G601="full"),"Yes",IF(G601="none","No","?")))</f>
        <v/>
      </c>
      <c r="X601" s="10" t="str">
        <f aca="false">IF(C601="","",IF(OR(E601="",E601="unknown"),D601,E601))</f>
        <v/>
      </c>
      <c r="Y601" s="10" t="str">
        <f aca="false">IF(C601="","",IF(OR(T601="unsuitable",T601="retired",X601="no"),"—",IF(J601="","unrated",IF(AND(X601="full",J601&gt;=Settings!$C$5,OR(O601="untested",O601&gt;=Settings!$C$6)),"A",IF(AND(OR(X601="full",X601="reduced"),J601&gt;=Settings!$C$7,OR(O601="untested",O601&gt;=Settings!$C$8)),"B","C")))))</f>
        <v/>
      </c>
      <c r="Z601" s="11" t="str">
        <f aca="false">IF(C601="","",IF(P601&lt;&gt;"",P601,Y601))</f>
        <v/>
      </c>
    </row>
    <row r="602" customFormat="false" ht="15" hidden="false" customHeight="false" outlineLevel="0" collapsed="false">
      <c r="A602" s="9"/>
      <c r="B602" s="10" t="str">
        <f aca="false">IF(A602="","",IFERROR(INDEX(Parks!$A$2:$A$255,MATCH(A602,Parks!$B$2:$B$255,0)),"?"))</f>
        <v/>
      </c>
      <c r="C602" s="9"/>
      <c r="D602" s="10" t="str">
        <f aca="false">IF(C602="","",IF(SUMPRODUCT(--ISNUMBER(SEARCH({"Nets","Wicket","Diamond","Softball","T-ball","Baseball","Netball","Tennis","Bocce","Pentaque","Petanque","Skate","Car Park","Pond","Bridle","Amphitheatre","Perimeter","Passive"},C602)))&gt;0,"no",IF(SUMPRODUCT(--ISNUMBER(SEARCH({"Cricket","Junior","Mini","Summer Football","Small"},C602)))&gt;0,"reduced",IF(SUMPRODUCT(--ISNUMBER(SEARCH({"Rugby","Football","League","Touch","Gaelic","Australian","Lacrosse","General Sport","Training Area","Ultimate"},C602)))&gt;0,"full","unknown"))))</f>
        <v/>
      </c>
      <c r="E602" s="9"/>
      <c r="F602" s="9"/>
      <c r="G602" s="9"/>
      <c r="H602" s="9"/>
      <c r="I602" s="12"/>
      <c r="J602" s="9"/>
      <c r="K602" s="9"/>
      <c r="L602" s="9"/>
      <c r="M602" s="9"/>
      <c r="N602" s="9"/>
      <c r="O602" s="13" t="str">
        <f aca="false">IF(C602="","",IF(N(M602)+N(N602)&lt;Settings!$C$9,"untested",M602/(M602+N602)))</f>
        <v/>
      </c>
      <c r="P602" s="9"/>
      <c r="Q602" s="9"/>
      <c r="R602" s="9"/>
      <c r="S602" s="12"/>
      <c r="T602" s="9"/>
      <c r="U602" s="9"/>
      <c r="V602" s="9"/>
      <c r="W602" s="10" t="str">
        <f aca="false">IF(C602="","",IF(OR(G602="training",G602="full"),"Yes",IF(G602="none","No","?")))</f>
        <v/>
      </c>
      <c r="X602" s="10" t="str">
        <f aca="false">IF(C602="","",IF(OR(E602="",E602="unknown"),D602,E602))</f>
        <v/>
      </c>
      <c r="Y602" s="10" t="str">
        <f aca="false">IF(C602="","",IF(OR(T602="unsuitable",T602="retired",X602="no"),"—",IF(J602="","unrated",IF(AND(X602="full",J602&gt;=Settings!$C$5,OR(O602="untested",O602&gt;=Settings!$C$6)),"A",IF(AND(OR(X602="full",X602="reduced"),J602&gt;=Settings!$C$7,OR(O602="untested",O602&gt;=Settings!$C$8)),"B","C")))))</f>
        <v/>
      </c>
      <c r="Z602" s="11" t="str">
        <f aca="false">IF(C602="","",IF(P602&lt;&gt;"",P602,Y602))</f>
        <v/>
      </c>
    </row>
    <row r="603" customFormat="false" ht="15" hidden="false" customHeight="false" outlineLevel="0" collapsed="false">
      <c r="A603" s="9"/>
      <c r="B603" s="10" t="str">
        <f aca="false">IF(A603="","",IFERROR(INDEX(Parks!$A$2:$A$255,MATCH(A603,Parks!$B$2:$B$255,0)),"?"))</f>
        <v/>
      </c>
      <c r="C603" s="9"/>
      <c r="D603" s="10" t="str">
        <f aca="false">IF(C603="","",IF(SUMPRODUCT(--ISNUMBER(SEARCH({"Nets","Wicket","Diamond","Softball","T-ball","Baseball","Netball","Tennis","Bocce","Pentaque","Petanque","Skate","Car Park","Pond","Bridle","Amphitheatre","Perimeter","Passive"},C603)))&gt;0,"no",IF(SUMPRODUCT(--ISNUMBER(SEARCH({"Cricket","Junior","Mini","Summer Football","Small"},C603)))&gt;0,"reduced",IF(SUMPRODUCT(--ISNUMBER(SEARCH({"Rugby","Football","League","Touch","Gaelic","Australian","Lacrosse","General Sport","Training Area","Ultimate"},C603)))&gt;0,"full","unknown"))))</f>
        <v/>
      </c>
      <c r="E603" s="9"/>
      <c r="F603" s="9"/>
      <c r="G603" s="9"/>
      <c r="H603" s="9"/>
      <c r="I603" s="12"/>
      <c r="J603" s="9"/>
      <c r="K603" s="9"/>
      <c r="L603" s="9"/>
      <c r="M603" s="9"/>
      <c r="N603" s="9"/>
      <c r="O603" s="13" t="str">
        <f aca="false">IF(C603="","",IF(N(M603)+N(N603)&lt;Settings!$C$9,"untested",M603/(M603+N603)))</f>
        <v/>
      </c>
      <c r="P603" s="9"/>
      <c r="Q603" s="9"/>
      <c r="R603" s="9"/>
      <c r="S603" s="12"/>
      <c r="T603" s="9"/>
      <c r="U603" s="9"/>
      <c r="V603" s="9"/>
      <c r="W603" s="10" t="str">
        <f aca="false">IF(C603="","",IF(OR(G603="training",G603="full"),"Yes",IF(G603="none","No","?")))</f>
        <v/>
      </c>
      <c r="X603" s="10" t="str">
        <f aca="false">IF(C603="","",IF(OR(E603="",E603="unknown"),D603,E603))</f>
        <v/>
      </c>
      <c r="Y603" s="10" t="str">
        <f aca="false">IF(C603="","",IF(OR(T603="unsuitable",T603="retired",X603="no"),"—",IF(J603="","unrated",IF(AND(X603="full",J603&gt;=Settings!$C$5,OR(O603="untested",O603&gt;=Settings!$C$6)),"A",IF(AND(OR(X603="full",X603="reduced"),J603&gt;=Settings!$C$7,OR(O603="untested",O603&gt;=Settings!$C$8)),"B","C")))))</f>
        <v/>
      </c>
      <c r="Z603" s="11" t="str">
        <f aca="false">IF(C603="","",IF(P603&lt;&gt;"",P603,Y603))</f>
        <v/>
      </c>
    </row>
    <row r="604" customFormat="false" ht="15" hidden="false" customHeight="false" outlineLevel="0" collapsed="false">
      <c r="A604" s="9"/>
      <c r="B604" s="10" t="str">
        <f aca="false">IF(A604="","",IFERROR(INDEX(Parks!$A$2:$A$255,MATCH(A604,Parks!$B$2:$B$255,0)),"?"))</f>
        <v/>
      </c>
      <c r="C604" s="9"/>
      <c r="D604" s="10" t="str">
        <f aca="false">IF(C604="","",IF(SUMPRODUCT(--ISNUMBER(SEARCH({"Nets","Wicket","Diamond","Softball","T-ball","Baseball","Netball","Tennis","Bocce","Pentaque","Petanque","Skate","Car Park","Pond","Bridle","Amphitheatre","Perimeter","Passive"},C604)))&gt;0,"no",IF(SUMPRODUCT(--ISNUMBER(SEARCH({"Cricket","Junior","Mini","Summer Football","Small"},C604)))&gt;0,"reduced",IF(SUMPRODUCT(--ISNUMBER(SEARCH({"Rugby","Football","League","Touch","Gaelic","Australian","Lacrosse","General Sport","Training Area","Ultimate"},C604)))&gt;0,"full","unknown"))))</f>
        <v/>
      </c>
      <c r="E604" s="9"/>
      <c r="F604" s="9"/>
      <c r="G604" s="9"/>
      <c r="H604" s="9"/>
      <c r="I604" s="12"/>
      <c r="J604" s="9"/>
      <c r="K604" s="9"/>
      <c r="L604" s="9"/>
      <c r="M604" s="9"/>
      <c r="N604" s="9"/>
      <c r="O604" s="13" t="str">
        <f aca="false">IF(C604="","",IF(N(M604)+N(N604)&lt;Settings!$C$9,"untested",M604/(M604+N604)))</f>
        <v/>
      </c>
      <c r="P604" s="9"/>
      <c r="Q604" s="9"/>
      <c r="R604" s="9"/>
      <c r="S604" s="12"/>
      <c r="T604" s="9"/>
      <c r="U604" s="9"/>
      <c r="V604" s="9"/>
      <c r="W604" s="10" t="str">
        <f aca="false">IF(C604="","",IF(OR(G604="training",G604="full"),"Yes",IF(G604="none","No","?")))</f>
        <v/>
      </c>
      <c r="X604" s="10" t="str">
        <f aca="false">IF(C604="","",IF(OR(E604="",E604="unknown"),D604,E604))</f>
        <v/>
      </c>
      <c r="Y604" s="10" t="str">
        <f aca="false">IF(C604="","",IF(OR(T604="unsuitable",T604="retired",X604="no"),"—",IF(J604="","unrated",IF(AND(X604="full",J604&gt;=Settings!$C$5,OR(O604="untested",O604&gt;=Settings!$C$6)),"A",IF(AND(OR(X604="full",X604="reduced"),J604&gt;=Settings!$C$7,OR(O604="untested",O604&gt;=Settings!$C$8)),"B","C")))))</f>
        <v/>
      </c>
      <c r="Z604" s="11" t="str">
        <f aca="false">IF(C604="","",IF(P604&lt;&gt;"",P604,Y604))</f>
        <v/>
      </c>
    </row>
    <row r="605" customFormat="false" ht="15" hidden="false" customHeight="false" outlineLevel="0" collapsed="false">
      <c r="A605" s="9"/>
      <c r="B605" s="10" t="str">
        <f aca="false">IF(A605="","",IFERROR(INDEX(Parks!$A$2:$A$255,MATCH(A605,Parks!$B$2:$B$255,0)),"?"))</f>
        <v/>
      </c>
      <c r="C605" s="9"/>
      <c r="D605" s="10" t="str">
        <f aca="false">IF(C605="","",IF(SUMPRODUCT(--ISNUMBER(SEARCH({"Nets","Wicket","Diamond","Softball","T-ball","Baseball","Netball","Tennis","Bocce","Pentaque","Petanque","Skate","Car Park","Pond","Bridle","Amphitheatre","Perimeter","Passive"},C605)))&gt;0,"no",IF(SUMPRODUCT(--ISNUMBER(SEARCH({"Cricket","Junior","Mini","Summer Football","Small"},C605)))&gt;0,"reduced",IF(SUMPRODUCT(--ISNUMBER(SEARCH({"Rugby","Football","League","Touch","Gaelic","Australian","Lacrosse","General Sport","Training Area","Ultimate"},C605)))&gt;0,"full","unknown"))))</f>
        <v/>
      </c>
      <c r="E605" s="9"/>
      <c r="F605" s="9"/>
      <c r="G605" s="9"/>
      <c r="H605" s="9"/>
      <c r="I605" s="12"/>
      <c r="J605" s="9"/>
      <c r="K605" s="9"/>
      <c r="L605" s="9"/>
      <c r="M605" s="9"/>
      <c r="N605" s="9"/>
      <c r="O605" s="13" t="str">
        <f aca="false">IF(C605="","",IF(N(M605)+N(N605)&lt;Settings!$C$9,"untested",M605/(M605+N605)))</f>
        <v/>
      </c>
      <c r="P605" s="9"/>
      <c r="Q605" s="9"/>
      <c r="R605" s="9"/>
      <c r="S605" s="12"/>
      <c r="T605" s="9"/>
      <c r="U605" s="9"/>
      <c r="V605" s="9"/>
      <c r="W605" s="10" t="str">
        <f aca="false">IF(C605="","",IF(OR(G605="training",G605="full"),"Yes",IF(G605="none","No","?")))</f>
        <v/>
      </c>
      <c r="X605" s="10" t="str">
        <f aca="false">IF(C605="","",IF(OR(E605="",E605="unknown"),D605,E605))</f>
        <v/>
      </c>
      <c r="Y605" s="10" t="str">
        <f aca="false">IF(C605="","",IF(OR(T605="unsuitable",T605="retired",X605="no"),"—",IF(J605="","unrated",IF(AND(X605="full",J605&gt;=Settings!$C$5,OR(O605="untested",O605&gt;=Settings!$C$6)),"A",IF(AND(OR(X605="full",X605="reduced"),J605&gt;=Settings!$C$7,OR(O605="untested",O605&gt;=Settings!$C$8)),"B","C")))))</f>
        <v/>
      </c>
      <c r="Z605" s="11" t="str">
        <f aca="false">IF(C605="","",IF(P605&lt;&gt;"",P605,Y605))</f>
        <v/>
      </c>
    </row>
    <row r="606" customFormat="false" ht="15" hidden="false" customHeight="false" outlineLevel="0" collapsed="false">
      <c r="A606" s="9"/>
      <c r="B606" s="10" t="str">
        <f aca="false">IF(A606="","",IFERROR(INDEX(Parks!$A$2:$A$255,MATCH(A606,Parks!$B$2:$B$255,0)),"?"))</f>
        <v/>
      </c>
      <c r="C606" s="9"/>
      <c r="D606" s="10" t="str">
        <f aca="false">IF(C606="","",IF(SUMPRODUCT(--ISNUMBER(SEARCH({"Nets","Wicket","Diamond","Softball","T-ball","Baseball","Netball","Tennis","Bocce","Pentaque","Petanque","Skate","Car Park","Pond","Bridle","Amphitheatre","Perimeter","Passive"},C606)))&gt;0,"no",IF(SUMPRODUCT(--ISNUMBER(SEARCH({"Cricket","Junior","Mini","Summer Football","Small"},C606)))&gt;0,"reduced",IF(SUMPRODUCT(--ISNUMBER(SEARCH({"Rugby","Football","League","Touch","Gaelic","Australian","Lacrosse","General Sport","Training Area","Ultimate"},C606)))&gt;0,"full","unknown"))))</f>
        <v/>
      </c>
      <c r="E606" s="9"/>
      <c r="F606" s="9"/>
      <c r="G606" s="9"/>
      <c r="H606" s="9"/>
      <c r="I606" s="12"/>
      <c r="J606" s="9"/>
      <c r="K606" s="9"/>
      <c r="L606" s="9"/>
      <c r="M606" s="9"/>
      <c r="N606" s="9"/>
      <c r="O606" s="13" t="str">
        <f aca="false">IF(C606="","",IF(N(M606)+N(N606)&lt;Settings!$C$9,"untested",M606/(M606+N606)))</f>
        <v/>
      </c>
      <c r="P606" s="9"/>
      <c r="Q606" s="9"/>
      <c r="R606" s="9"/>
      <c r="S606" s="12"/>
      <c r="T606" s="9"/>
      <c r="U606" s="9"/>
      <c r="V606" s="9"/>
      <c r="W606" s="10" t="str">
        <f aca="false">IF(C606="","",IF(OR(G606="training",G606="full"),"Yes",IF(G606="none","No","?")))</f>
        <v/>
      </c>
      <c r="X606" s="10" t="str">
        <f aca="false">IF(C606="","",IF(OR(E606="",E606="unknown"),D606,E606))</f>
        <v/>
      </c>
      <c r="Y606" s="10" t="str">
        <f aca="false">IF(C606="","",IF(OR(T606="unsuitable",T606="retired",X606="no"),"—",IF(J606="","unrated",IF(AND(X606="full",J606&gt;=Settings!$C$5,OR(O606="untested",O606&gt;=Settings!$C$6)),"A",IF(AND(OR(X606="full",X606="reduced"),J606&gt;=Settings!$C$7,OR(O606="untested",O606&gt;=Settings!$C$8)),"B","C")))))</f>
        <v/>
      </c>
      <c r="Z606" s="11" t="str">
        <f aca="false">IF(C606="","",IF(P606&lt;&gt;"",P606,Y606))</f>
        <v/>
      </c>
    </row>
    <row r="607" customFormat="false" ht="15" hidden="false" customHeight="false" outlineLevel="0" collapsed="false">
      <c r="A607" s="9"/>
      <c r="B607" s="10" t="str">
        <f aca="false">IF(A607="","",IFERROR(INDEX(Parks!$A$2:$A$255,MATCH(A607,Parks!$B$2:$B$255,0)),"?"))</f>
        <v/>
      </c>
      <c r="C607" s="9"/>
      <c r="D607" s="10" t="str">
        <f aca="false">IF(C607="","",IF(SUMPRODUCT(--ISNUMBER(SEARCH({"Nets","Wicket","Diamond","Softball","T-ball","Baseball","Netball","Tennis","Bocce","Pentaque","Petanque","Skate","Car Park","Pond","Bridle","Amphitheatre","Perimeter","Passive"},C607)))&gt;0,"no",IF(SUMPRODUCT(--ISNUMBER(SEARCH({"Cricket","Junior","Mini","Summer Football","Small"},C607)))&gt;0,"reduced",IF(SUMPRODUCT(--ISNUMBER(SEARCH({"Rugby","Football","League","Touch","Gaelic","Australian","Lacrosse","General Sport","Training Area","Ultimate"},C607)))&gt;0,"full","unknown"))))</f>
        <v/>
      </c>
      <c r="E607" s="9"/>
      <c r="F607" s="9"/>
      <c r="G607" s="9"/>
      <c r="H607" s="9"/>
      <c r="I607" s="12"/>
      <c r="J607" s="9"/>
      <c r="K607" s="9"/>
      <c r="L607" s="9"/>
      <c r="M607" s="9"/>
      <c r="N607" s="9"/>
      <c r="O607" s="13" t="str">
        <f aca="false">IF(C607="","",IF(N(M607)+N(N607)&lt;Settings!$C$9,"untested",M607/(M607+N607)))</f>
        <v/>
      </c>
      <c r="P607" s="9"/>
      <c r="Q607" s="9"/>
      <c r="R607" s="9"/>
      <c r="S607" s="12"/>
      <c r="T607" s="9"/>
      <c r="U607" s="9"/>
      <c r="V607" s="9"/>
      <c r="W607" s="10" t="str">
        <f aca="false">IF(C607="","",IF(OR(G607="training",G607="full"),"Yes",IF(G607="none","No","?")))</f>
        <v/>
      </c>
      <c r="X607" s="10" t="str">
        <f aca="false">IF(C607="","",IF(OR(E607="",E607="unknown"),D607,E607))</f>
        <v/>
      </c>
      <c r="Y607" s="10" t="str">
        <f aca="false">IF(C607="","",IF(OR(T607="unsuitable",T607="retired",X607="no"),"—",IF(J607="","unrated",IF(AND(X607="full",J607&gt;=Settings!$C$5,OR(O607="untested",O607&gt;=Settings!$C$6)),"A",IF(AND(OR(X607="full",X607="reduced"),J607&gt;=Settings!$C$7,OR(O607="untested",O607&gt;=Settings!$C$8)),"B","C")))))</f>
        <v/>
      </c>
      <c r="Z607" s="11" t="str">
        <f aca="false">IF(C607="","",IF(P607&lt;&gt;"",P607,Y607))</f>
        <v/>
      </c>
    </row>
    <row r="608" customFormat="false" ht="15" hidden="false" customHeight="false" outlineLevel="0" collapsed="false">
      <c r="A608" s="9"/>
      <c r="B608" s="10" t="str">
        <f aca="false">IF(A608="","",IFERROR(INDEX(Parks!$A$2:$A$255,MATCH(A608,Parks!$B$2:$B$255,0)),"?"))</f>
        <v/>
      </c>
      <c r="C608" s="9"/>
      <c r="D608" s="10" t="str">
        <f aca="false">IF(C608="","",IF(SUMPRODUCT(--ISNUMBER(SEARCH({"Nets","Wicket","Diamond","Softball","T-ball","Baseball","Netball","Tennis","Bocce","Pentaque","Petanque","Skate","Car Park","Pond","Bridle","Amphitheatre","Perimeter","Passive"},C608)))&gt;0,"no",IF(SUMPRODUCT(--ISNUMBER(SEARCH({"Cricket","Junior","Mini","Summer Football","Small"},C608)))&gt;0,"reduced",IF(SUMPRODUCT(--ISNUMBER(SEARCH({"Rugby","Football","League","Touch","Gaelic","Australian","Lacrosse","General Sport","Training Area","Ultimate"},C608)))&gt;0,"full","unknown"))))</f>
        <v/>
      </c>
      <c r="E608" s="9"/>
      <c r="F608" s="9"/>
      <c r="G608" s="9"/>
      <c r="H608" s="9"/>
      <c r="I608" s="12"/>
      <c r="J608" s="9"/>
      <c r="K608" s="9"/>
      <c r="L608" s="9"/>
      <c r="M608" s="9"/>
      <c r="N608" s="9"/>
      <c r="O608" s="13" t="str">
        <f aca="false">IF(C608="","",IF(N(M608)+N(N608)&lt;Settings!$C$9,"untested",M608/(M608+N608)))</f>
        <v/>
      </c>
      <c r="P608" s="9"/>
      <c r="Q608" s="9"/>
      <c r="R608" s="9"/>
      <c r="S608" s="12"/>
      <c r="T608" s="9"/>
      <c r="U608" s="9"/>
      <c r="V608" s="9"/>
      <c r="W608" s="10" t="str">
        <f aca="false">IF(C608="","",IF(OR(G608="training",G608="full"),"Yes",IF(G608="none","No","?")))</f>
        <v/>
      </c>
      <c r="X608" s="10" t="str">
        <f aca="false">IF(C608="","",IF(OR(E608="",E608="unknown"),D608,E608))</f>
        <v/>
      </c>
      <c r="Y608" s="10" t="str">
        <f aca="false">IF(C608="","",IF(OR(T608="unsuitable",T608="retired",X608="no"),"—",IF(J608="","unrated",IF(AND(X608="full",J608&gt;=Settings!$C$5,OR(O608="untested",O608&gt;=Settings!$C$6)),"A",IF(AND(OR(X608="full",X608="reduced"),J608&gt;=Settings!$C$7,OR(O608="untested",O608&gt;=Settings!$C$8)),"B","C")))))</f>
        <v/>
      </c>
      <c r="Z608" s="11" t="str">
        <f aca="false">IF(C608="","",IF(P608&lt;&gt;"",P608,Y608))</f>
        <v/>
      </c>
    </row>
    <row r="609" customFormat="false" ht="15" hidden="false" customHeight="false" outlineLevel="0" collapsed="false">
      <c r="A609" s="9"/>
      <c r="B609" s="10" t="str">
        <f aca="false">IF(A609="","",IFERROR(INDEX(Parks!$A$2:$A$255,MATCH(A609,Parks!$B$2:$B$255,0)),"?"))</f>
        <v/>
      </c>
      <c r="C609" s="9"/>
      <c r="D609" s="10" t="str">
        <f aca="false">IF(C609="","",IF(SUMPRODUCT(--ISNUMBER(SEARCH({"Nets","Wicket","Diamond","Softball","T-ball","Baseball","Netball","Tennis","Bocce","Pentaque","Petanque","Skate","Car Park","Pond","Bridle","Amphitheatre","Perimeter","Passive"},C609)))&gt;0,"no",IF(SUMPRODUCT(--ISNUMBER(SEARCH({"Cricket","Junior","Mini","Summer Football","Small"},C609)))&gt;0,"reduced",IF(SUMPRODUCT(--ISNUMBER(SEARCH({"Rugby","Football","League","Touch","Gaelic","Australian","Lacrosse","General Sport","Training Area","Ultimate"},C609)))&gt;0,"full","unknown"))))</f>
        <v/>
      </c>
      <c r="E609" s="9"/>
      <c r="F609" s="9"/>
      <c r="G609" s="9"/>
      <c r="H609" s="9"/>
      <c r="I609" s="12"/>
      <c r="J609" s="9"/>
      <c r="K609" s="9"/>
      <c r="L609" s="9"/>
      <c r="M609" s="9"/>
      <c r="N609" s="9"/>
      <c r="O609" s="13" t="str">
        <f aca="false">IF(C609="","",IF(N(M609)+N(N609)&lt;Settings!$C$9,"untested",M609/(M609+N609)))</f>
        <v/>
      </c>
      <c r="P609" s="9"/>
      <c r="Q609" s="9"/>
      <c r="R609" s="9"/>
      <c r="S609" s="12"/>
      <c r="T609" s="9"/>
      <c r="U609" s="9"/>
      <c r="V609" s="9"/>
      <c r="W609" s="10" t="str">
        <f aca="false">IF(C609="","",IF(OR(G609="training",G609="full"),"Yes",IF(G609="none","No","?")))</f>
        <v/>
      </c>
      <c r="X609" s="10" t="str">
        <f aca="false">IF(C609="","",IF(OR(E609="",E609="unknown"),D609,E609))</f>
        <v/>
      </c>
      <c r="Y609" s="10" t="str">
        <f aca="false">IF(C609="","",IF(OR(T609="unsuitable",T609="retired",X609="no"),"—",IF(J609="","unrated",IF(AND(X609="full",J609&gt;=Settings!$C$5,OR(O609="untested",O609&gt;=Settings!$C$6)),"A",IF(AND(OR(X609="full",X609="reduced"),J609&gt;=Settings!$C$7,OR(O609="untested",O609&gt;=Settings!$C$8)),"B","C")))))</f>
        <v/>
      </c>
      <c r="Z609" s="11" t="str">
        <f aca="false">IF(C609="","",IF(P609&lt;&gt;"",P609,Y609))</f>
        <v/>
      </c>
    </row>
    <row r="610" customFormat="false" ht="15" hidden="false" customHeight="false" outlineLevel="0" collapsed="false">
      <c r="A610" s="9"/>
      <c r="B610" s="10" t="str">
        <f aca="false">IF(A610="","",IFERROR(INDEX(Parks!$A$2:$A$255,MATCH(A610,Parks!$B$2:$B$255,0)),"?"))</f>
        <v/>
      </c>
      <c r="C610" s="9"/>
      <c r="D610" s="10" t="str">
        <f aca="false">IF(C610="","",IF(SUMPRODUCT(--ISNUMBER(SEARCH({"Nets","Wicket","Diamond","Softball","T-ball","Baseball","Netball","Tennis","Bocce","Pentaque","Petanque","Skate","Car Park","Pond","Bridle","Amphitheatre","Perimeter","Passive"},C610)))&gt;0,"no",IF(SUMPRODUCT(--ISNUMBER(SEARCH({"Cricket","Junior","Mini","Summer Football","Small"},C610)))&gt;0,"reduced",IF(SUMPRODUCT(--ISNUMBER(SEARCH({"Rugby","Football","League","Touch","Gaelic","Australian","Lacrosse","General Sport","Training Area","Ultimate"},C610)))&gt;0,"full","unknown"))))</f>
        <v/>
      </c>
      <c r="E610" s="9"/>
      <c r="F610" s="9"/>
      <c r="G610" s="9"/>
      <c r="H610" s="9"/>
      <c r="I610" s="12"/>
      <c r="J610" s="9"/>
      <c r="K610" s="9"/>
      <c r="L610" s="9"/>
      <c r="M610" s="9"/>
      <c r="N610" s="9"/>
      <c r="O610" s="13" t="str">
        <f aca="false">IF(C610="","",IF(N(M610)+N(N610)&lt;Settings!$C$9,"untested",M610/(M610+N610)))</f>
        <v/>
      </c>
      <c r="P610" s="9"/>
      <c r="Q610" s="9"/>
      <c r="R610" s="9"/>
      <c r="S610" s="12"/>
      <c r="T610" s="9"/>
      <c r="U610" s="9"/>
      <c r="V610" s="9"/>
      <c r="W610" s="10" t="str">
        <f aca="false">IF(C610="","",IF(OR(G610="training",G610="full"),"Yes",IF(G610="none","No","?")))</f>
        <v/>
      </c>
      <c r="X610" s="10" t="str">
        <f aca="false">IF(C610="","",IF(OR(E610="",E610="unknown"),D610,E610))</f>
        <v/>
      </c>
      <c r="Y610" s="10" t="str">
        <f aca="false">IF(C610="","",IF(OR(T610="unsuitable",T610="retired",X610="no"),"—",IF(J610="","unrated",IF(AND(X610="full",J610&gt;=Settings!$C$5,OR(O610="untested",O610&gt;=Settings!$C$6)),"A",IF(AND(OR(X610="full",X610="reduced"),J610&gt;=Settings!$C$7,OR(O610="untested",O610&gt;=Settings!$C$8)),"B","C")))))</f>
        <v/>
      </c>
      <c r="Z610" s="11" t="str">
        <f aca="false">IF(C610="","",IF(P610&lt;&gt;"",P610,Y610))</f>
        <v/>
      </c>
    </row>
    <row r="611" customFormat="false" ht="15" hidden="false" customHeight="false" outlineLevel="0" collapsed="false">
      <c r="A611" s="9"/>
      <c r="B611" s="10" t="str">
        <f aca="false">IF(A611="","",IFERROR(INDEX(Parks!$A$2:$A$255,MATCH(A611,Parks!$B$2:$B$255,0)),"?"))</f>
        <v/>
      </c>
      <c r="C611" s="9"/>
      <c r="D611" s="10" t="str">
        <f aca="false">IF(C611="","",IF(SUMPRODUCT(--ISNUMBER(SEARCH({"Nets","Wicket","Diamond","Softball","T-ball","Baseball","Netball","Tennis","Bocce","Pentaque","Petanque","Skate","Car Park","Pond","Bridle","Amphitheatre","Perimeter","Passive"},C611)))&gt;0,"no",IF(SUMPRODUCT(--ISNUMBER(SEARCH({"Cricket","Junior","Mini","Summer Football","Small"},C611)))&gt;0,"reduced",IF(SUMPRODUCT(--ISNUMBER(SEARCH({"Rugby","Football","League","Touch","Gaelic","Australian","Lacrosse","General Sport","Training Area","Ultimate"},C611)))&gt;0,"full","unknown"))))</f>
        <v/>
      </c>
      <c r="E611" s="9"/>
      <c r="F611" s="9"/>
      <c r="G611" s="9"/>
      <c r="H611" s="9"/>
      <c r="I611" s="12"/>
      <c r="J611" s="9"/>
      <c r="K611" s="9"/>
      <c r="L611" s="9"/>
      <c r="M611" s="9"/>
      <c r="N611" s="9"/>
      <c r="O611" s="13" t="str">
        <f aca="false">IF(C611="","",IF(N(M611)+N(N611)&lt;Settings!$C$9,"untested",M611/(M611+N611)))</f>
        <v/>
      </c>
      <c r="P611" s="9"/>
      <c r="Q611" s="9"/>
      <c r="R611" s="9"/>
      <c r="S611" s="12"/>
      <c r="T611" s="9"/>
      <c r="U611" s="9"/>
      <c r="V611" s="9"/>
      <c r="W611" s="10" t="str">
        <f aca="false">IF(C611="","",IF(OR(G611="training",G611="full"),"Yes",IF(G611="none","No","?")))</f>
        <v/>
      </c>
      <c r="X611" s="10" t="str">
        <f aca="false">IF(C611="","",IF(OR(E611="",E611="unknown"),D611,E611))</f>
        <v/>
      </c>
      <c r="Y611" s="10" t="str">
        <f aca="false">IF(C611="","",IF(OR(T611="unsuitable",T611="retired",X611="no"),"—",IF(J611="","unrated",IF(AND(X611="full",J611&gt;=Settings!$C$5,OR(O611="untested",O611&gt;=Settings!$C$6)),"A",IF(AND(OR(X611="full",X611="reduced"),J611&gt;=Settings!$C$7,OR(O611="untested",O611&gt;=Settings!$C$8)),"B","C")))))</f>
        <v/>
      </c>
      <c r="Z611" s="11" t="str">
        <f aca="false">IF(C611="","",IF(P611&lt;&gt;"",P611,Y611))</f>
        <v/>
      </c>
    </row>
    <row r="612" customFormat="false" ht="15" hidden="false" customHeight="false" outlineLevel="0" collapsed="false">
      <c r="A612" s="9"/>
      <c r="B612" s="10" t="str">
        <f aca="false">IF(A612="","",IFERROR(INDEX(Parks!$A$2:$A$255,MATCH(A612,Parks!$B$2:$B$255,0)),"?"))</f>
        <v/>
      </c>
      <c r="C612" s="9"/>
      <c r="D612" s="10" t="str">
        <f aca="false">IF(C612="","",IF(SUMPRODUCT(--ISNUMBER(SEARCH({"Nets","Wicket","Diamond","Softball","T-ball","Baseball","Netball","Tennis","Bocce","Pentaque","Petanque","Skate","Car Park","Pond","Bridle","Amphitheatre","Perimeter","Passive"},C612)))&gt;0,"no",IF(SUMPRODUCT(--ISNUMBER(SEARCH({"Cricket","Junior","Mini","Summer Football","Small"},C612)))&gt;0,"reduced",IF(SUMPRODUCT(--ISNUMBER(SEARCH({"Rugby","Football","League","Touch","Gaelic","Australian","Lacrosse","General Sport","Training Area","Ultimate"},C612)))&gt;0,"full","unknown"))))</f>
        <v/>
      </c>
      <c r="E612" s="9"/>
      <c r="F612" s="9"/>
      <c r="G612" s="9"/>
      <c r="H612" s="9"/>
      <c r="I612" s="12"/>
      <c r="J612" s="9"/>
      <c r="K612" s="9"/>
      <c r="L612" s="9"/>
      <c r="M612" s="9"/>
      <c r="N612" s="9"/>
      <c r="O612" s="13" t="str">
        <f aca="false">IF(C612="","",IF(N(M612)+N(N612)&lt;Settings!$C$9,"untested",M612/(M612+N612)))</f>
        <v/>
      </c>
      <c r="P612" s="9"/>
      <c r="Q612" s="9"/>
      <c r="R612" s="9"/>
      <c r="S612" s="12"/>
      <c r="T612" s="9"/>
      <c r="U612" s="9"/>
      <c r="V612" s="9"/>
      <c r="W612" s="10" t="str">
        <f aca="false">IF(C612="","",IF(OR(G612="training",G612="full"),"Yes",IF(G612="none","No","?")))</f>
        <v/>
      </c>
      <c r="X612" s="10" t="str">
        <f aca="false">IF(C612="","",IF(OR(E612="",E612="unknown"),D612,E612))</f>
        <v/>
      </c>
      <c r="Y612" s="10" t="str">
        <f aca="false">IF(C612="","",IF(OR(T612="unsuitable",T612="retired",X612="no"),"—",IF(J612="","unrated",IF(AND(X612="full",J612&gt;=Settings!$C$5,OR(O612="untested",O612&gt;=Settings!$C$6)),"A",IF(AND(OR(X612="full",X612="reduced"),J612&gt;=Settings!$C$7,OR(O612="untested",O612&gt;=Settings!$C$8)),"B","C")))))</f>
        <v/>
      </c>
      <c r="Z612" s="11" t="str">
        <f aca="false">IF(C612="","",IF(P612&lt;&gt;"",P612,Y612))</f>
        <v/>
      </c>
    </row>
    <row r="613" customFormat="false" ht="15" hidden="false" customHeight="false" outlineLevel="0" collapsed="false">
      <c r="A613" s="9"/>
      <c r="B613" s="10" t="str">
        <f aca="false">IF(A613="","",IFERROR(INDEX(Parks!$A$2:$A$255,MATCH(A613,Parks!$B$2:$B$255,0)),"?"))</f>
        <v/>
      </c>
      <c r="C613" s="9"/>
      <c r="D613" s="10" t="str">
        <f aca="false">IF(C613="","",IF(SUMPRODUCT(--ISNUMBER(SEARCH({"Nets","Wicket","Diamond","Softball","T-ball","Baseball","Netball","Tennis","Bocce","Pentaque","Petanque","Skate","Car Park","Pond","Bridle","Amphitheatre","Perimeter","Passive"},C613)))&gt;0,"no",IF(SUMPRODUCT(--ISNUMBER(SEARCH({"Cricket","Junior","Mini","Summer Football","Small"},C613)))&gt;0,"reduced",IF(SUMPRODUCT(--ISNUMBER(SEARCH({"Rugby","Football","League","Touch","Gaelic","Australian","Lacrosse","General Sport","Training Area","Ultimate"},C613)))&gt;0,"full","unknown"))))</f>
        <v/>
      </c>
      <c r="E613" s="9"/>
      <c r="F613" s="9"/>
      <c r="G613" s="9"/>
      <c r="H613" s="9"/>
      <c r="I613" s="12"/>
      <c r="J613" s="9"/>
      <c r="K613" s="9"/>
      <c r="L613" s="9"/>
      <c r="M613" s="9"/>
      <c r="N613" s="9"/>
      <c r="O613" s="13" t="str">
        <f aca="false">IF(C613="","",IF(N(M613)+N(N613)&lt;Settings!$C$9,"untested",M613/(M613+N613)))</f>
        <v/>
      </c>
      <c r="P613" s="9"/>
      <c r="Q613" s="9"/>
      <c r="R613" s="9"/>
      <c r="S613" s="12"/>
      <c r="T613" s="9"/>
      <c r="U613" s="9"/>
      <c r="V613" s="9"/>
      <c r="W613" s="10" t="str">
        <f aca="false">IF(C613="","",IF(OR(G613="training",G613="full"),"Yes",IF(G613="none","No","?")))</f>
        <v/>
      </c>
      <c r="X613" s="10" t="str">
        <f aca="false">IF(C613="","",IF(OR(E613="",E613="unknown"),D613,E613))</f>
        <v/>
      </c>
      <c r="Y613" s="10" t="str">
        <f aca="false">IF(C613="","",IF(OR(T613="unsuitable",T613="retired",X613="no"),"—",IF(J613="","unrated",IF(AND(X613="full",J613&gt;=Settings!$C$5,OR(O613="untested",O613&gt;=Settings!$C$6)),"A",IF(AND(OR(X613="full",X613="reduced"),J613&gt;=Settings!$C$7,OR(O613="untested",O613&gt;=Settings!$C$8)),"B","C")))))</f>
        <v/>
      </c>
      <c r="Z613" s="11" t="str">
        <f aca="false">IF(C613="","",IF(P613&lt;&gt;"",P613,Y613))</f>
        <v/>
      </c>
    </row>
    <row r="614" customFormat="false" ht="15" hidden="false" customHeight="false" outlineLevel="0" collapsed="false">
      <c r="A614" s="9"/>
      <c r="B614" s="10" t="str">
        <f aca="false">IF(A614="","",IFERROR(INDEX(Parks!$A$2:$A$255,MATCH(A614,Parks!$B$2:$B$255,0)),"?"))</f>
        <v/>
      </c>
      <c r="C614" s="9"/>
      <c r="D614" s="10" t="str">
        <f aca="false">IF(C614="","",IF(SUMPRODUCT(--ISNUMBER(SEARCH({"Nets","Wicket","Diamond","Softball","T-ball","Baseball","Netball","Tennis","Bocce","Pentaque","Petanque","Skate","Car Park","Pond","Bridle","Amphitheatre","Perimeter","Passive"},C614)))&gt;0,"no",IF(SUMPRODUCT(--ISNUMBER(SEARCH({"Cricket","Junior","Mini","Summer Football","Small"},C614)))&gt;0,"reduced",IF(SUMPRODUCT(--ISNUMBER(SEARCH({"Rugby","Football","League","Touch","Gaelic","Australian","Lacrosse","General Sport","Training Area","Ultimate"},C614)))&gt;0,"full","unknown"))))</f>
        <v/>
      </c>
      <c r="E614" s="9"/>
      <c r="F614" s="9"/>
      <c r="G614" s="9"/>
      <c r="H614" s="9"/>
      <c r="I614" s="12"/>
      <c r="J614" s="9"/>
      <c r="K614" s="9"/>
      <c r="L614" s="9"/>
      <c r="M614" s="9"/>
      <c r="N614" s="9"/>
      <c r="O614" s="13" t="str">
        <f aca="false">IF(C614="","",IF(N(M614)+N(N614)&lt;Settings!$C$9,"untested",M614/(M614+N614)))</f>
        <v/>
      </c>
      <c r="P614" s="9"/>
      <c r="Q614" s="9"/>
      <c r="R614" s="9"/>
      <c r="S614" s="12"/>
      <c r="T614" s="9"/>
      <c r="U614" s="9"/>
      <c r="V614" s="9"/>
      <c r="W614" s="10" t="str">
        <f aca="false">IF(C614="","",IF(OR(G614="training",G614="full"),"Yes",IF(G614="none","No","?")))</f>
        <v/>
      </c>
      <c r="X614" s="10" t="str">
        <f aca="false">IF(C614="","",IF(OR(E614="",E614="unknown"),D614,E614))</f>
        <v/>
      </c>
      <c r="Y614" s="10" t="str">
        <f aca="false">IF(C614="","",IF(OR(T614="unsuitable",T614="retired",X614="no"),"—",IF(J614="","unrated",IF(AND(X614="full",J614&gt;=Settings!$C$5,OR(O614="untested",O614&gt;=Settings!$C$6)),"A",IF(AND(OR(X614="full",X614="reduced"),J614&gt;=Settings!$C$7,OR(O614="untested",O614&gt;=Settings!$C$8)),"B","C")))))</f>
        <v/>
      </c>
      <c r="Z614" s="11" t="str">
        <f aca="false">IF(C614="","",IF(P614&lt;&gt;"",P614,Y614))</f>
        <v/>
      </c>
    </row>
    <row r="615" customFormat="false" ht="15" hidden="false" customHeight="false" outlineLevel="0" collapsed="false">
      <c r="A615" s="9"/>
      <c r="B615" s="10" t="str">
        <f aca="false">IF(A615="","",IFERROR(INDEX(Parks!$A$2:$A$255,MATCH(A615,Parks!$B$2:$B$255,0)),"?"))</f>
        <v/>
      </c>
      <c r="C615" s="9"/>
      <c r="D615" s="10" t="str">
        <f aca="false">IF(C615="","",IF(SUMPRODUCT(--ISNUMBER(SEARCH({"Nets","Wicket","Diamond","Softball","T-ball","Baseball","Netball","Tennis","Bocce","Pentaque","Petanque","Skate","Car Park","Pond","Bridle","Amphitheatre","Perimeter","Passive"},C615)))&gt;0,"no",IF(SUMPRODUCT(--ISNUMBER(SEARCH({"Cricket","Junior","Mini","Summer Football","Small"},C615)))&gt;0,"reduced",IF(SUMPRODUCT(--ISNUMBER(SEARCH({"Rugby","Football","League","Touch","Gaelic","Australian","Lacrosse","General Sport","Training Area","Ultimate"},C615)))&gt;0,"full","unknown"))))</f>
        <v/>
      </c>
      <c r="E615" s="9"/>
      <c r="F615" s="9"/>
      <c r="G615" s="9"/>
      <c r="H615" s="9"/>
      <c r="I615" s="12"/>
      <c r="J615" s="9"/>
      <c r="K615" s="9"/>
      <c r="L615" s="9"/>
      <c r="M615" s="9"/>
      <c r="N615" s="9"/>
      <c r="O615" s="13" t="str">
        <f aca="false">IF(C615="","",IF(N(M615)+N(N615)&lt;Settings!$C$9,"untested",M615/(M615+N615)))</f>
        <v/>
      </c>
      <c r="P615" s="9"/>
      <c r="Q615" s="9"/>
      <c r="R615" s="9"/>
      <c r="S615" s="12"/>
      <c r="T615" s="9"/>
      <c r="U615" s="9"/>
      <c r="V615" s="9"/>
      <c r="W615" s="10" t="str">
        <f aca="false">IF(C615="","",IF(OR(G615="training",G615="full"),"Yes",IF(G615="none","No","?")))</f>
        <v/>
      </c>
      <c r="X615" s="10" t="str">
        <f aca="false">IF(C615="","",IF(OR(E615="",E615="unknown"),D615,E615))</f>
        <v/>
      </c>
      <c r="Y615" s="10" t="str">
        <f aca="false">IF(C615="","",IF(OR(T615="unsuitable",T615="retired",X615="no"),"—",IF(J615="","unrated",IF(AND(X615="full",J615&gt;=Settings!$C$5,OR(O615="untested",O615&gt;=Settings!$C$6)),"A",IF(AND(OR(X615="full",X615="reduced"),J615&gt;=Settings!$C$7,OR(O615="untested",O615&gt;=Settings!$C$8)),"B","C")))))</f>
        <v/>
      </c>
      <c r="Z615" s="11" t="str">
        <f aca="false">IF(C615="","",IF(P615&lt;&gt;"",P615,Y615))</f>
        <v/>
      </c>
    </row>
    <row r="616" customFormat="false" ht="15" hidden="false" customHeight="false" outlineLevel="0" collapsed="false">
      <c r="A616" s="9"/>
      <c r="B616" s="10" t="str">
        <f aca="false">IF(A616="","",IFERROR(INDEX(Parks!$A$2:$A$255,MATCH(A616,Parks!$B$2:$B$255,0)),"?"))</f>
        <v/>
      </c>
      <c r="C616" s="9"/>
      <c r="D616" s="10" t="str">
        <f aca="false">IF(C616="","",IF(SUMPRODUCT(--ISNUMBER(SEARCH({"Nets","Wicket","Diamond","Softball","T-ball","Baseball","Netball","Tennis","Bocce","Pentaque","Petanque","Skate","Car Park","Pond","Bridle","Amphitheatre","Perimeter","Passive"},C616)))&gt;0,"no",IF(SUMPRODUCT(--ISNUMBER(SEARCH({"Cricket","Junior","Mini","Summer Football","Small"},C616)))&gt;0,"reduced",IF(SUMPRODUCT(--ISNUMBER(SEARCH({"Rugby","Football","League","Touch","Gaelic","Australian","Lacrosse","General Sport","Training Area","Ultimate"},C616)))&gt;0,"full","unknown"))))</f>
        <v/>
      </c>
      <c r="E616" s="9"/>
      <c r="F616" s="9"/>
      <c r="G616" s="9"/>
      <c r="H616" s="9"/>
      <c r="I616" s="12"/>
      <c r="J616" s="9"/>
      <c r="K616" s="9"/>
      <c r="L616" s="9"/>
      <c r="M616" s="9"/>
      <c r="N616" s="9"/>
      <c r="O616" s="13" t="str">
        <f aca="false">IF(C616="","",IF(N(M616)+N(N616)&lt;Settings!$C$9,"untested",M616/(M616+N616)))</f>
        <v/>
      </c>
      <c r="P616" s="9"/>
      <c r="Q616" s="9"/>
      <c r="R616" s="9"/>
      <c r="S616" s="12"/>
      <c r="T616" s="9"/>
      <c r="U616" s="9"/>
      <c r="V616" s="9"/>
      <c r="W616" s="10" t="str">
        <f aca="false">IF(C616="","",IF(OR(G616="training",G616="full"),"Yes",IF(G616="none","No","?")))</f>
        <v/>
      </c>
      <c r="X616" s="10" t="str">
        <f aca="false">IF(C616="","",IF(OR(E616="",E616="unknown"),D616,E616))</f>
        <v/>
      </c>
      <c r="Y616" s="10" t="str">
        <f aca="false">IF(C616="","",IF(OR(T616="unsuitable",T616="retired",X616="no"),"—",IF(J616="","unrated",IF(AND(X616="full",J616&gt;=Settings!$C$5,OR(O616="untested",O616&gt;=Settings!$C$6)),"A",IF(AND(OR(X616="full",X616="reduced"),J616&gt;=Settings!$C$7,OR(O616="untested",O616&gt;=Settings!$C$8)),"B","C")))))</f>
        <v/>
      </c>
      <c r="Z616" s="11" t="str">
        <f aca="false">IF(C616="","",IF(P616&lt;&gt;"",P616,Y616))</f>
        <v/>
      </c>
    </row>
    <row r="617" customFormat="false" ht="15" hidden="false" customHeight="false" outlineLevel="0" collapsed="false">
      <c r="A617" s="9"/>
      <c r="B617" s="10" t="str">
        <f aca="false">IF(A617="","",IFERROR(INDEX(Parks!$A$2:$A$255,MATCH(A617,Parks!$B$2:$B$255,0)),"?"))</f>
        <v/>
      </c>
      <c r="C617" s="9"/>
      <c r="D617" s="10" t="str">
        <f aca="false">IF(C617="","",IF(SUMPRODUCT(--ISNUMBER(SEARCH({"Nets","Wicket","Diamond","Softball","T-ball","Baseball","Netball","Tennis","Bocce","Pentaque","Petanque","Skate","Car Park","Pond","Bridle","Amphitheatre","Perimeter","Passive"},C617)))&gt;0,"no",IF(SUMPRODUCT(--ISNUMBER(SEARCH({"Cricket","Junior","Mini","Summer Football","Small"},C617)))&gt;0,"reduced",IF(SUMPRODUCT(--ISNUMBER(SEARCH({"Rugby","Football","League","Touch","Gaelic","Australian","Lacrosse","General Sport","Training Area","Ultimate"},C617)))&gt;0,"full","unknown"))))</f>
        <v/>
      </c>
      <c r="E617" s="9"/>
      <c r="F617" s="9"/>
      <c r="G617" s="9"/>
      <c r="H617" s="9"/>
      <c r="I617" s="12"/>
      <c r="J617" s="9"/>
      <c r="K617" s="9"/>
      <c r="L617" s="9"/>
      <c r="M617" s="9"/>
      <c r="N617" s="9"/>
      <c r="O617" s="13" t="str">
        <f aca="false">IF(C617="","",IF(N(M617)+N(N617)&lt;Settings!$C$9,"untested",M617/(M617+N617)))</f>
        <v/>
      </c>
      <c r="P617" s="9"/>
      <c r="Q617" s="9"/>
      <c r="R617" s="9"/>
      <c r="S617" s="12"/>
      <c r="T617" s="9"/>
      <c r="U617" s="9"/>
      <c r="V617" s="9"/>
      <c r="W617" s="10" t="str">
        <f aca="false">IF(C617="","",IF(OR(G617="training",G617="full"),"Yes",IF(G617="none","No","?")))</f>
        <v/>
      </c>
      <c r="X617" s="10" t="str">
        <f aca="false">IF(C617="","",IF(OR(E617="",E617="unknown"),D617,E617))</f>
        <v/>
      </c>
      <c r="Y617" s="10" t="str">
        <f aca="false">IF(C617="","",IF(OR(T617="unsuitable",T617="retired",X617="no"),"—",IF(J617="","unrated",IF(AND(X617="full",J617&gt;=Settings!$C$5,OR(O617="untested",O617&gt;=Settings!$C$6)),"A",IF(AND(OR(X617="full",X617="reduced"),J617&gt;=Settings!$C$7,OR(O617="untested",O617&gt;=Settings!$C$8)),"B","C")))))</f>
        <v/>
      </c>
      <c r="Z617" s="11" t="str">
        <f aca="false">IF(C617="","",IF(P617&lt;&gt;"",P617,Y617))</f>
        <v/>
      </c>
    </row>
    <row r="618" customFormat="false" ht="15" hidden="false" customHeight="false" outlineLevel="0" collapsed="false">
      <c r="A618" s="9"/>
      <c r="B618" s="10" t="str">
        <f aca="false">IF(A618="","",IFERROR(INDEX(Parks!$A$2:$A$255,MATCH(A618,Parks!$B$2:$B$255,0)),"?"))</f>
        <v/>
      </c>
      <c r="C618" s="9"/>
      <c r="D618" s="10" t="str">
        <f aca="false">IF(C618="","",IF(SUMPRODUCT(--ISNUMBER(SEARCH({"Nets","Wicket","Diamond","Softball","T-ball","Baseball","Netball","Tennis","Bocce","Pentaque","Petanque","Skate","Car Park","Pond","Bridle","Amphitheatre","Perimeter","Passive"},C618)))&gt;0,"no",IF(SUMPRODUCT(--ISNUMBER(SEARCH({"Cricket","Junior","Mini","Summer Football","Small"},C618)))&gt;0,"reduced",IF(SUMPRODUCT(--ISNUMBER(SEARCH({"Rugby","Football","League","Touch","Gaelic","Australian","Lacrosse","General Sport","Training Area","Ultimate"},C618)))&gt;0,"full","unknown"))))</f>
        <v/>
      </c>
      <c r="E618" s="9"/>
      <c r="F618" s="9"/>
      <c r="G618" s="9"/>
      <c r="H618" s="9"/>
      <c r="I618" s="12"/>
      <c r="J618" s="9"/>
      <c r="K618" s="9"/>
      <c r="L618" s="9"/>
      <c r="M618" s="9"/>
      <c r="N618" s="9"/>
      <c r="O618" s="13" t="str">
        <f aca="false">IF(C618="","",IF(N(M618)+N(N618)&lt;Settings!$C$9,"untested",M618/(M618+N618)))</f>
        <v/>
      </c>
      <c r="P618" s="9"/>
      <c r="Q618" s="9"/>
      <c r="R618" s="9"/>
      <c r="S618" s="12"/>
      <c r="T618" s="9"/>
      <c r="U618" s="9"/>
      <c r="V618" s="9"/>
      <c r="W618" s="10" t="str">
        <f aca="false">IF(C618="","",IF(OR(G618="training",G618="full"),"Yes",IF(G618="none","No","?")))</f>
        <v/>
      </c>
      <c r="X618" s="10" t="str">
        <f aca="false">IF(C618="","",IF(OR(E618="",E618="unknown"),D618,E618))</f>
        <v/>
      </c>
      <c r="Y618" s="10" t="str">
        <f aca="false">IF(C618="","",IF(OR(T618="unsuitable",T618="retired",X618="no"),"—",IF(J618="","unrated",IF(AND(X618="full",J618&gt;=Settings!$C$5,OR(O618="untested",O618&gt;=Settings!$C$6)),"A",IF(AND(OR(X618="full",X618="reduced"),J618&gt;=Settings!$C$7,OR(O618="untested",O618&gt;=Settings!$C$8)),"B","C")))))</f>
        <v/>
      </c>
      <c r="Z618" s="11" t="str">
        <f aca="false">IF(C618="","",IF(P618&lt;&gt;"",P618,Y618))</f>
        <v/>
      </c>
    </row>
    <row r="619" customFormat="false" ht="15" hidden="false" customHeight="false" outlineLevel="0" collapsed="false">
      <c r="A619" s="9"/>
      <c r="B619" s="10" t="str">
        <f aca="false">IF(A619="","",IFERROR(INDEX(Parks!$A$2:$A$255,MATCH(A619,Parks!$B$2:$B$255,0)),"?"))</f>
        <v/>
      </c>
      <c r="C619" s="9"/>
      <c r="D619" s="10" t="str">
        <f aca="false">IF(C619="","",IF(SUMPRODUCT(--ISNUMBER(SEARCH({"Nets","Wicket","Diamond","Softball","T-ball","Baseball","Netball","Tennis","Bocce","Pentaque","Petanque","Skate","Car Park","Pond","Bridle","Amphitheatre","Perimeter","Passive"},C619)))&gt;0,"no",IF(SUMPRODUCT(--ISNUMBER(SEARCH({"Cricket","Junior","Mini","Summer Football","Small"},C619)))&gt;0,"reduced",IF(SUMPRODUCT(--ISNUMBER(SEARCH({"Rugby","Football","League","Touch","Gaelic","Australian","Lacrosse","General Sport","Training Area","Ultimate"},C619)))&gt;0,"full","unknown"))))</f>
        <v/>
      </c>
      <c r="E619" s="9"/>
      <c r="F619" s="9"/>
      <c r="G619" s="9"/>
      <c r="H619" s="9"/>
      <c r="I619" s="12"/>
      <c r="J619" s="9"/>
      <c r="K619" s="9"/>
      <c r="L619" s="9"/>
      <c r="M619" s="9"/>
      <c r="N619" s="9"/>
      <c r="O619" s="13" t="str">
        <f aca="false">IF(C619="","",IF(N(M619)+N(N619)&lt;Settings!$C$9,"untested",M619/(M619+N619)))</f>
        <v/>
      </c>
      <c r="P619" s="9"/>
      <c r="Q619" s="9"/>
      <c r="R619" s="9"/>
      <c r="S619" s="12"/>
      <c r="T619" s="9"/>
      <c r="U619" s="9"/>
      <c r="V619" s="9"/>
      <c r="W619" s="10" t="str">
        <f aca="false">IF(C619="","",IF(OR(G619="training",G619="full"),"Yes",IF(G619="none","No","?")))</f>
        <v/>
      </c>
      <c r="X619" s="10" t="str">
        <f aca="false">IF(C619="","",IF(OR(E619="",E619="unknown"),D619,E619))</f>
        <v/>
      </c>
      <c r="Y619" s="10" t="str">
        <f aca="false">IF(C619="","",IF(OR(T619="unsuitable",T619="retired",X619="no"),"—",IF(J619="","unrated",IF(AND(X619="full",J619&gt;=Settings!$C$5,OR(O619="untested",O619&gt;=Settings!$C$6)),"A",IF(AND(OR(X619="full",X619="reduced"),J619&gt;=Settings!$C$7,OR(O619="untested",O619&gt;=Settings!$C$8)),"B","C")))))</f>
        <v/>
      </c>
      <c r="Z619" s="11" t="str">
        <f aca="false">IF(C619="","",IF(P619&lt;&gt;"",P619,Y619))</f>
        <v/>
      </c>
    </row>
    <row r="620" customFormat="false" ht="15" hidden="false" customHeight="false" outlineLevel="0" collapsed="false">
      <c r="A620" s="9"/>
      <c r="B620" s="10" t="str">
        <f aca="false">IF(A620="","",IFERROR(INDEX(Parks!$A$2:$A$255,MATCH(A620,Parks!$B$2:$B$255,0)),"?"))</f>
        <v/>
      </c>
      <c r="C620" s="9"/>
      <c r="D620" s="10" t="str">
        <f aca="false">IF(C620="","",IF(SUMPRODUCT(--ISNUMBER(SEARCH({"Nets","Wicket","Diamond","Softball","T-ball","Baseball","Netball","Tennis","Bocce","Pentaque","Petanque","Skate","Car Park","Pond","Bridle","Amphitheatre","Perimeter","Passive"},C620)))&gt;0,"no",IF(SUMPRODUCT(--ISNUMBER(SEARCH({"Cricket","Junior","Mini","Summer Football","Small"},C620)))&gt;0,"reduced",IF(SUMPRODUCT(--ISNUMBER(SEARCH({"Rugby","Football","League","Touch","Gaelic","Australian","Lacrosse","General Sport","Training Area","Ultimate"},C620)))&gt;0,"full","unknown"))))</f>
        <v/>
      </c>
      <c r="E620" s="9"/>
      <c r="F620" s="9"/>
      <c r="G620" s="9"/>
      <c r="H620" s="9"/>
      <c r="I620" s="12"/>
      <c r="J620" s="9"/>
      <c r="K620" s="9"/>
      <c r="L620" s="9"/>
      <c r="M620" s="9"/>
      <c r="N620" s="9"/>
      <c r="O620" s="13" t="str">
        <f aca="false">IF(C620="","",IF(N(M620)+N(N620)&lt;Settings!$C$9,"untested",M620/(M620+N620)))</f>
        <v/>
      </c>
      <c r="P620" s="9"/>
      <c r="Q620" s="9"/>
      <c r="R620" s="9"/>
      <c r="S620" s="12"/>
      <c r="T620" s="9"/>
      <c r="U620" s="9"/>
      <c r="V620" s="9"/>
      <c r="W620" s="10" t="str">
        <f aca="false">IF(C620="","",IF(OR(G620="training",G620="full"),"Yes",IF(G620="none","No","?")))</f>
        <v/>
      </c>
      <c r="X620" s="10" t="str">
        <f aca="false">IF(C620="","",IF(OR(E620="",E620="unknown"),D620,E620))</f>
        <v/>
      </c>
      <c r="Y620" s="10" t="str">
        <f aca="false">IF(C620="","",IF(OR(T620="unsuitable",T620="retired",X620="no"),"—",IF(J620="","unrated",IF(AND(X620="full",J620&gt;=Settings!$C$5,OR(O620="untested",O620&gt;=Settings!$C$6)),"A",IF(AND(OR(X620="full",X620="reduced"),J620&gt;=Settings!$C$7,OR(O620="untested",O620&gt;=Settings!$C$8)),"B","C")))))</f>
        <v/>
      </c>
      <c r="Z620" s="11" t="str">
        <f aca="false">IF(C620="","",IF(P620&lt;&gt;"",P620,Y620))</f>
        <v/>
      </c>
    </row>
    <row r="621" customFormat="false" ht="15" hidden="false" customHeight="false" outlineLevel="0" collapsed="false">
      <c r="A621" s="9"/>
      <c r="B621" s="10" t="str">
        <f aca="false">IF(A621="","",IFERROR(INDEX(Parks!$A$2:$A$255,MATCH(A621,Parks!$B$2:$B$255,0)),"?"))</f>
        <v/>
      </c>
      <c r="C621" s="9"/>
      <c r="D621" s="10" t="str">
        <f aca="false">IF(C621="","",IF(SUMPRODUCT(--ISNUMBER(SEARCH({"Nets","Wicket","Diamond","Softball","T-ball","Baseball","Netball","Tennis","Bocce","Pentaque","Petanque","Skate","Car Park","Pond","Bridle","Amphitheatre","Perimeter","Passive"},C621)))&gt;0,"no",IF(SUMPRODUCT(--ISNUMBER(SEARCH({"Cricket","Junior","Mini","Summer Football","Small"},C621)))&gt;0,"reduced",IF(SUMPRODUCT(--ISNUMBER(SEARCH({"Rugby","Football","League","Touch","Gaelic","Australian","Lacrosse","General Sport","Training Area","Ultimate"},C621)))&gt;0,"full","unknown"))))</f>
        <v/>
      </c>
      <c r="E621" s="9"/>
      <c r="F621" s="9"/>
      <c r="G621" s="9"/>
      <c r="H621" s="9"/>
      <c r="I621" s="12"/>
      <c r="J621" s="9"/>
      <c r="K621" s="9"/>
      <c r="L621" s="9"/>
      <c r="M621" s="9"/>
      <c r="N621" s="9"/>
      <c r="O621" s="13" t="str">
        <f aca="false">IF(C621="","",IF(N(M621)+N(N621)&lt;Settings!$C$9,"untested",M621/(M621+N621)))</f>
        <v/>
      </c>
      <c r="P621" s="9"/>
      <c r="Q621" s="9"/>
      <c r="R621" s="9"/>
      <c r="S621" s="12"/>
      <c r="T621" s="9"/>
      <c r="U621" s="9"/>
      <c r="V621" s="9"/>
      <c r="W621" s="10" t="str">
        <f aca="false">IF(C621="","",IF(OR(G621="training",G621="full"),"Yes",IF(G621="none","No","?")))</f>
        <v/>
      </c>
      <c r="X621" s="10" t="str">
        <f aca="false">IF(C621="","",IF(OR(E621="",E621="unknown"),D621,E621))</f>
        <v/>
      </c>
      <c r="Y621" s="10" t="str">
        <f aca="false">IF(C621="","",IF(OR(T621="unsuitable",T621="retired",X621="no"),"—",IF(J621="","unrated",IF(AND(X621="full",J621&gt;=Settings!$C$5,OR(O621="untested",O621&gt;=Settings!$C$6)),"A",IF(AND(OR(X621="full",X621="reduced"),J621&gt;=Settings!$C$7,OR(O621="untested",O621&gt;=Settings!$C$8)),"B","C")))))</f>
        <v/>
      </c>
      <c r="Z621" s="11" t="str">
        <f aca="false">IF(C621="","",IF(P621&lt;&gt;"",P621,Y621))</f>
        <v/>
      </c>
    </row>
    <row r="622" customFormat="false" ht="15" hidden="false" customHeight="false" outlineLevel="0" collapsed="false">
      <c r="A622" s="9"/>
      <c r="B622" s="10" t="str">
        <f aca="false">IF(A622="","",IFERROR(INDEX(Parks!$A$2:$A$255,MATCH(A622,Parks!$B$2:$B$255,0)),"?"))</f>
        <v/>
      </c>
      <c r="C622" s="9"/>
      <c r="D622" s="10" t="str">
        <f aca="false">IF(C622="","",IF(SUMPRODUCT(--ISNUMBER(SEARCH({"Nets","Wicket","Diamond","Softball","T-ball","Baseball","Netball","Tennis","Bocce","Pentaque","Petanque","Skate","Car Park","Pond","Bridle","Amphitheatre","Perimeter","Passive"},C622)))&gt;0,"no",IF(SUMPRODUCT(--ISNUMBER(SEARCH({"Cricket","Junior","Mini","Summer Football","Small"},C622)))&gt;0,"reduced",IF(SUMPRODUCT(--ISNUMBER(SEARCH({"Rugby","Football","League","Touch","Gaelic","Australian","Lacrosse","General Sport","Training Area","Ultimate"},C622)))&gt;0,"full","unknown"))))</f>
        <v/>
      </c>
      <c r="E622" s="9"/>
      <c r="F622" s="9"/>
      <c r="G622" s="9"/>
      <c r="H622" s="9"/>
      <c r="I622" s="12"/>
      <c r="J622" s="9"/>
      <c r="K622" s="9"/>
      <c r="L622" s="9"/>
      <c r="M622" s="9"/>
      <c r="N622" s="9"/>
      <c r="O622" s="13" t="str">
        <f aca="false">IF(C622="","",IF(N(M622)+N(N622)&lt;Settings!$C$9,"untested",M622/(M622+N622)))</f>
        <v/>
      </c>
      <c r="P622" s="9"/>
      <c r="Q622" s="9"/>
      <c r="R622" s="9"/>
      <c r="S622" s="12"/>
      <c r="T622" s="9"/>
      <c r="U622" s="9"/>
      <c r="V622" s="9"/>
      <c r="W622" s="10" t="str">
        <f aca="false">IF(C622="","",IF(OR(G622="training",G622="full"),"Yes",IF(G622="none","No","?")))</f>
        <v/>
      </c>
      <c r="X622" s="10" t="str">
        <f aca="false">IF(C622="","",IF(OR(E622="",E622="unknown"),D622,E622))</f>
        <v/>
      </c>
      <c r="Y622" s="10" t="str">
        <f aca="false">IF(C622="","",IF(OR(T622="unsuitable",T622="retired",X622="no"),"—",IF(J622="","unrated",IF(AND(X622="full",J622&gt;=Settings!$C$5,OR(O622="untested",O622&gt;=Settings!$C$6)),"A",IF(AND(OR(X622="full",X622="reduced"),J622&gt;=Settings!$C$7,OR(O622="untested",O622&gt;=Settings!$C$8)),"B","C")))))</f>
        <v/>
      </c>
      <c r="Z622" s="11" t="str">
        <f aca="false">IF(C622="","",IF(P622&lt;&gt;"",P622,Y622))</f>
        <v/>
      </c>
    </row>
    <row r="623" customFormat="false" ht="15" hidden="false" customHeight="false" outlineLevel="0" collapsed="false">
      <c r="A623" s="9"/>
      <c r="B623" s="10" t="str">
        <f aca="false">IF(A623="","",IFERROR(INDEX(Parks!$A$2:$A$255,MATCH(A623,Parks!$B$2:$B$255,0)),"?"))</f>
        <v/>
      </c>
      <c r="C623" s="9"/>
      <c r="D623" s="10" t="str">
        <f aca="false">IF(C623="","",IF(SUMPRODUCT(--ISNUMBER(SEARCH({"Nets","Wicket","Diamond","Softball","T-ball","Baseball","Netball","Tennis","Bocce","Pentaque","Petanque","Skate","Car Park","Pond","Bridle","Amphitheatre","Perimeter","Passive"},C623)))&gt;0,"no",IF(SUMPRODUCT(--ISNUMBER(SEARCH({"Cricket","Junior","Mini","Summer Football","Small"},C623)))&gt;0,"reduced",IF(SUMPRODUCT(--ISNUMBER(SEARCH({"Rugby","Football","League","Touch","Gaelic","Australian","Lacrosse","General Sport","Training Area","Ultimate"},C623)))&gt;0,"full","unknown"))))</f>
        <v/>
      </c>
      <c r="E623" s="9"/>
      <c r="F623" s="9"/>
      <c r="G623" s="9"/>
      <c r="H623" s="9"/>
      <c r="I623" s="12"/>
      <c r="J623" s="9"/>
      <c r="K623" s="9"/>
      <c r="L623" s="9"/>
      <c r="M623" s="9"/>
      <c r="N623" s="9"/>
      <c r="O623" s="13" t="str">
        <f aca="false">IF(C623="","",IF(N(M623)+N(N623)&lt;Settings!$C$9,"untested",M623/(M623+N623)))</f>
        <v/>
      </c>
      <c r="P623" s="9"/>
      <c r="Q623" s="9"/>
      <c r="R623" s="9"/>
      <c r="S623" s="12"/>
      <c r="T623" s="9"/>
      <c r="U623" s="9"/>
      <c r="V623" s="9"/>
      <c r="W623" s="10" t="str">
        <f aca="false">IF(C623="","",IF(OR(G623="training",G623="full"),"Yes",IF(G623="none","No","?")))</f>
        <v/>
      </c>
      <c r="X623" s="10" t="str">
        <f aca="false">IF(C623="","",IF(OR(E623="",E623="unknown"),D623,E623))</f>
        <v/>
      </c>
      <c r="Y623" s="10" t="str">
        <f aca="false">IF(C623="","",IF(OR(T623="unsuitable",T623="retired",X623="no"),"—",IF(J623="","unrated",IF(AND(X623="full",J623&gt;=Settings!$C$5,OR(O623="untested",O623&gt;=Settings!$C$6)),"A",IF(AND(OR(X623="full",X623="reduced"),J623&gt;=Settings!$C$7,OR(O623="untested",O623&gt;=Settings!$C$8)),"B","C")))))</f>
        <v/>
      </c>
      <c r="Z623" s="11" t="str">
        <f aca="false">IF(C623="","",IF(P623&lt;&gt;"",P623,Y623))</f>
        <v/>
      </c>
    </row>
    <row r="624" customFormat="false" ht="15" hidden="false" customHeight="false" outlineLevel="0" collapsed="false">
      <c r="A624" s="9"/>
      <c r="B624" s="10" t="str">
        <f aca="false">IF(A624="","",IFERROR(INDEX(Parks!$A$2:$A$255,MATCH(A624,Parks!$B$2:$B$255,0)),"?"))</f>
        <v/>
      </c>
      <c r="C624" s="9"/>
      <c r="D624" s="10" t="str">
        <f aca="false">IF(C624="","",IF(SUMPRODUCT(--ISNUMBER(SEARCH({"Nets","Wicket","Diamond","Softball","T-ball","Baseball","Netball","Tennis","Bocce","Pentaque","Petanque","Skate","Car Park","Pond","Bridle","Amphitheatre","Perimeter","Passive"},C624)))&gt;0,"no",IF(SUMPRODUCT(--ISNUMBER(SEARCH({"Cricket","Junior","Mini","Summer Football","Small"},C624)))&gt;0,"reduced",IF(SUMPRODUCT(--ISNUMBER(SEARCH({"Rugby","Football","League","Touch","Gaelic","Australian","Lacrosse","General Sport","Training Area","Ultimate"},C624)))&gt;0,"full","unknown"))))</f>
        <v/>
      </c>
      <c r="E624" s="9"/>
      <c r="F624" s="9"/>
      <c r="G624" s="9"/>
      <c r="H624" s="9"/>
      <c r="I624" s="12"/>
      <c r="J624" s="9"/>
      <c r="K624" s="9"/>
      <c r="L624" s="9"/>
      <c r="M624" s="9"/>
      <c r="N624" s="9"/>
      <c r="O624" s="13" t="str">
        <f aca="false">IF(C624="","",IF(N(M624)+N(N624)&lt;Settings!$C$9,"untested",M624/(M624+N624)))</f>
        <v/>
      </c>
      <c r="P624" s="9"/>
      <c r="Q624" s="9"/>
      <c r="R624" s="9"/>
      <c r="S624" s="12"/>
      <c r="T624" s="9"/>
      <c r="U624" s="9"/>
      <c r="V624" s="9"/>
      <c r="W624" s="10" t="str">
        <f aca="false">IF(C624="","",IF(OR(G624="training",G624="full"),"Yes",IF(G624="none","No","?")))</f>
        <v/>
      </c>
      <c r="X624" s="10" t="str">
        <f aca="false">IF(C624="","",IF(OR(E624="",E624="unknown"),D624,E624))</f>
        <v/>
      </c>
      <c r="Y624" s="10" t="str">
        <f aca="false">IF(C624="","",IF(OR(T624="unsuitable",T624="retired",X624="no"),"—",IF(J624="","unrated",IF(AND(X624="full",J624&gt;=Settings!$C$5,OR(O624="untested",O624&gt;=Settings!$C$6)),"A",IF(AND(OR(X624="full",X624="reduced"),J624&gt;=Settings!$C$7,OR(O624="untested",O624&gt;=Settings!$C$8)),"B","C")))))</f>
        <v/>
      </c>
      <c r="Z624" s="11" t="str">
        <f aca="false">IF(C624="","",IF(P624&lt;&gt;"",P624,Y624))</f>
        <v/>
      </c>
    </row>
    <row r="625" customFormat="false" ht="15" hidden="false" customHeight="false" outlineLevel="0" collapsed="false">
      <c r="A625" s="9"/>
      <c r="B625" s="10" t="str">
        <f aca="false">IF(A625="","",IFERROR(INDEX(Parks!$A$2:$A$255,MATCH(A625,Parks!$B$2:$B$255,0)),"?"))</f>
        <v/>
      </c>
      <c r="C625" s="9"/>
      <c r="D625" s="10" t="str">
        <f aca="false">IF(C625="","",IF(SUMPRODUCT(--ISNUMBER(SEARCH({"Nets","Wicket","Diamond","Softball","T-ball","Baseball","Netball","Tennis","Bocce","Pentaque","Petanque","Skate","Car Park","Pond","Bridle","Amphitheatre","Perimeter","Passive"},C625)))&gt;0,"no",IF(SUMPRODUCT(--ISNUMBER(SEARCH({"Cricket","Junior","Mini","Summer Football","Small"},C625)))&gt;0,"reduced",IF(SUMPRODUCT(--ISNUMBER(SEARCH({"Rugby","Football","League","Touch","Gaelic","Australian","Lacrosse","General Sport","Training Area","Ultimate"},C625)))&gt;0,"full","unknown"))))</f>
        <v/>
      </c>
      <c r="E625" s="9"/>
      <c r="F625" s="9"/>
      <c r="G625" s="9"/>
      <c r="H625" s="9"/>
      <c r="I625" s="12"/>
      <c r="J625" s="9"/>
      <c r="K625" s="9"/>
      <c r="L625" s="9"/>
      <c r="M625" s="9"/>
      <c r="N625" s="9"/>
      <c r="O625" s="13" t="str">
        <f aca="false">IF(C625="","",IF(N(M625)+N(N625)&lt;Settings!$C$9,"untested",M625/(M625+N625)))</f>
        <v/>
      </c>
      <c r="P625" s="9"/>
      <c r="Q625" s="9"/>
      <c r="R625" s="9"/>
      <c r="S625" s="12"/>
      <c r="T625" s="9"/>
      <c r="U625" s="9"/>
      <c r="V625" s="9"/>
      <c r="W625" s="10" t="str">
        <f aca="false">IF(C625="","",IF(OR(G625="training",G625="full"),"Yes",IF(G625="none","No","?")))</f>
        <v/>
      </c>
      <c r="X625" s="10" t="str">
        <f aca="false">IF(C625="","",IF(OR(E625="",E625="unknown"),D625,E625))</f>
        <v/>
      </c>
      <c r="Y625" s="10" t="str">
        <f aca="false">IF(C625="","",IF(OR(T625="unsuitable",T625="retired",X625="no"),"—",IF(J625="","unrated",IF(AND(X625="full",J625&gt;=Settings!$C$5,OR(O625="untested",O625&gt;=Settings!$C$6)),"A",IF(AND(OR(X625="full",X625="reduced"),J625&gt;=Settings!$C$7,OR(O625="untested",O625&gt;=Settings!$C$8)),"B","C")))))</f>
        <v/>
      </c>
      <c r="Z625" s="11" t="str">
        <f aca="false">IF(C625="","",IF(P625&lt;&gt;"",P625,Y625))</f>
        <v/>
      </c>
    </row>
    <row r="626" customFormat="false" ht="15" hidden="false" customHeight="false" outlineLevel="0" collapsed="false">
      <c r="A626" s="9"/>
      <c r="B626" s="10" t="str">
        <f aca="false">IF(A626="","",IFERROR(INDEX(Parks!$A$2:$A$255,MATCH(A626,Parks!$B$2:$B$255,0)),"?"))</f>
        <v/>
      </c>
      <c r="C626" s="9"/>
      <c r="D626" s="10" t="str">
        <f aca="false">IF(C626="","",IF(SUMPRODUCT(--ISNUMBER(SEARCH({"Nets","Wicket","Diamond","Softball","T-ball","Baseball","Netball","Tennis","Bocce","Pentaque","Petanque","Skate","Car Park","Pond","Bridle","Amphitheatre","Perimeter","Passive"},C626)))&gt;0,"no",IF(SUMPRODUCT(--ISNUMBER(SEARCH({"Cricket","Junior","Mini","Summer Football","Small"},C626)))&gt;0,"reduced",IF(SUMPRODUCT(--ISNUMBER(SEARCH({"Rugby","Football","League","Touch","Gaelic","Australian","Lacrosse","General Sport","Training Area","Ultimate"},C626)))&gt;0,"full","unknown"))))</f>
        <v/>
      </c>
      <c r="E626" s="9"/>
      <c r="F626" s="9"/>
      <c r="G626" s="9"/>
      <c r="H626" s="9"/>
      <c r="I626" s="12"/>
      <c r="J626" s="9"/>
      <c r="K626" s="9"/>
      <c r="L626" s="9"/>
      <c r="M626" s="9"/>
      <c r="N626" s="9"/>
      <c r="O626" s="13" t="str">
        <f aca="false">IF(C626="","",IF(N(M626)+N(N626)&lt;Settings!$C$9,"untested",M626/(M626+N626)))</f>
        <v/>
      </c>
      <c r="P626" s="9"/>
      <c r="Q626" s="9"/>
      <c r="R626" s="9"/>
      <c r="S626" s="12"/>
      <c r="T626" s="9"/>
      <c r="U626" s="9"/>
      <c r="V626" s="9"/>
      <c r="W626" s="10" t="str">
        <f aca="false">IF(C626="","",IF(OR(G626="training",G626="full"),"Yes",IF(G626="none","No","?")))</f>
        <v/>
      </c>
      <c r="X626" s="10" t="str">
        <f aca="false">IF(C626="","",IF(OR(E626="",E626="unknown"),D626,E626))</f>
        <v/>
      </c>
      <c r="Y626" s="10" t="str">
        <f aca="false">IF(C626="","",IF(OR(T626="unsuitable",T626="retired",X626="no"),"—",IF(J626="","unrated",IF(AND(X626="full",J626&gt;=Settings!$C$5,OR(O626="untested",O626&gt;=Settings!$C$6)),"A",IF(AND(OR(X626="full",X626="reduced"),J626&gt;=Settings!$C$7,OR(O626="untested",O626&gt;=Settings!$C$8)),"B","C")))))</f>
        <v/>
      </c>
      <c r="Z626" s="11" t="str">
        <f aca="false">IF(C626="","",IF(P626&lt;&gt;"",P626,Y626))</f>
        <v/>
      </c>
    </row>
    <row r="627" customFormat="false" ht="15" hidden="false" customHeight="false" outlineLevel="0" collapsed="false">
      <c r="A627" s="9"/>
      <c r="B627" s="10" t="str">
        <f aca="false">IF(A627="","",IFERROR(INDEX(Parks!$A$2:$A$255,MATCH(A627,Parks!$B$2:$B$255,0)),"?"))</f>
        <v/>
      </c>
      <c r="C627" s="9"/>
      <c r="D627" s="10" t="str">
        <f aca="false">IF(C627="","",IF(SUMPRODUCT(--ISNUMBER(SEARCH({"Nets","Wicket","Diamond","Softball","T-ball","Baseball","Netball","Tennis","Bocce","Pentaque","Petanque","Skate","Car Park","Pond","Bridle","Amphitheatre","Perimeter","Passive"},C627)))&gt;0,"no",IF(SUMPRODUCT(--ISNUMBER(SEARCH({"Cricket","Junior","Mini","Summer Football","Small"},C627)))&gt;0,"reduced",IF(SUMPRODUCT(--ISNUMBER(SEARCH({"Rugby","Football","League","Touch","Gaelic","Australian","Lacrosse","General Sport","Training Area","Ultimate"},C627)))&gt;0,"full","unknown"))))</f>
        <v/>
      </c>
      <c r="E627" s="9"/>
      <c r="F627" s="9"/>
      <c r="G627" s="9"/>
      <c r="H627" s="9"/>
      <c r="I627" s="12"/>
      <c r="J627" s="9"/>
      <c r="K627" s="9"/>
      <c r="L627" s="9"/>
      <c r="M627" s="9"/>
      <c r="N627" s="9"/>
      <c r="O627" s="13" t="str">
        <f aca="false">IF(C627="","",IF(N(M627)+N(N627)&lt;Settings!$C$9,"untested",M627/(M627+N627)))</f>
        <v/>
      </c>
      <c r="P627" s="9"/>
      <c r="Q627" s="9"/>
      <c r="R627" s="9"/>
      <c r="S627" s="12"/>
      <c r="T627" s="9"/>
      <c r="U627" s="9"/>
      <c r="V627" s="9"/>
      <c r="W627" s="10" t="str">
        <f aca="false">IF(C627="","",IF(OR(G627="training",G627="full"),"Yes",IF(G627="none","No","?")))</f>
        <v/>
      </c>
      <c r="X627" s="10" t="str">
        <f aca="false">IF(C627="","",IF(OR(E627="",E627="unknown"),D627,E627))</f>
        <v/>
      </c>
      <c r="Y627" s="10" t="str">
        <f aca="false">IF(C627="","",IF(OR(T627="unsuitable",T627="retired",X627="no"),"—",IF(J627="","unrated",IF(AND(X627="full",J627&gt;=Settings!$C$5,OR(O627="untested",O627&gt;=Settings!$C$6)),"A",IF(AND(OR(X627="full",X627="reduced"),J627&gt;=Settings!$C$7,OR(O627="untested",O627&gt;=Settings!$C$8)),"B","C")))))</f>
        <v/>
      </c>
      <c r="Z627" s="11" t="str">
        <f aca="false">IF(C627="","",IF(P627&lt;&gt;"",P627,Y627))</f>
        <v/>
      </c>
    </row>
    <row r="628" customFormat="false" ht="15" hidden="false" customHeight="false" outlineLevel="0" collapsed="false">
      <c r="A628" s="9"/>
      <c r="B628" s="10" t="str">
        <f aca="false">IF(A628="","",IFERROR(INDEX(Parks!$A$2:$A$255,MATCH(A628,Parks!$B$2:$B$255,0)),"?"))</f>
        <v/>
      </c>
      <c r="C628" s="9"/>
      <c r="D628" s="10" t="str">
        <f aca="false">IF(C628="","",IF(SUMPRODUCT(--ISNUMBER(SEARCH({"Nets","Wicket","Diamond","Softball","T-ball","Baseball","Netball","Tennis","Bocce","Pentaque","Petanque","Skate","Car Park","Pond","Bridle","Amphitheatre","Perimeter","Passive"},C628)))&gt;0,"no",IF(SUMPRODUCT(--ISNUMBER(SEARCH({"Cricket","Junior","Mini","Summer Football","Small"},C628)))&gt;0,"reduced",IF(SUMPRODUCT(--ISNUMBER(SEARCH({"Rugby","Football","League","Touch","Gaelic","Australian","Lacrosse","General Sport","Training Area","Ultimate"},C628)))&gt;0,"full","unknown"))))</f>
        <v/>
      </c>
      <c r="E628" s="9"/>
      <c r="F628" s="9"/>
      <c r="G628" s="9"/>
      <c r="H628" s="9"/>
      <c r="I628" s="12"/>
      <c r="J628" s="9"/>
      <c r="K628" s="9"/>
      <c r="L628" s="9"/>
      <c r="M628" s="9"/>
      <c r="N628" s="9"/>
      <c r="O628" s="13" t="str">
        <f aca="false">IF(C628="","",IF(N(M628)+N(N628)&lt;Settings!$C$9,"untested",M628/(M628+N628)))</f>
        <v/>
      </c>
      <c r="P628" s="9"/>
      <c r="Q628" s="9"/>
      <c r="R628" s="9"/>
      <c r="S628" s="12"/>
      <c r="T628" s="9"/>
      <c r="U628" s="9"/>
      <c r="V628" s="9"/>
      <c r="W628" s="10" t="str">
        <f aca="false">IF(C628="","",IF(OR(G628="training",G628="full"),"Yes",IF(G628="none","No","?")))</f>
        <v/>
      </c>
      <c r="X628" s="10" t="str">
        <f aca="false">IF(C628="","",IF(OR(E628="",E628="unknown"),D628,E628))</f>
        <v/>
      </c>
      <c r="Y628" s="10" t="str">
        <f aca="false">IF(C628="","",IF(OR(T628="unsuitable",T628="retired",X628="no"),"—",IF(J628="","unrated",IF(AND(X628="full",J628&gt;=Settings!$C$5,OR(O628="untested",O628&gt;=Settings!$C$6)),"A",IF(AND(OR(X628="full",X628="reduced"),J628&gt;=Settings!$C$7,OR(O628="untested",O628&gt;=Settings!$C$8)),"B","C")))))</f>
        <v/>
      </c>
      <c r="Z628" s="11" t="str">
        <f aca="false">IF(C628="","",IF(P628&lt;&gt;"",P628,Y628))</f>
        <v/>
      </c>
    </row>
    <row r="629" customFormat="false" ht="15" hidden="false" customHeight="false" outlineLevel="0" collapsed="false">
      <c r="A629" s="9"/>
      <c r="B629" s="10" t="str">
        <f aca="false">IF(A629="","",IFERROR(INDEX(Parks!$A$2:$A$255,MATCH(A629,Parks!$B$2:$B$255,0)),"?"))</f>
        <v/>
      </c>
      <c r="C629" s="9"/>
      <c r="D629" s="10" t="str">
        <f aca="false">IF(C629="","",IF(SUMPRODUCT(--ISNUMBER(SEARCH({"Nets","Wicket","Diamond","Softball","T-ball","Baseball","Netball","Tennis","Bocce","Pentaque","Petanque","Skate","Car Park","Pond","Bridle","Amphitheatre","Perimeter","Passive"},C629)))&gt;0,"no",IF(SUMPRODUCT(--ISNUMBER(SEARCH({"Cricket","Junior","Mini","Summer Football","Small"},C629)))&gt;0,"reduced",IF(SUMPRODUCT(--ISNUMBER(SEARCH({"Rugby","Football","League","Touch","Gaelic","Australian","Lacrosse","General Sport","Training Area","Ultimate"},C629)))&gt;0,"full","unknown"))))</f>
        <v/>
      </c>
      <c r="E629" s="9"/>
      <c r="F629" s="9"/>
      <c r="G629" s="9"/>
      <c r="H629" s="9"/>
      <c r="I629" s="12"/>
      <c r="J629" s="9"/>
      <c r="K629" s="9"/>
      <c r="L629" s="9"/>
      <c r="M629" s="9"/>
      <c r="N629" s="9"/>
      <c r="O629" s="13" t="str">
        <f aca="false">IF(C629="","",IF(N(M629)+N(N629)&lt;Settings!$C$9,"untested",M629/(M629+N629)))</f>
        <v/>
      </c>
      <c r="P629" s="9"/>
      <c r="Q629" s="9"/>
      <c r="R629" s="9"/>
      <c r="S629" s="12"/>
      <c r="T629" s="9"/>
      <c r="U629" s="9"/>
      <c r="V629" s="9"/>
      <c r="W629" s="10" t="str">
        <f aca="false">IF(C629="","",IF(OR(G629="training",G629="full"),"Yes",IF(G629="none","No","?")))</f>
        <v/>
      </c>
      <c r="X629" s="10" t="str">
        <f aca="false">IF(C629="","",IF(OR(E629="",E629="unknown"),D629,E629))</f>
        <v/>
      </c>
      <c r="Y629" s="10" t="str">
        <f aca="false">IF(C629="","",IF(OR(T629="unsuitable",T629="retired",X629="no"),"—",IF(J629="","unrated",IF(AND(X629="full",J629&gt;=Settings!$C$5,OR(O629="untested",O629&gt;=Settings!$C$6)),"A",IF(AND(OR(X629="full",X629="reduced"),J629&gt;=Settings!$C$7,OR(O629="untested",O629&gt;=Settings!$C$8)),"B","C")))))</f>
        <v/>
      </c>
      <c r="Z629" s="11" t="str">
        <f aca="false">IF(C629="","",IF(P629&lt;&gt;"",P629,Y629))</f>
        <v/>
      </c>
    </row>
    <row r="630" customFormat="false" ht="15" hidden="false" customHeight="false" outlineLevel="0" collapsed="false">
      <c r="A630" s="9"/>
      <c r="B630" s="10" t="str">
        <f aca="false">IF(A630="","",IFERROR(INDEX(Parks!$A$2:$A$255,MATCH(A630,Parks!$B$2:$B$255,0)),"?"))</f>
        <v/>
      </c>
      <c r="C630" s="9"/>
      <c r="D630" s="10" t="str">
        <f aca="false">IF(C630="","",IF(SUMPRODUCT(--ISNUMBER(SEARCH({"Nets","Wicket","Diamond","Softball","T-ball","Baseball","Netball","Tennis","Bocce","Pentaque","Petanque","Skate","Car Park","Pond","Bridle","Amphitheatre","Perimeter","Passive"},C630)))&gt;0,"no",IF(SUMPRODUCT(--ISNUMBER(SEARCH({"Cricket","Junior","Mini","Summer Football","Small"},C630)))&gt;0,"reduced",IF(SUMPRODUCT(--ISNUMBER(SEARCH({"Rugby","Football","League","Touch","Gaelic","Australian","Lacrosse","General Sport","Training Area","Ultimate"},C630)))&gt;0,"full","unknown"))))</f>
        <v/>
      </c>
      <c r="E630" s="9"/>
      <c r="F630" s="9"/>
      <c r="G630" s="9"/>
      <c r="H630" s="9"/>
      <c r="I630" s="12"/>
      <c r="J630" s="9"/>
      <c r="K630" s="9"/>
      <c r="L630" s="9"/>
      <c r="M630" s="9"/>
      <c r="N630" s="9"/>
      <c r="O630" s="13" t="str">
        <f aca="false">IF(C630="","",IF(N(M630)+N(N630)&lt;Settings!$C$9,"untested",M630/(M630+N630)))</f>
        <v/>
      </c>
      <c r="P630" s="9"/>
      <c r="Q630" s="9"/>
      <c r="R630" s="9"/>
      <c r="S630" s="12"/>
      <c r="T630" s="9"/>
      <c r="U630" s="9"/>
      <c r="V630" s="9"/>
      <c r="W630" s="10" t="str">
        <f aca="false">IF(C630="","",IF(OR(G630="training",G630="full"),"Yes",IF(G630="none","No","?")))</f>
        <v/>
      </c>
      <c r="X630" s="10" t="str">
        <f aca="false">IF(C630="","",IF(OR(E630="",E630="unknown"),D630,E630))</f>
        <v/>
      </c>
      <c r="Y630" s="10" t="str">
        <f aca="false">IF(C630="","",IF(OR(T630="unsuitable",T630="retired",X630="no"),"—",IF(J630="","unrated",IF(AND(X630="full",J630&gt;=Settings!$C$5,OR(O630="untested",O630&gt;=Settings!$C$6)),"A",IF(AND(OR(X630="full",X630="reduced"),J630&gt;=Settings!$C$7,OR(O630="untested",O630&gt;=Settings!$C$8)),"B","C")))))</f>
        <v/>
      </c>
      <c r="Z630" s="11" t="str">
        <f aca="false">IF(C630="","",IF(P630&lt;&gt;"",P630,Y630))</f>
        <v/>
      </c>
    </row>
    <row r="631" customFormat="false" ht="15" hidden="false" customHeight="false" outlineLevel="0" collapsed="false">
      <c r="A631" s="9"/>
      <c r="B631" s="10" t="str">
        <f aca="false">IF(A631="","",IFERROR(INDEX(Parks!$A$2:$A$255,MATCH(A631,Parks!$B$2:$B$255,0)),"?"))</f>
        <v/>
      </c>
      <c r="C631" s="9"/>
      <c r="D631" s="10" t="str">
        <f aca="false">IF(C631="","",IF(SUMPRODUCT(--ISNUMBER(SEARCH({"Nets","Wicket","Diamond","Softball","T-ball","Baseball","Netball","Tennis","Bocce","Pentaque","Petanque","Skate","Car Park","Pond","Bridle","Amphitheatre","Perimeter","Passive"},C631)))&gt;0,"no",IF(SUMPRODUCT(--ISNUMBER(SEARCH({"Cricket","Junior","Mini","Summer Football","Small"},C631)))&gt;0,"reduced",IF(SUMPRODUCT(--ISNUMBER(SEARCH({"Rugby","Football","League","Touch","Gaelic","Australian","Lacrosse","General Sport","Training Area","Ultimate"},C631)))&gt;0,"full","unknown"))))</f>
        <v/>
      </c>
      <c r="E631" s="9"/>
      <c r="F631" s="9"/>
      <c r="G631" s="9"/>
      <c r="H631" s="9"/>
      <c r="I631" s="12"/>
      <c r="J631" s="9"/>
      <c r="K631" s="9"/>
      <c r="L631" s="9"/>
      <c r="M631" s="9"/>
      <c r="N631" s="9"/>
      <c r="O631" s="13" t="str">
        <f aca="false">IF(C631="","",IF(N(M631)+N(N631)&lt;Settings!$C$9,"untested",M631/(M631+N631)))</f>
        <v/>
      </c>
      <c r="P631" s="9"/>
      <c r="Q631" s="9"/>
      <c r="R631" s="9"/>
      <c r="S631" s="12"/>
      <c r="T631" s="9"/>
      <c r="U631" s="9"/>
      <c r="V631" s="9"/>
      <c r="W631" s="10" t="str">
        <f aca="false">IF(C631="","",IF(OR(G631="training",G631="full"),"Yes",IF(G631="none","No","?")))</f>
        <v/>
      </c>
      <c r="X631" s="10" t="str">
        <f aca="false">IF(C631="","",IF(OR(E631="",E631="unknown"),D631,E631))</f>
        <v/>
      </c>
      <c r="Y631" s="10" t="str">
        <f aca="false">IF(C631="","",IF(OR(T631="unsuitable",T631="retired",X631="no"),"—",IF(J631="","unrated",IF(AND(X631="full",J631&gt;=Settings!$C$5,OR(O631="untested",O631&gt;=Settings!$C$6)),"A",IF(AND(OR(X631="full",X631="reduced"),J631&gt;=Settings!$C$7,OR(O631="untested",O631&gt;=Settings!$C$8)),"B","C")))))</f>
        <v/>
      </c>
      <c r="Z631" s="11" t="str">
        <f aca="false">IF(C631="","",IF(P631&lt;&gt;"",P631,Y631))</f>
        <v/>
      </c>
    </row>
    <row r="632" customFormat="false" ht="15" hidden="false" customHeight="false" outlineLevel="0" collapsed="false">
      <c r="A632" s="9"/>
      <c r="B632" s="10" t="str">
        <f aca="false">IF(A632="","",IFERROR(INDEX(Parks!$A$2:$A$255,MATCH(A632,Parks!$B$2:$B$255,0)),"?"))</f>
        <v/>
      </c>
      <c r="C632" s="9"/>
      <c r="D632" s="10" t="str">
        <f aca="false">IF(C632="","",IF(SUMPRODUCT(--ISNUMBER(SEARCH({"Nets","Wicket","Diamond","Softball","T-ball","Baseball","Netball","Tennis","Bocce","Pentaque","Petanque","Skate","Car Park","Pond","Bridle","Amphitheatre","Perimeter","Passive"},C632)))&gt;0,"no",IF(SUMPRODUCT(--ISNUMBER(SEARCH({"Cricket","Junior","Mini","Summer Football","Small"},C632)))&gt;0,"reduced",IF(SUMPRODUCT(--ISNUMBER(SEARCH({"Rugby","Football","League","Touch","Gaelic","Australian","Lacrosse","General Sport","Training Area","Ultimate"},C632)))&gt;0,"full","unknown"))))</f>
        <v/>
      </c>
      <c r="E632" s="9"/>
      <c r="F632" s="9"/>
      <c r="G632" s="9"/>
      <c r="H632" s="9"/>
      <c r="I632" s="12"/>
      <c r="J632" s="9"/>
      <c r="K632" s="9"/>
      <c r="L632" s="9"/>
      <c r="M632" s="9"/>
      <c r="N632" s="9"/>
      <c r="O632" s="13" t="str">
        <f aca="false">IF(C632="","",IF(N(M632)+N(N632)&lt;Settings!$C$9,"untested",M632/(M632+N632)))</f>
        <v/>
      </c>
      <c r="P632" s="9"/>
      <c r="Q632" s="9"/>
      <c r="R632" s="9"/>
      <c r="S632" s="12"/>
      <c r="T632" s="9"/>
      <c r="U632" s="9"/>
      <c r="V632" s="9"/>
      <c r="W632" s="10" t="str">
        <f aca="false">IF(C632="","",IF(OR(G632="training",G632="full"),"Yes",IF(G632="none","No","?")))</f>
        <v/>
      </c>
      <c r="X632" s="10" t="str">
        <f aca="false">IF(C632="","",IF(OR(E632="",E632="unknown"),D632,E632))</f>
        <v/>
      </c>
      <c r="Y632" s="10" t="str">
        <f aca="false">IF(C632="","",IF(OR(T632="unsuitable",T632="retired",X632="no"),"—",IF(J632="","unrated",IF(AND(X632="full",J632&gt;=Settings!$C$5,OR(O632="untested",O632&gt;=Settings!$C$6)),"A",IF(AND(OR(X632="full",X632="reduced"),J632&gt;=Settings!$C$7,OR(O632="untested",O632&gt;=Settings!$C$8)),"B","C")))))</f>
        <v/>
      </c>
      <c r="Z632" s="11" t="str">
        <f aca="false">IF(C632="","",IF(P632&lt;&gt;"",P632,Y632))</f>
        <v/>
      </c>
    </row>
    <row r="633" customFormat="false" ht="15" hidden="false" customHeight="false" outlineLevel="0" collapsed="false">
      <c r="A633" s="9"/>
      <c r="B633" s="10" t="str">
        <f aca="false">IF(A633="","",IFERROR(INDEX(Parks!$A$2:$A$255,MATCH(A633,Parks!$B$2:$B$255,0)),"?"))</f>
        <v/>
      </c>
      <c r="C633" s="9"/>
      <c r="D633" s="10" t="str">
        <f aca="false">IF(C633="","",IF(SUMPRODUCT(--ISNUMBER(SEARCH({"Nets","Wicket","Diamond","Softball","T-ball","Baseball","Netball","Tennis","Bocce","Pentaque","Petanque","Skate","Car Park","Pond","Bridle","Amphitheatre","Perimeter","Passive"},C633)))&gt;0,"no",IF(SUMPRODUCT(--ISNUMBER(SEARCH({"Cricket","Junior","Mini","Summer Football","Small"},C633)))&gt;0,"reduced",IF(SUMPRODUCT(--ISNUMBER(SEARCH({"Rugby","Football","League","Touch","Gaelic","Australian","Lacrosse","General Sport","Training Area","Ultimate"},C633)))&gt;0,"full","unknown"))))</f>
        <v/>
      </c>
      <c r="E633" s="9"/>
      <c r="F633" s="9"/>
      <c r="G633" s="9"/>
      <c r="H633" s="9"/>
      <c r="I633" s="12"/>
      <c r="J633" s="9"/>
      <c r="K633" s="9"/>
      <c r="L633" s="9"/>
      <c r="M633" s="9"/>
      <c r="N633" s="9"/>
      <c r="O633" s="13" t="str">
        <f aca="false">IF(C633="","",IF(N(M633)+N(N633)&lt;Settings!$C$9,"untested",M633/(M633+N633)))</f>
        <v/>
      </c>
      <c r="P633" s="9"/>
      <c r="Q633" s="9"/>
      <c r="R633" s="9"/>
      <c r="S633" s="12"/>
      <c r="T633" s="9"/>
      <c r="U633" s="9"/>
      <c r="V633" s="9"/>
      <c r="W633" s="10" t="str">
        <f aca="false">IF(C633="","",IF(OR(G633="training",G633="full"),"Yes",IF(G633="none","No","?")))</f>
        <v/>
      </c>
      <c r="X633" s="10" t="str">
        <f aca="false">IF(C633="","",IF(OR(E633="",E633="unknown"),D633,E633))</f>
        <v/>
      </c>
      <c r="Y633" s="10" t="str">
        <f aca="false">IF(C633="","",IF(OR(T633="unsuitable",T633="retired",X633="no"),"—",IF(J633="","unrated",IF(AND(X633="full",J633&gt;=Settings!$C$5,OR(O633="untested",O633&gt;=Settings!$C$6)),"A",IF(AND(OR(X633="full",X633="reduced"),J633&gt;=Settings!$C$7,OR(O633="untested",O633&gt;=Settings!$C$8)),"B","C")))))</f>
        <v/>
      </c>
      <c r="Z633" s="11" t="str">
        <f aca="false">IF(C633="","",IF(P633&lt;&gt;"",P633,Y633))</f>
        <v/>
      </c>
    </row>
    <row r="634" customFormat="false" ht="15" hidden="false" customHeight="false" outlineLevel="0" collapsed="false">
      <c r="A634" s="9"/>
      <c r="B634" s="10" t="str">
        <f aca="false">IF(A634="","",IFERROR(INDEX(Parks!$A$2:$A$255,MATCH(A634,Parks!$B$2:$B$255,0)),"?"))</f>
        <v/>
      </c>
      <c r="C634" s="9"/>
      <c r="D634" s="10" t="str">
        <f aca="false">IF(C634="","",IF(SUMPRODUCT(--ISNUMBER(SEARCH({"Nets","Wicket","Diamond","Softball","T-ball","Baseball","Netball","Tennis","Bocce","Pentaque","Petanque","Skate","Car Park","Pond","Bridle","Amphitheatre","Perimeter","Passive"},C634)))&gt;0,"no",IF(SUMPRODUCT(--ISNUMBER(SEARCH({"Cricket","Junior","Mini","Summer Football","Small"},C634)))&gt;0,"reduced",IF(SUMPRODUCT(--ISNUMBER(SEARCH({"Rugby","Football","League","Touch","Gaelic","Australian","Lacrosse","General Sport","Training Area","Ultimate"},C634)))&gt;0,"full","unknown"))))</f>
        <v/>
      </c>
      <c r="E634" s="9"/>
      <c r="F634" s="9"/>
      <c r="G634" s="9"/>
      <c r="H634" s="9"/>
      <c r="I634" s="12"/>
      <c r="J634" s="9"/>
      <c r="K634" s="9"/>
      <c r="L634" s="9"/>
      <c r="M634" s="9"/>
      <c r="N634" s="9"/>
      <c r="O634" s="13" t="str">
        <f aca="false">IF(C634="","",IF(N(M634)+N(N634)&lt;Settings!$C$9,"untested",M634/(M634+N634)))</f>
        <v/>
      </c>
      <c r="P634" s="9"/>
      <c r="Q634" s="9"/>
      <c r="R634" s="9"/>
      <c r="S634" s="12"/>
      <c r="T634" s="9"/>
      <c r="U634" s="9"/>
      <c r="V634" s="9"/>
      <c r="W634" s="10" t="str">
        <f aca="false">IF(C634="","",IF(OR(G634="training",G634="full"),"Yes",IF(G634="none","No","?")))</f>
        <v/>
      </c>
      <c r="X634" s="10" t="str">
        <f aca="false">IF(C634="","",IF(OR(E634="",E634="unknown"),D634,E634))</f>
        <v/>
      </c>
      <c r="Y634" s="10" t="str">
        <f aca="false">IF(C634="","",IF(OR(T634="unsuitable",T634="retired",X634="no"),"—",IF(J634="","unrated",IF(AND(X634="full",J634&gt;=Settings!$C$5,OR(O634="untested",O634&gt;=Settings!$C$6)),"A",IF(AND(OR(X634="full",X634="reduced"),J634&gt;=Settings!$C$7,OR(O634="untested",O634&gt;=Settings!$C$8)),"B","C")))))</f>
        <v/>
      </c>
      <c r="Z634" s="11" t="str">
        <f aca="false">IF(C634="","",IF(P634&lt;&gt;"",P634,Y634))</f>
        <v/>
      </c>
    </row>
    <row r="635" customFormat="false" ht="15" hidden="false" customHeight="false" outlineLevel="0" collapsed="false">
      <c r="A635" s="9"/>
      <c r="B635" s="10" t="str">
        <f aca="false">IF(A635="","",IFERROR(INDEX(Parks!$A$2:$A$255,MATCH(A635,Parks!$B$2:$B$255,0)),"?"))</f>
        <v/>
      </c>
      <c r="C635" s="9"/>
      <c r="D635" s="10" t="str">
        <f aca="false">IF(C635="","",IF(SUMPRODUCT(--ISNUMBER(SEARCH({"Nets","Wicket","Diamond","Softball","T-ball","Baseball","Netball","Tennis","Bocce","Pentaque","Petanque","Skate","Car Park","Pond","Bridle","Amphitheatre","Perimeter","Passive"},C635)))&gt;0,"no",IF(SUMPRODUCT(--ISNUMBER(SEARCH({"Cricket","Junior","Mini","Summer Football","Small"},C635)))&gt;0,"reduced",IF(SUMPRODUCT(--ISNUMBER(SEARCH({"Rugby","Football","League","Touch","Gaelic","Australian","Lacrosse","General Sport","Training Area","Ultimate"},C635)))&gt;0,"full","unknown"))))</f>
        <v/>
      </c>
      <c r="E635" s="9"/>
      <c r="F635" s="9"/>
      <c r="G635" s="9"/>
      <c r="H635" s="9"/>
      <c r="I635" s="12"/>
      <c r="J635" s="9"/>
      <c r="K635" s="9"/>
      <c r="L635" s="9"/>
      <c r="M635" s="9"/>
      <c r="N635" s="9"/>
      <c r="O635" s="13" t="str">
        <f aca="false">IF(C635="","",IF(N(M635)+N(N635)&lt;Settings!$C$9,"untested",M635/(M635+N635)))</f>
        <v/>
      </c>
      <c r="P635" s="9"/>
      <c r="Q635" s="9"/>
      <c r="R635" s="9"/>
      <c r="S635" s="12"/>
      <c r="T635" s="9"/>
      <c r="U635" s="9"/>
      <c r="V635" s="9"/>
      <c r="W635" s="10" t="str">
        <f aca="false">IF(C635="","",IF(OR(G635="training",G635="full"),"Yes",IF(G635="none","No","?")))</f>
        <v/>
      </c>
      <c r="X635" s="10" t="str">
        <f aca="false">IF(C635="","",IF(OR(E635="",E635="unknown"),D635,E635))</f>
        <v/>
      </c>
      <c r="Y635" s="10" t="str">
        <f aca="false">IF(C635="","",IF(OR(T635="unsuitable",T635="retired",X635="no"),"—",IF(J635="","unrated",IF(AND(X635="full",J635&gt;=Settings!$C$5,OR(O635="untested",O635&gt;=Settings!$C$6)),"A",IF(AND(OR(X635="full",X635="reduced"),J635&gt;=Settings!$C$7,OR(O635="untested",O635&gt;=Settings!$C$8)),"B","C")))))</f>
        <v/>
      </c>
      <c r="Z635" s="11" t="str">
        <f aca="false">IF(C635="","",IF(P635&lt;&gt;"",P635,Y635))</f>
        <v/>
      </c>
    </row>
    <row r="636" customFormat="false" ht="15" hidden="false" customHeight="false" outlineLevel="0" collapsed="false">
      <c r="A636" s="9"/>
      <c r="B636" s="10" t="str">
        <f aca="false">IF(A636="","",IFERROR(INDEX(Parks!$A$2:$A$255,MATCH(A636,Parks!$B$2:$B$255,0)),"?"))</f>
        <v/>
      </c>
      <c r="C636" s="9"/>
      <c r="D636" s="10" t="str">
        <f aca="false">IF(C636="","",IF(SUMPRODUCT(--ISNUMBER(SEARCH({"Nets","Wicket","Diamond","Softball","T-ball","Baseball","Netball","Tennis","Bocce","Pentaque","Petanque","Skate","Car Park","Pond","Bridle","Amphitheatre","Perimeter","Passive"},C636)))&gt;0,"no",IF(SUMPRODUCT(--ISNUMBER(SEARCH({"Cricket","Junior","Mini","Summer Football","Small"},C636)))&gt;0,"reduced",IF(SUMPRODUCT(--ISNUMBER(SEARCH({"Rugby","Football","League","Touch","Gaelic","Australian","Lacrosse","General Sport","Training Area","Ultimate"},C636)))&gt;0,"full","unknown"))))</f>
        <v/>
      </c>
      <c r="E636" s="9"/>
      <c r="F636" s="9"/>
      <c r="G636" s="9"/>
      <c r="H636" s="9"/>
      <c r="I636" s="12"/>
      <c r="J636" s="9"/>
      <c r="K636" s="9"/>
      <c r="L636" s="9"/>
      <c r="M636" s="9"/>
      <c r="N636" s="9"/>
      <c r="O636" s="13" t="str">
        <f aca="false">IF(C636="","",IF(N(M636)+N(N636)&lt;Settings!$C$9,"untested",M636/(M636+N636)))</f>
        <v/>
      </c>
      <c r="P636" s="9"/>
      <c r="Q636" s="9"/>
      <c r="R636" s="9"/>
      <c r="S636" s="12"/>
      <c r="T636" s="9"/>
      <c r="U636" s="9"/>
      <c r="V636" s="9"/>
      <c r="W636" s="10" t="str">
        <f aca="false">IF(C636="","",IF(OR(G636="training",G636="full"),"Yes",IF(G636="none","No","?")))</f>
        <v/>
      </c>
      <c r="X636" s="10" t="str">
        <f aca="false">IF(C636="","",IF(OR(E636="",E636="unknown"),D636,E636))</f>
        <v/>
      </c>
      <c r="Y636" s="10" t="str">
        <f aca="false">IF(C636="","",IF(OR(T636="unsuitable",T636="retired",X636="no"),"—",IF(J636="","unrated",IF(AND(X636="full",J636&gt;=Settings!$C$5,OR(O636="untested",O636&gt;=Settings!$C$6)),"A",IF(AND(OR(X636="full",X636="reduced"),J636&gt;=Settings!$C$7,OR(O636="untested",O636&gt;=Settings!$C$8)),"B","C")))))</f>
        <v/>
      </c>
      <c r="Z636" s="11" t="str">
        <f aca="false">IF(C636="","",IF(P636&lt;&gt;"",P636,Y636))</f>
        <v/>
      </c>
    </row>
    <row r="637" customFormat="false" ht="15" hidden="false" customHeight="false" outlineLevel="0" collapsed="false">
      <c r="A637" s="9"/>
      <c r="B637" s="10" t="str">
        <f aca="false">IF(A637="","",IFERROR(INDEX(Parks!$A$2:$A$255,MATCH(A637,Parks!$B$2:$B$255,0)),"?"))</f>
        <v/>
      </c>
      <c r="C637" s="9"/>
      <c r="D637" s="10" t="str">
        <f aca="false">IF(C637="","",IF(SUMPRODUCT(--ISNUMBER(SEARCH({"Nets","Wicket","Diamond","Softball","T-ball","Baseball","Netball","Tennis","Bocce","Pentaque","Petanque","Skate","Car Park","Pond","Bridle","Amphitheatre","Perimeter","Passive"},C637)))&gt;0,"no",IF(SUMPRODUCT(--ISNUMBER(SEARCH({"Cricket","Junior","Mini","Summer Football","Small"},C637)))&gt;0,"reduced",IF(SUMPRODUCT(--ISNUMBER(SEARCH({"Rugby","Football","League","Touch","Gaelic","Australian","Lacrosse","General Sport","Training Area","Ultimate"},C637)))&gt;0,"full","unknown"))))</f>
        <v/>
      </c>
      <c r="E637" s="9"/>
      <c r="F637" s="9"/>
      <c r="G637" s="9"/>
      <c r="H637" s="9"/>
      <c r="I637" s="12"/>
      <c r="J637" s="9"/>
      <c r="K637" s="9"/>
      <c r="L637" s="9"/>
      <c r="M637" s="9"/>
      <c r="N637" s="9"/>
      <c r="O637" s="13" t="str">
        <f aca="false">IF(C637="","",IF(N(M637)+N(N637)&lt;Settings!$C$9,"untested",M637/(M637+N637)))</f>
        <v/>
      </c>
      <c r="P637" s="9"/>
      <c r="Q637" s="9"/>
      <c r="R637" s="9"/>
      <c r="S637" s="12"/>
      <c r="T637" s="9"/>
      <c r="U637" s="9"/>
      <c r="V637" s="9"/>
      <c r="W637" s="10" t="str">
        <f aca="false">IF(C637="","",IF(OR(G637="training",G637="full"),"Yes",IF(G637="none","No","?")))</f>
        <v/>
      </c>
      <c r="X637" s="10" t="str">
        <f aca="false">IF(C637="","",IF(OR(E637="",E637="unknown"),D637,E637))</f>
        <v/>
      </c>
      <c r="Y637" s="10" t="str">
        <f aca="false">IF(C637="","",IF(OR(T637="unsuitable",T637="retired",X637="no"),"—",IF(J637="","unrated",IF(AND(X637="full",J637&gt;=Settings!$C$5,OR(O637="untested",O637&gt;=Settings!$C$6)),"A",IF(AND(OR(X637="full",X637="reduced"),J637&gt;=Settings!$C$7,OR(O637="untested",O637&gt;=Settings!$C$8)),"B","C")))))</f>
        <v/>
      </c>
      <c r="Z637" s="11" t="str">
        <f aca="false">IF(C637="","",IF(P637&lt;&gt;"",P637,Y637))</f>
        <v/>
      </c>
    </row>
    <row r="638" customFormat="false" ht="15" hidden="false" customHeight="false" outlineLevel="0" collapsed="false">
      <c r="A638" s="9"/>
      <c r="B638" s="10" t="str">
        <f aca="false">IF(A638="","",IFERROR(INDEX(Parks!$A$2:$A$255,MATCH(A638,Parks!$B$2:$B$255,0)),"?"))</f>
        <v/>
      </c>
      <c r="C638" s="9"/>
      <c r="D638" s="10" t="str">
        <f aca="false">IF(C638="","",IF(SUMPRODUCT(--ISNUMBER(SEARCH({"Nets","Wicket","Diamond","Softball","T-ball","Baseball","Netball","Tennis","Bocce","Pentaque","Petanque","Skate","Car Park","Pond","Bridle","Amphitheatre","Perimeter","Passive"},C638)))&gt;0,"no",IF(SUMPRODUCT(--ISNUMBER(SEARCH({"Cricket","Junior","Mini","Summer Football","Small"},C638)))&gt;0,"reduced",IF(SUMPRODUCT(--ISNUMBER(SEARCH({"Rugby","Football","League","Touch","Gaelic","Australian","Lacrosse","General Sport","Training Area","Ultimate"},C638)))&gt;0,"full","unknown"))))</f>
        <v/>
      </c>
      <c r="E638" s="9"/>
      <c r="F638" s="9"/>
      <c r="G638" s="9"/>
      <c r="H638" s="9"/>
      <c r="I638" s="12"/>
      <c r="J638" s="9"/>
      <c r="K638" s="9"/>
      <c r="L638" s="9"/>
      <c r="M638" s="9"/>
      <c r="N638" s="9"/>
      <c r="O638" s="13" t="str">
        <f aca="false">IF(C638="","",IF(N(M638)+N(N638)&lt;Settings!$C$9,"untested",M638/(M638+N638)))</f>
        <v/>
      </c>
      <c r="P638" s="9"/>
      <c r="Q638" s="9"/>
      <c r="R638" s="9"/>
      <c r="S638" s="12"/>
      <c r="T638" s="9"/>
      <c r="U638" s="9"/>
      <c r="V638" s="9"/>
      <c r="W638" s="10" t="str">
        <f aca="false">IF(C638="","",IF(OR(G638="training",G638="full"),"Yes",IF(G638="none","No","?")))</f>
        <v/>
      </c>
      <c r="X638" s="10" t="str">
        <f aca="false">IF(C638="","",IF(OR(E638="",E638="unknown"),D638,E638))</f>
        <v/>
      </c>
      <c r="Y638" s="10" t="str">
        <f aca="false">IF(C638="","",IF(OR(T638="unsuitable",T638="retired",X638="no"),"—",IF(J638="","unrated",IF(AND(X638="full",J638&gt;=Settings!$C$5,OR(O638="untested",O638&gt;=Settings!$C$6)),"A",IF(AND(OR(X638="full",X638="reduced"),J638&gt;=Settings!$C$7,OR(O638="untested",O638&gt;=Settings!$C$8)),"B","C")))))</f>
        <v/>
      </c>
      <c r="Z638" s="11" t="str">
        <f aca="false">IF(C638="","",IF(P638&lt;&gt;"",P638,Y638))</f>
        <v/>
      </c>
    </row>
    <row r="639" customFormat="false" ht="15" hidden="false" customHeight="false" outlineLevel="0" collapsed="false">
      <c r="A639" s="9"/>
      <c r="B639" s="10" t="str">
        <f aca="false">IF(A639="","",IFERROR(INDEX(Parks!$A$2:$A$255,MATCH(A639,Parks!$B$2:$B$255,0)),"?"))</f>
        <v/>
      </c>
      <c r="C639" s="9"/>
      <c r="D639" s="10" t="str">
        <f aca="false">IF(C639="","",IF(SUMPRODUCT(--ISNUMBER(SEARCH({"Nets","Wicket","Diamond","Softball","T-ball","Baseball","Netball","Tennis","Bocce","Pentaque","Petanque","Skate","Car Park","Pond","Bridle","Amphitheatre","Perimeter","Passive"},C639)))&gt;0,"no",IF(SUMPRODUCT(--ISNUMBER(SEARCH({"Cricket","Junior","Mini","Summer Football","Small"},C639)))&gt;0,"reduced",IF(SUMPRODUCT(--ISNUMBER(SEARCH({"Rugby","Football","League","Touch","Gaelic","Australian","Lacrosse","General Sport","Training Area","Ultimate"},C639)))&gt;0,"full","unknown"))))</f>
        <v/>
      </c>
      <c r="E639" s="9"/>
      <c r="F639" s="9"/>
      <c r="G639" s="9"/>
      <c r="H639" s="9"/>
      <c r="I639" s="12"/>
      <c r="J639" s="9"/>
      <c r="K639" s="9"/>
      <c r="L639" s="9"/>
      <c r="M639" s="9"/>
      <c r="N639" s="9"/>
      <c r="O639" s="13" t="str">
        <f aca="false">IF(C639="","",IF(N(M639)+N(N639)&lt;Settings!$C$9,"untested",M639/(M639+N639)))</f>
        <v/>
      </c>
      <c r="P639" s="9"/>
      <c r="Q639" s="9"/>
      <c r="R639" s="9"/>
      <c r="S639" s="12"/>
      <c r="T639" s="9"/>
      <c r="U639" s="9"/>
      <c r="V639" s="9"/>
      <c r="W639" s="10" t="str">
        <f aca="false">IF(C639="","",IF(OR(G639="training",G639="full"),"Yes",IF(G639="none","No","?")))</f>
        <v/>
      </c>
      <c r="X639" s="10" t="str">
        <f aca="false">IF(C639="","",IF(OR(E639="",E639="unknown"),D639,E639))</f>
        <v/>
      </c>
      <c r="Y639" s="10" t="str">
        <f aca="false">IF(C639="","",IF(OR(T639="unsuitable",T639="retired",X639="no"),"—",IF(J639="","unrated",IF(AND(X639="full",J639&gt;=Settings!$C$5,OR(O639="untested",O639&gt;=Settings!$C$6)),"A",IF(AND(OR(X639="full",X639="reduced"),J639&gt;=Settings!$C$7,OR(O639="untested",O639&gt;=Settings!$C$8)),"B","C")))))</f>
        <v/>
      </c>
      <c r="Z639" s="11" t="str">
        <f aca="false">IF(C639="","",IF(P639&lt;&gt;"",P639,Y639))</f>
        <v/>
      </c>
    </row>
    <row r="640" customFormat="false" ht="15" hidden="false" customHeight="false" outlineLevel="0" collapsed="false">
      <c r="A640" s="9"/>
      <c r="B640" s="10" t="str">
        <f aca="false">IF(A640="","",IFERROR(INDEX(Parks!$A$2:$A$255,MATCH(A640,Parks!$B$2:$B$255,0)),"?"))</f>
        <v/>
      </c>
      <c r="C640" s="9"/>
      <c r="D640" s="10" t="str">
        <f aca="false">IF(C640="","",IF(SUMPRODUCT(--ISNUMBER(SEARCH({"Nets","Wicket","Diamond","Softball","T-ball","Baseball","Netball","Tennis","Bocce","Pentaque","Petanque","Skate","Car Park","Pond","Bridle","Amphitheatre","Perimeter","Passive"},C640)))&gt;0,"no",IF(SUMPRODUCT(--ISNUMBER(SEARCH({"Cricket","Junior","Mini","Summer Football","Small"},C640)))&gt;0,"reduced",IF(SUMPRODUCT(--ISNUMBER(SEARCH({"Rugby","Football","League","Touch","Gaelic","Australian","Lacrosse","General Sport","Training Area","Ultimate"},C640)))&gt;0,"full","unknown"))))</f>
        <v/>
      </c>
      <c r="E640" s="9"/>
      <c r="F640" s="9"/>
      <c r="G640" s="9"/>
      <c r="H640" s="9"/>
      <c r="I640" s="12"/>
      <c r="J640" s="9"/>
      <c r="K640" s="9"/>
      <c r="L640" s="9"/>
      <c r="M640" s="9"/>
      <c r="N640" s="9"/>
      <c r="O640" s="13" t="str">
        <f aca="false">IF(C640="","",IF(N(M640)+N(N640)&lt;Settings!$C$9,"untested",M640/(M640+N640)))</f>
        <v/>
      </c>
      <c r="P640" s="9"/>
      <c r="Q640" s="9"/>
      <c r="R640" s="9"/>
      <c r="S640" s="12"/>
      <c r="T640" s="9"/>
      <c r="U640" s="9"/>
      <c r="V640" s="9"/>
      <c r="W640" s="10" t="str">
        <f aca="false">IF(C640="","",IF(OR(G640="training",G640="full"),"Yes",IF(G640="none","No","?")))</f>
        <v/>
      </c>
      <c r="X640" s="10" t="str">
        <f aca="false">IF(C640="","",IF(OR(E640="",E640="unknown"),D640,E640))</f>
        <v/>
      </c>
      <c r="Y640" s="10" t="str">
        <f aca="false">IF(C640="","",IF(OR(T640="unsuitable",T640="retired",X640="no"),"—",IF(J640="","unrated",IF(AND(X640="full",J640&gt;=Settings!$C$5,OR(O640="untested",O640&gt;=Settings!$C$6)),"A",IF(AND(OR(X640="full",X640="reduced"),J640&gt;=Settings!$C$7,OR(O640="untested",O640&gt;=Settings!$C$8)),"B","C")))))</f>
        <v/>
      </c>
      <c r="Z640" s="11" t="str">
        <f aca="false">IF(C640="","",IF(P640&lt;&gt;"",P640,Y640))</f>
        <v/>
      </c>
    </row>
    <row r="641" customFormat="false" ht="15" hidden="false" customHeight="false" outlineLevel="0" collapsed="false">
      <c r="A641" s="9"/>
      <c r="B641" s="10" t="str">
        <f aca="false">IF(A641="","",IFERROR(INDEX(Parks!$A$2:$A$255,MATCH(A641,Parks!$B$2:$B$255,0)),"?"))</f>
        <v/>
      </c>
      <c r="C641" s="9"/>
      <c r="D641" s="10" t="str">
        <f aca="false">IF(C641="","",IF(SUMPRODUCT(--ISNUMBER(SEARCH({"Nets","Wicket","Diamond","Softball","T-ball","Baseball","Netball","Tennis","Bocce","Pentaque","Petanque","Skate","Car Park","Pond","Bridle","Amphitheatre","Perimeter","Passive"},C641)))&gt;0,"no",IF(SUMPRODUCT(--ISNUMBER(SEARCH({"Cricket","Junior","Mini","Summer Football","Small"},C641)))&gt;0,"reduced",IF(SUMPRODUCT(--ISNUMBER(SEARCH({"Rugby","Football","League","Touch","Gaelic","Australian","Lacrosse","General Sport","Training Area","Ultimate"},C641)))&gt;0,"full","unknown"))))</f>
        <v/>
      </c>
      <c r="E641" s="9"/>
      <c r="F641" s="9"/>
      <c r="G641" s="9"/>
      <c r="H641" s="9"/>
      <c r="I641" s="12"/>
      <c r="J641" s="9"/>
      <c r="K641" s="9"/>
      <c r="L641" s="9"/>
      <c r="M641" s="9"/>
      <c r="N641" s="9"/>
      <c r="O641" s="13" t="str">
        <f aca="false">IF(C641="","",IF(N(M641)+N(N641)&lt;Settings!$C$9,"untested",M641/(M641+N641)))</f>
        <v/>
      </c>
      <c r="P641" s="9"/>
      <c r="Q641" s="9"/>
      <c r="R641" s="9"/>
      <c r="S641" s="12"/>
      <c r="T641" s="9"/>
      <c r="U641" s="9"/>
      <c r="V641" s="9"/>
      <c r="W641" s="10" t="str">
        <f aca="false">IF(C641="","",IF(OR(G641="training",G641="full"),"Yes",IF(G641="none","No","?")))</f>
        <v/>
      </c>
      <c r="X641" s="10" t="str">
        <f aca="false">IF(C641="","",IF(OR(E641="",E641="unknown"),D641,E641))</f>
        <v/>
      </c>
      <c r="Y641" s="10" t="str">
        <f aca="false">IF(C641="","",IF(OR(T641="unsuitable",T641="retired",X641="no"),"—",IF(J641="","unrated",IF(AND(X641="full",J641&gt;=Settings!$C$5,OR(O641="untested",O641&gt;=Settings!$C$6)),"A",IF(AND(OR(X641="full",X641="reduced"),J641&gt;=Settings!$C$7,OR(O641="untested",O641&gt;=Settings!$C$8)),"B","C")))))</f>
        <v/>
      </c>
      <c r="Z641" s="11" t="str">
        <f aca="false">IF(C641="","",IF(P641&lt;&gt;"",P641,Y641))</f>
        <v/>
      </c>
    </row>
    <row r="642" customFormat="false" ht="15" hidden="false" customHeight="false" outlineLevel="0" collapsed="false">
      <c r="A642" s="9"/>
      <c r="B642" s="10" t="str">
        <f aca="false">IF(A642="","",IFERROR(INDEX(Parks!$A$2:$A$255,MATCH(A642,Parks!$B$2:$B$255,0)),"?"))</f>
        <v/>
      </c>
      <c r="C642" s="9"/>
      <c r="D642" s="10" t="str">
        <f aca="false">IF(C642="","",IF(SUMPRODUCT(--ISNUMBER(SEARCH({"Nets","Wicket","Diamond","Softball","T-ball","Baseball","Netball","Tennis","Bocce","Pentaque","Petanque","Skate","Car Park","Pond","Bridle","Amphitheatre","Perimeter","Passive"},C642)))&gt;0,"no",IF(SUMPRODUCT(--ISNUMBER(SEARCH({"Cricket","Junior","Mini","Summer Football","Small"},C642)))&gt;0,"reduced",IF(SUMPRODUCT(--ISNUMBER(SEARCH({"Rugby","Football","League","Touch","Gaelic","Australian","Lacrosse","General Sport","Training Area","Ultimate"},C642)))&gt;0,"full","unknown"))))</f>
        <v/>
      </c>
      <c r="E642" s="9"/>
      <c r="F642" s="9"/>
      <c r="G642" s="9"/>
      <c r="H642" s="9"/>
      <c r="I642" s="12"/>
      <c r="J642" s="9"/>
      <c r="K642" s="9"/>
      <c r="L642" s="9"/>
      <c r="M642" s="9"/>
      <c r="N642" s="9"/>
      <c r="O642" s="13" t="str">
        <f aca="false">IF(C642="","",IF(N(M642)+N(N642)&lt;Settings!$C$9,"untested",M642/(M642+N642)))</f>
        <v/>
      </c>
      <c r="P642" s="9"/>
      <c r="Q642" s="9"/>
      <c r="R642" s="9"/>
      <c r="S642" s="12"/>
      <c r="T642" s="9"/>
      <c r="U642" s="9"/>
      <c r="V642" s="9"/>
      <c r="W642" s="10" t="str">
        <f aca="false">IF(C642="","",IF(OR(G642="training",G642="full"),"Yes",IF(G642="none","No","?")))</f>
        <v/>
      </c>
      <c r="X642" s="10" t="str">
        <f aca="false">IF(C642="","",IF(OR(E642="",E642="unknown"),D642,E642))</f>
        <v/>
      </c>
      <c r="Y642" s="10" t="str">
        <f aca="false">IF(C642="","",IF(OR(T642="unsuitable",T642="retired",X642="no"),"—",IF(J642="","unrated",IF(AND(X642="full",J642&gt;=Settings!$C$5,OR(O642="untested",O642&gt;=Settings!$C$6)),"A",IF(AND(OR(X642="full",X642="reduced"),J642&gt;=Settings!$C$7,OR(O642="untested",O642&gt;=Settings!$C$8)),"B","C")))))</f>
        <v/>
      </c>
      <c r="Z642" s="11" t="str">
        <f aca="false">IF(C642="","",IF(P642&lt;&gt;"",P642,Y642))</f>
        <v/>
      </c>
    </row>
    <row r="643" customFormat="false" ht="15" hidden="false" customHeight="false" outlineLevel="0" collapsed="false">
      <c r="A643" s="9"/>
      <c r="B643" s="10" t="str">
        <f aca="false">IF(A643="","",IFERROR(INDEX(Parks!$A$2:$A$255,MATCH(A643,Parks!$B$2:$B$255,0)),"?"))</f>
        <v/>
      </c>
      <c r="C643" s="9"/>
      <c r="D643" s="10" t="str">
        <f aca="false">IF(C643="","",IF(SUMPRODUCT(--ISNUMBER(SEARCH({"Nets","Wicket","Diamond","Softball","T-ball","Baseball","Netball","Tennis","Bocce","Pentaque","Petanque","Skate","Car Park","Pond","Bridle","Amphitheatre","Perimeter","Passive"},C643)))&gt;0,"no",IF(SUMPRODUCT(--ISNUMBER(SEARCH({"Cricket","Junior","Mini","Summer Football","Small"},C643)))&gt;0,"reduced",IF(SUMPRODUCT(--ISNUMBER(SEARCH({"Rugby","Football","League","Touch","Gaelic","Australian","Lacrosse","General Sport","Training Area","Ultimate"},C643)))&gt;0,"full","unknown"))))</f>
        <v/>
      </c>
      <c r="E643" s="9"/>
      <c r="F643" s="9"/>
      <c r="G643" s="9"/>
      <c r="H643" s="9"/>
      <c r="I643" s="12"/>
      <c r="J643" s="9"/>
      <c r="K643" s="9"/>
      <c r="L643" s="9"/>
      <c r="M643" s="9"/>
      <c r="N643" s="9"/>
      <c r="O643" s="13" t="str">
        <f aca="false">IF(C643="","",IF(N(M643)+N(N643)&lt;Settings!$C$9,"untested",M643/(M643+N643)))</f>
        <v/>
      </c>
      <c r="P643" s="9"/>
      <c r="Q643" s="9"/>
      <c r="R643" s="9"/>
      <c r="S643" s="12"/>
      <c r="T643" s="9"/>
      <c r="U643" s="9"/>
      <c r="V643" s="9"/>
      <c r="W643" s="10" t="str">
        <f aca="false">IF(C643="","",IF(OR(G643="training",G643="full"),"Yes",IF(G643="none","No","?")))</f>
        <v/>
      </c>
      <c r="X643" s="10" t="str">
        <f aca="false">IF(C643="","",IF(OR(E643="",E643="unknown"),D643,E643))</f>
        <v/>
      </c>
      <c r="Y643" s="10" t="str">
        <f aca="false">IF(C643="","",IF(OR(T643="unsuitable",T643="retired",X643="no"),"—",IF(J643="","unrated",IF(AND(X643="full",J643&gt;=Settings!$C$5,OR(O643="untested",O643&gt;=Settings!$C$6)),"A",IF(AND(OR(X643="full",X643="reduced"),J643&gt;=Settings!$C$7,OR(O643="untested",O643&gt;=Settings!$C$8)),"B","C")))))</f>
        <v/>
      </c>
      <c r="Z643" s="11" t="str">
        <f aca="false">IF(C643="","",IF(P643&lt;&gt;"",P643,Y643))</f>
        <v/>
      </c>
    </row>
    <row r="644" customFormat="false" ht="15" hidden="false" customHeight="false" outlineLevel="0" collapsed="false">
      <c r="A644" s="9"/>
      <c r="B644" s="10" t="str">
        <f aca="false">IF(A644="","",IFERROR(INDEX(Parks!$A$2:$A$255,MATCH(A644,Parks!$B$2:$B$255,0)),"?"))</f>
        <v/>
      </c>
      <c r="C644" s="9"/>
      <c r="D644" s="10" t="str">
        <f aca="false">IF(C644="","",IF(SUMPRODUCT(--ISNUMBER(SEARCH({"Nets","Wicket","Diamond","Softball","T-ball","Baseball","Netball","Tennis","Bocce","Pentaque","Petanque","Skate","Car Park","Pond","Bridle","Amphitheatre","Perimeter","Passive"},C644)))&gt;0,"no",IF(SUMPRODUCT(--ISNUMBER(SEARCH({"Cricket","Junior","Mini","Summer Football","Small"},C644)))&gt;0,"reduced",IF(SUMPRODUCT(--ISNUMBER(SEARCH({"Rugby","Football","League","Touch","Gaelic","Australian","Lacrosse","General Sport","Training Area","Ultimate"},C644)))&gt;0,"full","unknown"))))</f>
        <v/>
      </c>
      <c r="E644" s="9"/>
      <c r="F644" s="9"/>
      <c r="G644" s="9"/>
      <c r="H644" s="9"/>
      <c r="I644" s="12"/>
      <c r="J644" s="9"/>
      <c r="K644" s="9"/>
      <c r="L644" s="9"/>
      <c r="M644" s="9"/>
      <c r="N644" s="9"/>
      <c r="O644" s="13" t="str">
        <f aca="false">IF(C644="","",IF(N(M644)+N(N644)&lt;Settings!$C$9,"untested",M644/(M644+N644)))</f>
        <v/>
      </c>
      <c r="P644" s="9"/>
      <c r="Q644" s="9"/>
      <c r="R644" s="9"/>
      <c r="S644" s="12"/>
      <c r="T644" s="9"/>
      <c r="U644" s="9"/>
      <c r="V644" s="9"/>
      <c r="W644" s="10" t="str">
        <f aca="false">IF(C644="","",IF(OR(G644="training",G644="full"),"Yes",IF(G644="none","No","?")))</f>
        <v/>
      </c>
      <c r="X644" s="10" t="str">
        <f aca="false">IF(C644="","",IF(OR(E644="",E644="unknown"),D644,E644))</f>
        <v/>
      </c>
      <c r="Y644" s="10" t="str">
        <f aca="false">IF(C644="","",IF(OR(T644="unsuitable",T644="retired",X644="no"),"—",IF(J644="","unrated",IF(AND(X644="full",J644&gt;=Settings!$C$5,OR(O644="untested",O644&gt;=Settings!$C$6)),"A",IF(AND(OR(X644="full",X644="reduced"),J644&gt;=Settings!$C$7,OR(O644="untested",O644&gt;=Settings!$C$8)),"B","C")))))</f>
        <v/>
      </c>
      <c r="Z644" s="11" t="str">
        <f aca="false">IF(C644="","",IF(P644&lt;&gt;"",P644,Y644))</f>
        <v/>
      </c>
    </row>
    <row r="645" customFormat="false" ht="15" hidden="false" customHeight="false" outlineLevel="0" collapsed="false">
      <c r="A645" s="9"/>
      <c r="B645" s="10" t="str">
        <f aca="false">IF(A645="","",IFERROR(INDEX(Parks!$A$2:$A$255,MATCH(A645,Parks!$B$2:$B$255,0)),"?"))</f>
        <v/>
      </c>
      <c r="C645" s="9"/>
      <c r="D645" s="10" t="str">
        <f aca="false">IF(C645="","",IF(SUMPRODUCT(--ISNUMBER(SEARCH({"Nets","Wicket","Diamond","Softball","T-ball","Baseball","Netball","Tennis","Bocce","Pentaque","Petanque","Skate","Car Park","Pond","Bridle","Amphitheatre","Perimeter","Passive"},C645)))&gt;0,"no",IF(SUMPRODUCT(--ISNUMBER(SEARCH({"Cricket","Junior","Mini","Summer Football","Small"},C645)))&gt;0,"reduced",IF(SUMPRODUCT(--ISNUMBER(SEARCH({"Rugby","Football","League","Touch","Gaelic","Australian","Lacrosse","General Sport","Training Area","Ultimate"},C645)))&gt;0,"full","unknown"))))</f>
        <v/>
      </c>
      <c r="E645" s="9"/>
      <c r="F645" s="9"/>
      <c r="G645" s="9"/>
      <c r="H645" s="9"/>
      <c r="I645" s="12"/>
      <c r="J645" s="9"/>
      <c r="K645" s="9"/>
      <c r="L645" s="9"/>
      <c r="M645" s="9"/>
      <c r="N645" s="9"/>
      <c r="O645" s="13" t="str">
        <f aca="false">IF(C645="","",IF(N(M645)+N(N645)&lt;Settings!$C$9,"untested",M645/(M645+N645)))</f>
        <v/>
      </c>
      <c r="P645" s="9"/>
      <c r="Q645" s="9"/>
      <c r="R645" s="9"/>
      <c r="S645" s="12"/>
      <c r="T645" s="9"/>
      <c r="U645" s="9"/>
      <c r="V645" s="9"/>
      <c r="W645" s="10" t="str">
        <f aca="false">IF(C645="","",IF(OR(G645="training",G645="full"),"Yes",IF(G645="none","No","?")))</f>
        <v/>
      </c>
      <c r="X645" s="10" t="str">
        <f aca="false">IF(C645="","",IF(OR(E645="",E645="unknown"),D645,E645))</f>
        <v/>
      </c>
      <c r="Y645" s="10" t="str">
        <f aca="false">IF(C645="","",IF(OR(T645="unsuitable",T645="retired",X645="no"),"—",IF(J645="","unrated",IF(AND(X645="full",J645&gt;=Settings!$C$5,OR(O645="untested",O645&gt;=Settings!$C$6)),"A",IF(AND(OR(X645="full",X645="reduced"),J645&gt;=Settings!$C$7,OR(O645="untested",O645&gt;=Settings!$C$8)),"B","C")))))</f>
        <v/>
      </c>
      <c r="Z645" s="11" t="str">
        <f aca="false">IF(C645="","",IF(P645&lt;&gt;"",P645,Y645))</f>
        <v/>
      </c>
    </row>
    <row r="646" customFormat="false" ht="15" hidden="false" customHeight="false" outlineLevel="0" collapsed="false">
      <c r="A646" s="9"/>
      <c r="B646" s="10" t="str">
        <f aca="false">IF(A646="","",IFERROR(INDEX(Parks!$A$2:$A$255,MATCH(A646,Parks!$B$2:$B$255,0)),"?"))</f>
        <v/>
      </c>
      <c r="C646" s="9"/>
      <c r="D646" s="10" t="str">
        <f aca="false">IF(C646="","",IF(SUMPRODUCT(--ISNUMBER(SEARCH({"Nets","Wicket","Diamond","Softball","T-ball","Baseball","Netball","Tennis","Bocce","Pentaque","Petanque","Skate","Car Park","Pond","Bridle","Amphitheatre","Perimeter","Passive"},C646)))&gt;0,"no",IF(SUMPRODUCT(--ISNUMBER(SEARCH({"Cricket","Junior","Mini","Summer Football","Small"},C646)))&gt;0,"reduced",IF(SUMPRODUCT(--ISNUMBER(SEARCH({"Rugby","Football","League","Touch","Gaelic","Australian","Lacrosse","General Sport","Training Area","Ultimate"},C646)))&gt;0,"full","unknown"))))</f>
        <v/>
      </c>
      <c r="E646" s="9"/>
      <c r="F646" s="9"/>
      <c r="G646" s="9"/>
      <c r="H646" s="9"/>
      <c r="I646" s="12"/>
      <c r="J646" s="9"/>
      <c r="K646" s="9"/>
      <c r="L646" s="9"/>
      <c r="M646" s="9"/>
      <c r="N646" s="9"/>
      <c r="O646" s="13" t="str">
        <f aca="false">IF(C646="","",IF(N(M646)+N(N646)&lt;Settings!$C$9,"untested",M646/(M646+N646)))</f>
        <v/>
      </c>
      <c r="P646" s="9"/>
      <c r="Q646" s="9"/>
      <c r="R646" s="9"/>
      <c r="S646" s="12"/>
      <c r="T646" s="9"/>
      <c r="U646" s="9"/>
      <c r="V646" s="9"/>
      <c r="W646" s="10" t="str">
        <f aca="false">IF(C646="","",IF(OR(G646="training",G646="full"),"Yes",IF(G646="none","No","?")))</f>
        <v/>
      </c>
      <c r="X646" s="10" t="str">
        <f aca="false">IF(C646="","",IF(OR(E646="",E646="unknown"),D646,E646))</f>
        <v/>
      </c>
      <c r="Y646" s="10" t="str">
        <f aca="false">IF(C646="","",IF(OR(T646="unsuitable",T646="retired",X646="no"),"—",IF(J646="","unrated",IF(AND(X646="full",J646&gt;=Settings!$C$5,OR(O646="untested",O646&gt;=Settings!$C$6)),"A",IF(AND(OR(X646="full",X646="reduced"),J646&gt;=Settings!$C$7,OR(O646="untested",O646&gt;=Settings!$C$8)),"B","C")))))</f>
        <v/>
      </c>
      <c r="Z646" s="11" t="str">
        <f aca="false">IF(C646="","",IF(P646&lt;&gt;"",P646,Y646))</f>
        <v/>
      </c>
    </row>
    <row r="647" customFormat="false" ht="15" hidden="false" customHeight="false" outlineLevel="0" collapsed="false">
      <c r="A647" s="9"/>
      <c r="B647" s="10" t="str">
        <f aca="false">IF(A647="","",IFERROR(INDEX(Parks!$A$2:$A$255,MATCH(A647,Parks!$B$2:$B$255,0)),"?"))</f>
        <v/>
      </c>
      <c r="C647" s="9"/>
      <c r="D647" s="10" t="str">
        <f aca="false">IF(C647="","",IF(SUMPRODUCT(--ISNUMBER(SEARCH({"Nets","Wicket","Diamond","Softball","T-ball","Baseball","Netball","Tennis","Bocce","Pentaque","Petanque","Skate","Car Park","Pond","Bridle","Amphitheatre","Perimeter","Passive"},C647)))&gt;0,"no",IF(SUMPRODUCT(--ISNUMBER(SEARCH({"Cricket","Junior","Mini","Summer Football","Small"},C647)))&gt;0,"reduced",IF(SUMPRODUCT(--ISNUMBER(SEARCH({"Rugby","Football","League","Touch","Gaelic","Australian","Lacrosse","General Sport","Training Area","Ultimate"},C647)))&gt;0,"full","unknown"))))</f>
        <v/>
      </c>
      <c r="E647" s="9"/>
      <c r="F647" s="9"/>
      <c r="G647" s="9"/>
      <c r="H647" s="9"/>
      <c r="I647" s="12"/>
      <c r="J647" s="9"/>
      <c r="K647" s="9"/>
      <c r="L647" s="9"/>
      <c r="M647" s="9"/>
      <c r="N647" s="9"/>
      <c r="O647" s="13" t="str">
        <f aca="false">IF(C647="","",IF(N(M647)+N(N647)&lt;Settings!$C$9,"untested",M647/(M647+N647)))</f>
        <v/>
      </c>
      <c r="P647" s="9"/>
      <c r="Q647" s="9"/>
      <c r="R647" s="9"/>
      <c r="S647" s="12"/>
      <c r="T647" s="9"/>
      <c r="U647" s="9"/>
      <c r="V647" s="9"/>
      <c r="W647" s="10" t="str">
        <f aca="false">IF(C647="","",IF(OR(G647="training",G647="full"),"Yes",IF(G647="none","No","?")))</f>
        <v/>
      </c>
      <c r="X647" s="10" t="str">
        <f aca="false">IF(C647="","",IF(OR(E647="",E647="unknown"),D647,E647))</f>
        <v/>
      </c>
      <c r="Y647" s="10" t="str">
        <f aca="false">IF(C647="","",IF(OR(T647="unsuitable",T647="retired",X647="no"),"—",IF(J647="","unrated",IF(AND(X647="full",J647&gt;=Settings!$C$5,OR(O647="untested",O647&gt;=Settings!$C$6)),"A",IF(AND(OR(X647="full",X647="reduced"),J647&gt;=Settings!$C$7,OR(O647="untested",O647&gt;=Settings!$C$8)),"B","C")))))</f>
        <v/>
      </c>
      <c r="Z647" s="11" t="str">
        <f aca="false">IF(C647="","",IF(P647&lt;&gt;"",P647,Y647))</f>
        <v/>
      </c>
    </row>
    <row r="648" customFormat="false" ht="15" hidden="false" customHeight="false" outlineLevel="0" collapsed="false">
      <c r="A648" s="9"/>
      <c r="B648" s="10" t="str">
        <f aca="false">IF(A648="","",IFERROR(INDEX(Parks!$A$2:$A$255,MATCH(A648,Parks!$B$2:$B$255,0)),"?"))</f>
        <v/>
      </c>
      <c r="C648" s="9"/>
      <c r="D648" s="10" t="str">
        <f aca="false">IF(C648="","",IF(SUMPRODUCT(--ISNUMBER(SEARCH({"Nets","Wicket","Diamond","Softball","T-ball","Baseball","Netball","Tennis","Bocce","Pentaque","Petanque","Skate","Car Park","Pond","Bridle","Amphitheatre","Perimeter","Passive"},C648)))&gt;0,"no",IF(SUMPRODUCT(--ISNUMBER(SEARCH({"Cricket","Junior","Mini","Summer Football","Small"},C648)))&gt;0,"reduced",IF(SUMPRODUCT(--ISNUMBER(SEARCH({"Rugby","Football","League","Touch","Gaelic","Australian","Lacrosse","General Sport","Training Area","Ultimate"},C648)))&gt;0,"full","unknown"))))</f>
        <v/>
      </c>
      <c r="E648" s="9"/>
      <c r="F648" s="9"/>
      <c r="G648" s="9"/>
      <c r="H648" s="9"/>
      <c r="I648" s="12"/>
      <c r="J648" s="9"/>
      <c r="K648" s="9"/>
      <c r="L648" s="9"/>
      <c r="M648" s="9"/>
      <c r="N648" s="9"/>
      <c r="O648" s="13" t="str">
        <f aca="false">IF(C648="","",IF(N(M648)+N(N648)&lt;Settings!$C$9,"untested",M648/(M648+N648)))</f>
        <v/>
      </c>
      <c r="P648" s="9"/>
      <c r="Q648" s="9"/>
      <c r="R648" s="9"/>
      <c r="S648" s="12"/>
      <c r="T648" s="9"/>
      <c r="U648" s="9"/>
      <c r="V648" s="9"/>
      <c r="W648" s="10" t="str">
        <f aca="false">IF(C648="","",IF(OR(G648="training",G648="full"),"Yes",IF(G648="none","No","?")))</f>
        <v/>
      </c>
      <c r="X648" s="10" t="str">
        <f aca="false">IF(C648="","",IF(OR(E648="",E648="unknown"),D648,E648))</f>
        <v/>
      </c>
      <c r="Y648" s="10" t="str">
        <f aca="false">IF(C648="","",IF(OR(T648="unsuitable",T648="retired",X648="no"),"—",IF(J648="","unrated",IF(AND(X648="full",J648&gt;=Settings!$C$5,OR(O648="untested",O648&gt;=Settings!$C$6)),"A",IF(AND(OR(X648="full",X648="reduced"),J648&gt;=Settings!$C$7,OR(O648="untested",O648&gt;=Settings!$C$8)),"B","C")))))</f>
        <v/>
      </c>
      <c r="Z648" s="11" t="str">
        <f aca="false">IF(C648="","",IF(P648&lt;&gt;"",P648,Y648))</f>
        <v/>
      </c>
    </row>
    <row r="649" customFormat="false" ht="15" hidden="false" customHeight="false" outlineLevel="0" collapsed="false">
      <c r="A649" s="9"/>
      <c r="B649" s="10" t="str">
        <f aca="false">IF(A649="","",IFERROR(INDEX(Parks!$A$2:$A$255,MATCH(A649,Parks!$B$2:$B$255,0)),"?"))</f>
        <v/>
      </c>
      <c r="C649" s="9"/>
      <c r="D649" s="10" t="str">
        <f aca="false">IF(C649="","",IF(SUMPRODUCT(--ISNUMBER(SEARCH({"Nets","Wicket","Diamond","Softball","T-ball","Baseball","Netball","Tennis","Bocce","Pentaque","Petanque","Skate","Car Park","Pond","Bridle","Amphitheatre","Perimeter","Passive"},C649)))&gt;0,"no",IF(SUMPRODUCT(--ISNUMBER(SEARCH({"Cricket","Junior","Mini","Summer Football","Small"},C649)))&gt;0,"reduced",IF(SUMPRODUCT(--ISNUMBER(SEARCH({"Rugby","Football","League","Touch","Gaelic","Australian","Lacrosse","General Sport","Training Area","Ultimate"},C649)))&gt;0,"full","unknown"))))</f>
        <v/>
      </c>
      <c r="E649" s="9"/>
      <c r="F649" s="9"/>
      <c r="G649" s="9"/>
      <c r="H649" s="9"/>
      <c r="I649" s="12"/>
      <c r="J649" s="9"/>
      <c r="K649" s="9"/>
      <c r="L649" s="9"/>
      <c r="M649" s="9"/>
      <c r="N649" s="9"/>
      <c r="O649" s="13" t="str">
        <f aca="false">IF(C649="","",IF(N(M649)+N(N649)&lt;Settings!$C$9,"untested",M649/(M649+N649)))</f>
        <v/>
      </c>
      <c r="P649" s="9"/>
      <c r="Q649" s="9"/>
      <c r="R649" s="9"/>
      <c r="S649" s="12"/>
      <c r="T649" s="9"/>
      <c r="U649" s="9"/>
      <c r="V649" s="9"/>
      <c r="W649" s="10" t="str">
        <f aca="false">IF(C649="","",IF(OR(G649="training",G649="full"),"Yes",IF(G649="none","No","?")))</f>
        <v/>
      </c>
      <c r="X649" s="10" t="str">
        <f aca="false">IF(C649="","",IF(OR(E649="",E649="unknown"),D649,E649))</f>
        <v/>
      </c>
      <c r="Y649" s="10" t="str">
        <f aca="false">IF(C649="","",IF(OR(T649="unsuitable",T649="retired",X649="no"),"—",IF(J649="","unrated",IF(AND(X649="full",J649&gt;=Settings!$C$5,OR(O649="untested",O649&gt;=Settings!$C$6)),"A",IF(AND(OR(X649="full",X649="reduced"),J649&gt;=Settings!$C$7,OR(O649="untested",O649&gt;=Settings!$C$8)),"B","C")))))</f>
        <v/>
      </c>
      <c r="Z649" s="11" t="str">
        <f aca="false">IF(C649="","",IF(P649&lt;&gt;"",P649,Y649))</f>
        <v/>
      </c>
    </row>
    <row r="650" customFormat="false" ht="15" hidden="false" customHeight="false" outlineLevel="0" collapsed="false">
      <c r="A650" s="9"/>
      <c r="B650" s="10" t="str">
        <f aca="false">IF(A650="","",IFERROR(INDEX(Parks!$A$2:$A$255,MATCH(A650,Parks!$B$2:$B$255,0)),"?"))</f>
        <v/>
      </c>
      <c r="C650" s="9"/>
      <c r="D650" s="10" t="str">
        <f aca="false">IF(C650="","",IF(SUMPRODUCT(--ISNUMBER(SEARCH({"Nets","Wicket","Diamond","Softball","T-ball","Baseball","Netball","Tennis","Bocce","Pentaque","Petanque","Skate","Car Park","Pond","Bridle","Amphitheatre","Perimeter","Passive"},C650)))&gt;0,"no",IF(SUMPRODUCT(--ISNUMBER(SEARCH({"Cricket","Junior","Mini","Summer Football","Small"},C650)))&gt;0,"reduced",IF(SUMPRODUCT(--ISNUMBER(SEARCH({"Rugby","Football","League","Touch","Gaelic","Australian","Lacrosse","General Sport","Training Area","Ultimate"},C650)))&gt;0,"full","unknown"))))</f>
        <v/>
      </c>
      <c r="E650" s="9"/>
      <c r="F650" s="9"/>
      <c r="G650" s="9"/>
      <c r="H650" s="9"/>
      <c r="I650" s="12"/>
      <c r="J650" s="9"/>
      <c r="K650" s="9"/>
      <c r="L650" s="9"/>
      <c r="M650" s="9"/>
      <c r="N650" s="9"/>
      <c r="O650" s="13" t="str">
        <f aca="false">IF(C650="","",IF(N(M650)+N(N650)&lt;Settings!$C$9,"untested",M650/(M650+N650)))</f>
        <v/>
      </c>
      <c r="P650" s="9"/>
      <c r="Q650" s="9"/>
      <c r="R650" s="9"/>
      <c r="S650" s="12"/>
      <c r="T650" s="9"/>
      <c r="U650" s="9"/>
      <c r="V650" s="9"/>
      <c r="W650" s="10" t="str">
        <f aca="false">IF(C650="","",IF(OR(G650="training",G650="full"),"Yes",IF(G650="none","No","?")))</f>
        <v/>
      </c>
      <c r="X650" s="10" t="str">
        <f aca="false">IF(C650="","",IF(OR(E650="",E650="unknown"),D650,E650))</f>
        <v/>
      </c>
      <c r="Y650" s="10" t="str">
        <f aca="false">IF(C650="","",IF(OR(T650="unsuitable",T650="retired",X650="no"),"—",IF(J650="","unrated",IF(AND(X650="full",J650&gt;=Settings!$C$5,OR(O650="untested",O650&gt;=Settings!$C$6)),"A",IF(AND(OR(X650="full",X650="reduced"),J650&gt;=Settings!$C$7,OR(O650="untested",O650&gt;=Settings!$C$8)),"B","C")))))</f>
        <v/>
      </c>
      <c r="Z650" s="11" t="str">
        <f aca="false">IF(C650="","",IF(P650&lt;&gt;"",P650,Y650))</f>
        <v/>
      </c>
    </row>
    <row r="651" customFormat="false" ht="15" hidden="false" customHeight="false" outlineLevel="0" collapsed="false">
      <c r="A651" s="9"/>
      <c r="B651" s="10" t="str">
        <f aca="false">IF(A651="","",IFERROR(INDEX(Parks!$A$2:$A$255,MATCH(A651,Parks!$B$2:$B$255,0)),"?"))</f>
        <v/>
      </c>
      <c r="C651" s="9"/>
      <c r="D651" s="10" t="str">
        <f aca="false">IF(C651="","",IF(SUMPRODUCT(--ISNUMBER(SEARCH({"Nets","Wicket","Diamond","Softball","T-ball","Baseball","Netball","Tennis","Bocce","Pentaque","Petanque","Skate","Car Park","Pond","Bridle","Amphitheatre","Perimeter","Passive"},C651)))&gt;0,"no",IF(SUMPRODUCT(--ISNUMBER(SEARCH({"Cricket","Junior","Mini","Summer Football","Small"},C651)))&gt;0,"reduced",IF(SUMPRODUCT(--ISNUMBER(SEARCH({"Rugby","Football","League","Touch","Gaelic","Australian","Lacrosse","General Sport","Training Area","Ultimate"},C651)))&gt;0,"full","unknown"))))</f>
        <v/>
      </c>
      <c r="E651" s="9"/>
      <c r="F651" s="9"/>
      <c r="G651" s="9"/>
      <c r="H651" s="9"/>
      <c r="I651" s="12"/>
      <c r="J651" s="9"/>
      <c r="K651" s="9"/>
      <c r="L651" s="9"/>
      <c r="M651" s="9"/>
      <c r="N651" s="9"/>
      <c r="O651" s="13" t="str">
        <f aca="false">IF(C651="","",IF(N(M651)+N(N651)&lt;Settings!$C$9,"untested",M651/(M651+N651)))</f>
        <v/>
      </c>
      <c r="P651" s="9"/>
      <c r="Q651" s="9"/>
      <c r="R651" s="9"/>
      <c r="S651" s="12"/>
      <c r="T651" s="9"/>
      <c r="U651" s="9"/>
      <c r="V651" s="9"/>
      <c r="W651" s="10" t="str">
        <f aca="false">IF(C651="","",IF(OR(G651="training",G651="full"),"Yes",IF(G651="none","No","?")))</f>
        <v/>
      </c>
      <c r="X651" s="10" t="str">
        <f aca="false">IF(C651="","",IF(OR(E651="",E651="unknown"),D651,E651))</f>
        <v/>
      </c>
      <c r="Y651" s="10" t="str">
        <f aca="false">IF(C651="","",IF(OR(T651="unsuitable",T651="retired",X651="no"),"—",IF(J651="","unrated",IF(AND(X651="full",J651&gt;=Settings!$C$5,OR(O651="untested",O651&gt;=Settings!$C$6)),"A",IF(AND(OR(X651="full",X651="reduced"),J651&gt;=Settings!$C$7,OR(O651="untested",O651&gt;=Settings!$C$8)),"B","C")))))</f>
        <v/>
      </c>
      <c r="Z651" s="11" t="str">
        <f aca="false">IF(C651="","",IF(P651&lt;&gt;"",P651,Y651))</f>
        <v/>
      </c>
    </row>
    <row r="652" customFormat="false" ht="15" hidden="false" customHeight="false" outlineLevel="0" collapsed="false">
      <c r="A652" s="9"/>
      <c r="B652" s="10" t="str">
        <f aca="false">IF(A652="","",IFERROR(INDEX(Parks!$A$2:$A$255,MATCH(A652,Parks!$B$2:$B$255,0)),"?"))</f>
        <v/>
      </c>
      <c r="C652" s="9"/>
      <c r="D652" s="10" t="str">
        <f aca="false">IF(C652="","",IF(SUMPRODUCT(--ISNUMBER(SEARCH({"Nets","Wicket","Diamond","Softball","T-ball","Baseball","Netball","Tennis","Bocce","Pentaque","Petanque","Skate","Car Park","Pond","Bridle","Amphitheatre","Perimeter","Passive"},C652)))&gt;0,"no",IF(SUMPRODUCT(--ISNUMBER(SEARCH({"Cricket","Junior","Mini","Summer Football","Small"},C652)))&gt;0,"reduced",IF(SUMPRODUCT(--ISNUMBER(SEARCH({"Rugby","Football","League","Touch","Gaelic","Australian","Lacrosse","General Sport","Training Area","Ultimate"},C652)))&gt;0,"full","unknown"))))</f>
        <v/>
      </c>
      <c r="E652" s="9"/>
      <c r="F652" s="9"/>
      <c r="G652" s="9"/>
      <c r="H652" s="9"/>
      <c r="I652" s="12"/>
      <c r="J652" s="9"/>
      <c r="K652" s="9"/>
      <c r="L652" s="9"/>
      <c r="M652" s="9"/>
      <c r="N652" s="9"/>
      <c r="O652" s="13" t="str">
        <f aca="false">IF(C652="","",IF(N(M652)+N(N652)&lt;Settings!$C$9,"untested",M652/(M652+N652)))</f>
        <v/>
      </c>
      <c r="P652" s="9"/>
      <c r="Q652" s="9"/>
      <c r="R652" s="9"/>
      <c r="S652" s="12"/>
      <c r="T652" s="9"/>
      <c r="U652" s="9"/>
      <c r="V652" s="9"/>
      <c r="W652" s="10" t="str">
        <f aca="false">IF(C652="","",IF(OR(G652="training",G652="full"),"Yes",IF(G652="none","No","?")))</f>
        <v/>
      </c>
      <c r="X652" s="10" t="str">
        <f aca="false">IF(C652="","",IF(OR(E652="",E652="unknown"),D652,E652))</f>
        <v/>
      </c>
      <c r="Y652" s="10" t="str">
        <f aca="false">IF(C652="","",IF(OR(T652="unsuitable",T652="retired",X652="no"),"—",IF(J652="","unrated",IF(AND(X652="full",J652&gt;=Settings!$C$5,OR(O652="untested",O652&gt;=Settings!$C$6)),"A",IF(AND(OR(X652="full",X652="reduced"),J652&gt;=Settings!$C$7,OR(O652="untested",O652&gt;=Settings!$C$8)),"B","C")))))</f>
        <v/>
      </c>
      <c r="Z652" s="11" t="str">
        <f aca="false">IF(C652="","",IF(P652&lt;&gt;"",P652,Y652))</f>
        <v/>
      </c>
    </row>
    <row r="653" customFormat="false" ht="15" hidden="false" customHeight="false" outlineLevel="0" collapsed="false">
      <c r="A653" s="9"/>
      <c r="B653" s="10" t="str">
        <f aca="false">IF(A653="","",IFERROR(INDEX(Parks!$A$2:$A$255,MATCH(A653,Parks!$B$2:$B$255,0)),"?"))</f>
        <v/>
      </c>
      <c r="C653" s="9"/>
      <c r="D653" s="10" t="str">
        <f aca="false">IF(C653="","",IF(SUMPRODUCT(--ISNUMBER(SEARCH({"Nets","Wicket","Diamond","Softball","T-ball","Baseball","Netball","Tennis","Bocce","Pentaque","Petanque","Skate","Car Park","Pond","Bridle","Amphitheatre","Perimeter","Passive"},C653)))&gt;0,"no",IF(SUMPRODUCT(--ISNUMBER(SEARCH({"Cricket","Junior","Mini","Summer Football","Small"},C653)))&gt;0,"reduced",IF(SUMPRODUCT(--ISNUMBER(SEARCH({"Rugby","Football","League","Touch","Gaelic","Australian","Lacrosse","General Sport","Training Area","Ultimate"},C653)))&gt;0,"full","unknown"))))</f>
        <v/>
      </c>
      <c r="E653" s="9"/>
      <c r="F653" s="9"/>
      <c r="G653" s="9"/>
      <c r="H653" s="9"/>
      <c r="I653" s="12"/>
      <c r="J653" s="9"/>
      <c r="K653" s="9"/>
      <c r="L653" s="9"/>
      <c r="M653" s="9"/>
      <c r="N653" s="9"/>
      <c r="O653" s="13" t="str">
        <f aca="false">IF(C653="","",IF(N(M653)+N(N653)&lt;Settings!$C$9,"untested",M653/(M653+N653)))</f>
        <v/>
      </c>
      <c r="P653" s="9"/>
      <c r="Q653" s="9"/>
      <c r="R653" s="9"/>
      <c r="S653" s="12"/>
      <c r="T653" s="9"/>
      <c r="U653" s="9"/>
      <c r="V653" s="9"/>
      <c r="W653" s="10" t="str">
        <f aca="false">IF(C653="","",IF(OR(G653="training",G653="full"),"Yes",IF(G653="none","No","?")))</f>
        <v/>
      </c>
      <c r="X653" s="10" t="str">
        <f aca="false">IF(C653="","",IF(OR(E653="",E653="unknown"),D653,E653))</f>
        <v/>
      </c>
      <c r="Y653" s="10" t="str">
        <f aca="false">IF(C653="","",IF(OR(T653="unsuitable",T653="retired",X653="no"),"—",IF(J653="","unrated",IF(AND(X653="full",J653&gt;=Settings!$C$5,OR(O653="untested",O653&gt;=Settings!$C$6)),"A",IF(AND(OR(X653="full",X653="reduced"),J653&gt;=Settings!$C$7,OR(O653="untested",O653&gt;=Settings!$C$8)),"B","C")))))</f>
        <v/>
      </c>
      <c r="Z653" s="11" t="str">
        <f aca="false">IF(C653="","",IF(P653&lt;&gt;"",P653,Y653))</f>
        <v/>
      </c>
    </row>
    <row r="654" customFormat="false" ht="15" hidden="false" customHeight="false" outlineLevel="0" collapsed="false">
      <c r="A654" s="9"/>
      <c r="B654" s="10" t="str">
        <f aca="false">IF(A654="","",IFERROR(INDEX(Parks!$A$2:$A$255,MATCH(A654,Parks!$B$2:$B$255,0)),"?"))</f>
        <v/>
      </c>
      <c r="C654" s="9"/>
      <c r="D654" s="10" t="str">
        <f aca="false">IF(C654="","",IF(SUMPRODUCT(--ISNUMBER(SEARCH({"Nets","Wicket","Diamond","Softball","T-ball","Baseball","Netball","Tennis","Bocce","Pentaque","Petanque","Skate","Car Park","Pond","Bridle","Amphitheatre","Perimeter","Passive"},C654)))&gt;0,"no",IF(SUMPRODUCT(--ISNUMBER(SEARCH({"Cricket","Junior","Mini","Summer Football","Small"},C654)))&gt;0,"reduced",IF(SUMPRODUCT(--ISNUMBER(SEARCH({"Rugby","Football","League","Touch","Gaelic","Australian","Lacrosse","General Sport","Training Area","Ultimate"},C654)))&gt;0,"full","unknown"))))</f>
        <v/>
      </c>
      <c r="E654" s="9"/>
      <c r="F654" s="9"/>
      <c r="G654" s="9"/>
      <c r="H654" s="9"/>
      <c r="I654" s="12"/>
      <c r="J654" s="9"/>
      <c r="K654" s="9"/>
      <c r="L654" s="9"/>
      <c r="M654" s="9"/>
      <c r="N654" s="9"/>
      <c r="O654" s="13" t="str">
        <f aca="false">IF(C654="","",IF(N(M654)+N(N654)&lt;Settings!$C$9,"untested",M654/(M654+N654)))</f>
        <v/>
      </c>
      <c r="P654" s="9"/>
      <c r="Q654" s="9"/>
      <c r="R654" s="9"/>
      <c r="S654" s="12"/>
      <c r="T654" s="9"/>
      <c r="U654" s="9"/>
      <c r="V654" s="9"/>
      <c r="W654" s="10" t="str">
        <f aca="false">IF(C654="","",IF(OR(G654="training",G654="full"),"Yes",IF(G654="none","No","?")))</f>
        <v/>
      </c>
      <c r="X654" s="10" t="str">
        <f aca="false">IF(C654="","",IF(OR(E654="",E654="unknown"),D654,E654))</f>
        <v/>
      </c>
      <c r="Y654" s="10" t="str">
        <f aca="false">IF(C654="","",IF(OR(T654="unsuitable",T654="retired",X654="no"),"—",IF(J654="","unrated",IF(AND(X654="full",J654&gt;=Settings!$C$5,OR(O654="untested",O654&gt;=Settings!$C$6)),"A",IF(AND(OR(X654="full",X654="reduced"),J654&gt;=Settings!$C$7,OR(O654="untested",O654&gt;=Settings!$C$8)),"B","C")))))</f>
        <v/>
      </c>
      <c r="Z654" s="11" t="str">
        <f aca="false">IF(C654="","",IF(P654&lt;&gt;"",P654,Y654))</f>
        <v/>
      </c>
    </row>
    <row r="655" customFormat="false" ht="15" hidden="false" customHeight="false" outlineLevel="0" collapsed="false">
      <c r="A655" s="9"/>
      <c r="B655" s="10" t="str">
        <f aca="false">IF(A655="","",IFERROR(INDEX(Parks!$A$2:$A$255,MATCH(A655,Parks!$B$2:$B$255,0)),"?"))</f>
        <v/>
      </c>
      <c r="C655" s="9"/>
      <c r="D655" s="10" t="str">
        <f aca="false">IF(C655="","",IF(SUMPRODUCT(--ISNUMBER(SEARCH({"Nets","Wicket","Diamond","Softball","T-ball","Baseball","Netball","Tennis","Bocce","Pentaque","Petanque","Skate","Car Park","Pond","Bridle","Amphitheatre","Perimeter","Passive"},C655)))&gt;0,"no",IF(SUMPRODUCT(--ISNUMBER(SEARCH({"Cricket","Junior","Mini","Summer Football","Small"},C655)))&gt;0,"reduced",IF(SUMPRODUCT(--ISNUMBER(SEARCH({"Rugby","Football","League","Touch","Gaelic","Australian","Lacrosse","General Sport","Training Area","Ultimate"},C655)))&gt;0,"full","unknown"))))</f>
        <v/>
      </c>
      <c r="E655" s="9"/>
      <c r="F655" s="9"/>
      <c r="G655" s="9"/>
      <c r="H655" s="9"/>
      <c r="I655" s="12"/>
      <c r="J655" s="9"/>
      <c r="K655" s="9"/>
      <c r="L655" s="9"/>
      <c r="M655" s="9"/>
      <c r="N655" s="9"/>
      <c r="O655" s="13" t="str">
        <f aca="false">IF(C655="","",IF(N(M655)+N(N655)&lt;Settings!$C$9,"untested",M655/(M655+N655)))</f>
        <v/>
      </c>
      <c r="P655" s="9"/>
      <c r="Q655" s="9"/>
      <c r="R655" s="9"/>
      <c r="S655" s="12"/>
      <c r="T655" s="9"/>
      <c r="U655" s="9"/>
      <c r="V655" s="9"/>
      <c r="W655" s="10" t="str">
        <f aca="false">IF(C655="","",IF(OR(G655="training",G655="full"),"Yes",IF(G655="none","No","?")))</f>
        <v/>
      </c>
      <c r="X655" s="10" t="str">
        <f aca="false">IF(C655="","",IF(OR(E655="",E655="unknown"),D655,E655))</f>
        <v/>
      </c>
      <c r="Y655" s="10" t="str">
        <f aca="false">IF(C655="","",IF(OR(T655="unsuitable",T655="retired",X655="no"),"—",IF(J655="","unrated",IF(AND(X655="full",J655&gt;=Settings!$C$5,OR(O655="untested",O655&gt;=Settings!$C$6)),"A",IF(AND(OR(X655="full",X655="reduced"),J655&gt;=Settings!$C$7,OR(O655="untested",O655&gt;=Settings!$C$8)),"B","C")))))</f>
        <v/>
      </c>
      <c r="Z655" s="11" t="str">
        <f aca="false">IF(C655="","",IF(P655&lt;&gt;"",P655,Y655))</f>
        <v/>
      </c>
    </row>
    <row r="656" customFormat="false" ht="15" hidden="false" customHeight="false" outlineLevel="0" collapsed="false">
      <c r="A656" s="9"/>
      <c r="B656" s="10" t="str">
        <f aca="false">IF(A656="","",IFERROR(INDEX(Parks!$A$2:$A$255,MATCH(A656,Parks!$B$2:$B$255,0)),"?"))</f>
        <v/>
      </c>
      <c r="C656" s="9"/>
      <c r="D656" s="10" t="str">
        <f aca="false">IF(C656="","",IF(SUMPRODUCT(--ISNUMBER(SEARCH({"Nets","Wicket","Diamond","Softball","T-ball","Baseball","Netball","Tennis","Bocce","Pentaque","Petanque","Skate","Car Park","Pond","Bridle","Amphitheatre","Perimeter","Passive"},C656)))&gt;0,"no",IF(SUMPRODUCT(--ISNUMBER(SEARCH({"Cricket","Junior","Mini","Summer Football","Small"},C656)))&gt;0,"reduced",IF(SUMPRODUCT(--ISNUMBER(SEARCH({"Rugby","Football","League","Touch","Gaelic","Australian","Lacrosse","General Sport","Training Area","Ultimate"},C656)))&gt;0,"full","unknown"))))</f>
        <v/>
      </c>
      <c r="E656" s="9"/>
      <c r="F656" s="9"/>
      <c r="G656" s="9"/>
      <c r="H656" s="9"/>
      <c r="I656" s="12"/>
      <c r="J656" s="9"/>
      <c r="K656" s="9"/>
      <c r="L656" s="9"/>
      <c r="M656" s="9"/>
      <c r="N656" s="9"/>
      <c r="O656" s="13" t="str">
        <f aca="false">IF(C656="","",IF(N(M656)+N(N656)&lt;Settings!$C$9,"untested",M656/(M656+N656)))</f>
        <v/>
      </c>
      <c r="P656" s="9"/>
      <c r="Q656" s="9"/>
      <c r="R656" s="9"/>
      <c r="S656" s="12"/>
      <c r="T656" s="9"/>
      <c r="U656" s="9"/>
      <c r="V656" s="9"/>
      <c r="W656" s="10" t="str">
        <f aca="false">IF(C656="","",IF(OR(G656="training",G656="full"),"Yes",IF(G656="none","No","?")))</f>
        <v/>
      </c>
      <c r="X656" s="10" t="str">
        <f aca="false">IF(C656="","",IF(OR(E656="",E656="unknown"),D656,E656))</f>
        <v/>
      </c>
      <c r="Y656" s="10" t="str">
        <f aca="false">IF(C656="","",IF(OR(T656="unsuitable",T656="retired",X656="no"),"—",IF(J656="","unrated",IF(AND(X656="full",J656&gt;=Settings!$C$5,OR(O656="untested",O656&gt;=Settings!$C$6)),"A",IF(AND(OR(X656="full",X656="reduced"),J656&gt;=Settings!$C$7,OR(O656="untested",O656&gt;=Settings!$C$8)),"B","C")))))</f>
        <v/>
      </c>
      <c r="Z656" s="11" t="str">
        <f aca="false">IF(C656="","",IF(P656&lt;&gt;"",P656,Y656))</f>
        <v/>
      </c>
    </row>
    <row r="657" customFormat="false" ht="15" hidden="false" customHeight="false" outlineLevel="0" collapsed="false">
      <c r="A657" s="9"/>
      <c r="B657" s="10" t="str">
        <f aca="false">IF(A657="","",IFERROR(INDEX(Parks!$A$2:$A$255,MATCH(A657,Parks!$B$2:$B$255,0)),"?"))</f>
        <v/>
      </c>
      <c r="C657" s="9"/>
      <c r="D657" s="10" t="str">
        <f aca="false">IF(C657="","",IF(SUMPRODUCT(--ISNUMBER(SEARCH({"Nets","Wicket","Diamond","Softball","T-ball","Baseball","Netball","Tennis","Bocce","Pentaque","Petanque","Skate","Car Park","Pond","Bridle","Amphitheatre","Perimeter","Passive"},C657)))&gt;0,"no",IF(SUMPRODUCT(--ISNUMBER(SEARCH({"Cricket","Junior","Mini","Summer Football","Small"},C657)))&gt;0,"reduced",IF(SUMPRODUCT(--ISNUMBER(SEARCH({"Rugby","Football","League","Touch","Gaelic","Australian","Lacrosse","General Sport","Training Area","Ultimate"},C657)))&gt;0,"full","unknown"))))</f>
        <v/>
      </c>
      <c r="E657" s="9"/>
      <c r="F657" s="9"/>
      <c r="G657" s="9"/>
      <c r="H657" s="9"/>
      <c r="I657" s="12"/>
      <c r="J657" s="9"/>
      <c r="K657" s="9"/>
      <c r="L657" s="9"/>
      <c r="M657" s="9"/>
      <c r="N657" s="9"/>
      <c r="O657" s="13" t="str">
        <f aca="false">IF(C657="","",IF(N(M657)+N(N657)&lt;Settings!$C$9,"untested",M657/(M657+N657)))</f>
        <v/>
      </c>
      <c r="P657" s="9"/>
      <c r="Q657" s="9"/>
      <c r="R657" s="9"/>
      <c r="S657" s="12"/>
      <c r="T657" s="9"/>
      <c r="U657" s="9"/>
      <c r="V657" s="9"/>
      <c r="W657" s="10" t="str">
        <f aca="false">IF(C657="","",IF(OR(G657="training",G657="full"),"Yes",IF(G657="none","No","?")))</f>
        <v/>
      </c>
      <c r="X657" s="10" t="str">
        <f aca="false">IF(C657="","",IF(OR(E657="",E657="unknown"),D657,E657))</f>
        <v/>
      </c>
      <c r="Y657" s="10" t="str">
        <f aca="false">IF(C657="","",IF(OR(T657="unsuitable",T657="retired",X657="no"),"—",IF(J657="","unrated",IF(AND(X657="full",J657&gt;=Settings!$C$5,OR(O657="untested",O657&gt;=Settings!$C$6)),"A",IF(AND(OR(X657="full",X657="reduced"),J657&gt;=Settings!$C$7,OR(O657="untested",O657&gt;=Settings!$C$8)),"B","C")))))</f>
        <v/>
      </c>
      <c r="Z657" s="11" t="str">
        <f aca="false">IF(C657="","",IF(P657&lt;&gt;"",P657,Y657))</f>
        <v/>
      </c>
    </row>
    <row r="658" customFormat="false" ht="15" hidden="false" customHeight="false" outlineLevel="0" collapsed="false">
      <c r="A658" s="9"/>
      <c r="B658" s="10" t="str">
        <f aca="false">IF(A658="","",IFERROR(INDEX(Parks!$A$2:$A$255,MATCH(A658,Parks!$B$2:$B$255,0)),"?"))</f>
        <v/>
      </c>
      <c r="C658" s="9"/>
      <c r="D658" s="10" t="str">
        <f aca="false">IF(C658="","",IF(SUMPRODUCT(--ISNUMBER(SEARCH({"Nets","Wicket","Diamond","Softball","T-ball","Baseball","Netball","Tennis","Bocce","Pentaque","Petanque","Skate","Car Park","Pond","Bridle","Amphitheatre","Perimeter","Passive"},C658)))&gt;0,"no",IF(SUMPRODUCT(--ISNUMBER(SEARCH({"Cricket","Junior","Mini","Summer Football","Small"},C658)))&gt;0,"reduced",IF(SUMPRODUCT(--ISNUMBER(SEARCH({"Rugby","Football","League","Touch","Gaelic","Australian","Lacrosse","General Sport","Training Area","Ultimate"},C658)))&gt;0,"full","unknown"))))</f>
        <v/>
      </c>
      <c r="E658" s="9"/>
      <c r="F658" s="9"/>
      <c r="G658" s="9"/>
      <c r="H658" s="9"/>
      <c r="I658" s="12"/>
      <c r="J658" s="9"/>
      <c r="K658" s="9"/>
      <c r="L658" s="9"/>
      <c r="M658" s="9"/>
      <c r="N658" s="9"/>
      <c r="O658" s="13" t="str">
        <f aca="false">IF(C658="","",IF(N(M658)+N(N658)&lt;Settings!$C$9,"untested",M658/(M658+N658)))</f>
        <v/>
      </c>
      <c r="P658" s="9"/>
      <c r="Q658" s="9"/>
      <c r="R658" s="9"/>
      <c r="S658" s="12"/>
      <c r="T658" s="9"/>
      <c r="U658" s="9"/>
      <c r="V658" s="9"/>
      <c r="W658" s="10" t="str">
        <f aca="false">IF(C658="","",IF(OR(G658="training",G658="full"),"Yes",IF(G658="none","No","?")))</f>
        <v/>
      </c>
      <c r="X658" s="10" t="str">
        <f aca="false">IF(C658="","",IF(OR(E658="",E658="unknown"),D658,E658))</f>
        <v/>
      </c>
      <c r="Y658" s="10" t="str">
        <f aca="false">IF(C658="","",IF(OR(T658="unsuitable",T658="retired",X658="no"),"—",IF(J658="","unrated",IF(AND(X658="full",J658&gt;=Settings!$C$5,OR(O658="untested",O658&gt;=Settings!$C$6)),"A",IF(AND(OR(X658="full",X658="reduced"),J658&gt;=Settings!$C$7,OR(O658="untested",O658&gt;=Settings!$C$8)),"B","C")))))</f>
        <v/>
      </c>
      <c r="Z658" s="11" t="str">
        <f aca="false">IF(C658="","",IF(P658&lt;&gt;"",P658,Y658))</f>
        <v/>
      </c>
    </row>
    <row r="659" customFormat="false" ht="15" hidden="false" customHeight="false" outlineLevel="0" collapsed="false">
      <c r="A659" s="9"/>
      <c r="B659" s="10" t="str">
        <f aca="false">IF(A659="","",IFERROR(INDEX(Parks!$A$2:$A$255,MATCH(A659,Parks!$B$2:$B$255,0)),"?"))</f>
        <v/>
      </c>
      <c r="C659" s="9"/>
      <c r="D659" s="10" t="str">
        <f aca="false">IF(C659="","",IF(SUMPRODUCT(--ISNUMBER(SEARCH({"Nets","Wicket","Diamond","Softball","T-ball","Baseball","Netball","Tennis","Bocce","Pentaque","Petanque","Skate","Car Park","Pond","Bridle","Amphitheatre","Perimeter","Passive"},C659)))&gt;0,"no",IF(SUMPRODUCT(--ISNUMBER(SEARCH({"Cricket","Junior","Mini","Summer Football","Small"},C659)))&gt;0,"reduced",IF(SUMPRODUCT(--ISNUMBER(SEARCH({"Rugby","Football","League","Touch","Gaelic","Australian","Lacrosse","General Sport","Training Area","Ultimate"},C659)))&gt;0,"full","unknown"))))</f>
        <v/>
      </c>
      <c r="E659" s="9"/>
      <c r="F659" s="9"/>
      <c r="G659" s="9"/>
      <c r="H659" s="9"/>
      <c r="I659" s="12"/>
      <c r="J659" s="9"/>
      <c r="K659" s="9"/>
      <c r="L659" s="9"/>
      <c r="M659" s="9"/>
      <c r="N659" s="9"/>
      <c r="O659" s="13" t="str">
        <f aca="false">IF(C659="","",IF(N(M659)+N(N659)&lt;Settings!$C$9,"untested",M659/(M659+N659)))</f>
        <v/>
      </c>
      <c r="P659" s="9"/>
      <c r="Q659" s="9"/>
      <c r="R659" s="9"/>
      <c r="S659" s="12"/>
      <c r="T659" s="9"/>
      <c r="U659" s="9"/>
      <c r="V659" s="9"/>
      <c r="W659" s="10" t="str">
        <f aca="false">IF(C659="","",IF(OR(G659="training",G659="full"),"Yes",IF(G659="none","No","?")))</f>
        <v/>
      </c>
      <c r="X659" s="10" t="str">
        <f aca="false">IF(C659="","",IF(OR(E659="",E659="unknown"),D659,E659))</f>
        <v/>
      </c>
      <c r="Y659" s="10" t="str">
        <f aca="false">IF(C659="","",IF(OR(T659="unsuitable",T659="retired",X659="no"),"—",IF(J659="","unrated",IF(AND(X659="full",J659&gt;=Settings!$C$5,OR(O659="untested",O659&gt;=Settings!$C$6)),"A",IF(AND(OR(X659="full",X659="reduced"),J659&gt;=Settings!$C$7,OR(O659="untested",O659&gt;=Settings!$C$8)),"B","C")))))</f>
        <v/>
      </c>
      <c r="Z659" s="11" t="str">
        <f aca="false">IF(C659="","",IF(P659&lt;&gt;"",P659,Y659))</f>
        <v/>
      </c>
    </row>
    <row r="660" customFormat="false" ht="15" hidden="false" customHeight="false" outlineLevel="0" collapsed="false">
      <c r="A660" s="9"/>
      <c r="B660" s="10" t="str">
        <f aca="false">IF(A660="","",IFERROR(INDEX(Parks!$A$2:$A$255,MATCH(A660,Parks!$B$2:$B$255,0)),"?"))</f>
        <v/>
      </c>
      <c r="C660" s="9"/>
      <c r="D660" s="10" t="str">
        <f aca="false">IF(C660="","",IF(SUMPRODUCT(--ISNUMBER(SEARCH({"Nets","Wicket","Diamond","Softball","T-ball","Baseball","Netball","Tennis","Bocce","Pentaque","Petanque","Skate","Car Park","Pond","Bridle","Amphitheatre","Perimeter","Passive"},C660)))&gt;0,"no",IF(SUMPRODUCT(--ISNUMBER(SEARCH({"Cricket","Junior","Mini","Summer Football","Small"},C660)))&gt;0,"reduced",IF(SUMPRODUCT(--ISNUMBER(SEARCH({"Rugby","Football","League","Touch","Gaelic","Australian","Lacrosse","General Sport","Training Area","Ultimate"},C660)))&gt;0,"full","unknown"))))</f>
        <v/>
      </c>
      <c r="E660" s="9"/>
      <c r="F660" s="9"/>
      <c r="G660" s="9"/>
      <c r="H660" s="9"/>
      <c r="I660" s="12"/>
      <c r="J660" s="9"/>
      <c r="K660" s="9"/>
      <c r="L660" s="9"/>
      <c r="M660" s="9"/>
      <c r="N660" s="9"/>
      <c r="O660" s="13" t="str">
        <f aca="false">IF(C660="","",IF(N(M660)+N(N660)&lt;Settings!$C$9,"untested",M660/(M660+N660)))</f>
        <v/>
      </c>
      <c r="P660" s="9"/>
      <c r="Q660" s="9"/>
      <c r="R660" s="9"/>
      <c r="S660" s="12"/>
      <c r="T660" s="9"/>
      <c r="U660" s="9"/>
      <c r="V660" s="9"/>
      <c r="W660" s="10" t="str">
        <f aca="false">IF(C660="","",IF(OR(G660="training",G660="full"),"Yes",IF(G660="none","No","?")))</f>
        <v/>
      </c>
      <c r="X660" s="10" t="str">
        <f aca="false">IF(C660="","",IF(OR(E660="",E660="unknown"),D660,E660))</f>
        <v/>
      </c>
      <c r="Y660" s="10" t="str">
        <f aca="false">IF(C660="","",IF(OR(T660="unsuitable",T660="retired",X660="no"),"—",IF(J660="","unrated",IF(AND(X660="full",J660&gt;=Settings!$C$5,OR(O660="untested",O660&gt;=Settings!$C$6)),"A",IF(AND(OR(X660="full",X660="reduced"),J660&gt;=Settings!$C$7,OR(O660="untested",O660&gt;=Settings!$C$8)),"B","C")))))</f>
        <v/>
      </c>
      <c r="Z660" s="11" t="str">
        <f aca="false">IF(C660="","",IF(P660&lt;&gt;"",P660,Y660))</f>
        <v/>
      </c>
    </row>
    <row r="661" customFormat="false" ht="15" hidden="false" customHeight="false" outlineLevel="0" collapsed="false">
      <c r="A661" s="9"/>
      <c r="B661" s="10" t="str">
        <f aca="false">IF(A661="","",IFERROR(INDEX(Parks!$A$2:$A$255,MATCH(A661,Parks!$B$2:$B$255,0)),"?"))</f>
        <v/>
      </c>
      <c r="C661" s="9"/>
      <c r="D661" s="10" t="str">
        <f aca="false">IF(C661="","",IF(SUMPRODUCT(--ISNUMBER(SEARCH({"Nets","Wicket","Diamond","Softball","T-ball","Baseball","Netball","Tennis","Bocce","Pentaque","Petanque","Skate","Car Park","Pond","Bridle","Amphitheatre","Perimeter","Passive"},C661)))&gt;0,"no",IF(SUMPRODUCT(--ISNUMBER(SEARCH({"Cricket","Junior","Mini","Summer Football","Small"},C661)))&gt;0,"reduced",IF(SUMPRODUCT(--ISNUMBER(SEARCH({"Rugby","Football","League","Touch","Gaelic","Australian","Lacrosse","General Sport","Training Area","Ultimate"},C661)))&gt;0,"full","unknown"))))</f>
        <v/>
      </c>
      <c r="E661" s="9"/>
      <c r="F661" s="9"/>
      <c r="G661" s="9"/>
      <c r="H661" s="9"/>
      <c r="I661" s="12"/>
      <c r="J661" s="9"/>
      <c r="K661" s="9"/>
      <c r="L661" s="9"/>
      <c r="M661" s="9"/>
      <c r="N661" s="9"/>
      <c r="O661" s="13" t="str">
        <f aca="false">IF(C661="","",IF(N(M661)+N(N661)&lt;Settings!$C$9,"untested",M661/(M661+N661)))</f>
        <v/>
      </c>
      <c r="P661" s="9"/>
      <c r="Q661" s="9"/>
      <c r="R661" s="9"/>
      <c r="S661" s="12"/>
      <c r="T661" s="9"/>
      <c r="U661" s="9"/>
      <c r="V661" s="9"/>
      <c r="W661" s="10" t="str">
        <f aca="false">IF(C661="","",IF(OR(G661="training",G661="full"),"Yes",IF(G661="none","No","?")))</f>
        <v/>
      </c>
      <c r="X661" s="10" t="str">
        <f aca="false">IF(C661="","",IF(OR(E661="",E661="unknown"),D661,E661))</f>
        <v/>
      </c>
      <c r="Y661" s="10" t="str">
        <f aca="false">IF(C661="","",IF(OR(T661="unsuitable",T661="retired",X661="no"),"—",IF(J661="","unrated",IF(AND(X661="full",J661&gt;=Settings!$C$5,OR(O661="untested",O661&gt;=Settings!$C$6)),"A",IF(AND(OR(X661="full",X661="reduced"),J661&gt;=Settings!$C$7,OR(O661="untested",O661&gt;=Settings!$C$8)),"B","C")))))</f>
        <v/>
      </c>
      <c r="Z661" s="11" t="str">
        <f aca="false">IF(C661="","",IF(P661&lt;&gt;"",P661,Y661))</f>
        <v/>
      </c>
    </row>
    <row r="662" customFormat="false" ht="15" hidden="false" customHeight="false" outlineLevel="0" collapsed="false">
      <c r="A662" s="9"/>
      <c r="B662" s="10" t="str">
        <f aca="false">IF(A662="","",IFERROR(INDEX(Parks!$A$2:$A$255,MATCH(A662,Parks!$B$2:$B$255,0)),"?"))</f>
        <v/>
      </c>
      <c r="C662" s="9"/>
      <c r="D662" s="10" t="str">
        <f aca="false">IF(C662="","",IF(SUMPRODUCT(--ISNUMBER(SEARCH({"Nets","Wicket","Diamond","Softball","T-ball","Baseball","Netball","Tennis","Bocce","Pentaque","Petanque","Skate","Car Park","Pond","Bridle","Amphitheatre","Perimeter","Passive"},C662)))&gt;0,"no",IF(SUMPRODUCT(--ISNUMBER(SEARCH({"Cricket","Junior","Mini","Summer Football","Small"},C662)))&gt;0,"reduced",IF(SUMPRODUCT(--ISNUMBER(SEARCH({"Rugby","Football","League","Touch","Gaelic","Australian","Lacrosse","General Sport","Training Area","Ultimate"},C662)))&gt;0,"full","unknown"))))</f>
        <v/>
      </c>
      <c r="E662" s="9"/>
      <c r="F662" s="9"/>
      <c r="G662" s="9"/>
      <c r="H662" s="9"/>
      <c r="I662" s="12"/>
      <c r="J662" s="9"/>
      <c r="K662" s="9"/>
      <c r="L662" s="9"/>
      <c r="M662" s="9"/>
      <c r="N662" s="9"/>
      <c r="O662" s="13" t="str">
        <f aca="false">IF(C662="","",IF(N(M662)+N(N662)&lt;Settings!$C$9,"untested",M662/(M662+N662)))</f>
        <v/>
      </c>
      <c r="P662" s="9"/>
      <c r="Q662" s="9"/>
      <c r="R662" s="9"/>
      <c r="S662" s="12"/>
      <c r="T662" s="9"/>
      <c r="U662" s="9"/>
      <c r="V662" s="9"/>
      <c r="W662" s="10" t="str">
        <f aca="false">IF(C662="","",IF(OR(G662="training",G662="full"),"Yes",IF(G662="none","No","?")))</f>
        <v/>
      </c>
      <c r="X662" s="10" t="str">
        <f aca="false">IF(C662="","",IF(OR(E662="",E662="unknown"),D662,E662))</f>
        <v/>
      </c>
      <c r="Y662" s="10" t="str">
        <f aca="false">IF(C662="","",IF(OR(T662="unsuitable",T662="retired",X662="no"),"—",IF(J662="","unrated",IF(AND(X662="full",J662&gt;=Settings!$C$5,OR(O662="untested",O662&gt;=Settings!$C$6)),"A",IF(AND(OR(X662="full",X662="reduced"),J662&gt;=Settings!$C$7,OR(O662="untested",O662&gt;=Settings!$C$8)),"B","C")))))</f>
        <v/>
      </c>
      <c r="Z662" s="11" t="str">
        <f aca="false">IF(C662="","",IF(P662&lt;&gt;"",P662,Y662))</f>
        <v/>
      </c>
    </row>
    <row r="663" customFormat="false" ht="15" hidden="false" customHeight="false" outlineLevel="0" collapsed="false">
      <c r="A663" s="9"/>
      <c r="B663" s="10" t="str">
        <f aca="false">IF(A663="","",IFERROR(INDEX(Parks!$A$2:$A$255,MATCH(A663,Parks!$B$2:$B$255,0)),"?"))</f>
        <v/>
      </c>
      <c r="C663" s="9"/>
      <c r="D663" s="10" t="str">
        <f aca="false">IF(C663="","",IF(SUMPRODUCT(--ISNUMBER(SEARCH({"Nets","Wicket","Diamond","Softball","T-ball","Baseball","Netball","Tennis","Bocce","Pentaque","Petanque","Skate","Car Park","Pond","Bridle","Amphitheatre","Perimeter","Passive"},C663)))&gt;0,"no",IF(SUMPRODUCT(--ISNUMBER(SEARCH({"Cricket","Junior","Mini","Summer Football","Small"},C663)))&gt;0,"reduced",IF(SUMPRODUCT(--ISNUMBER(SEARCH({"Rugby","Football","League","Touch","Gaelic","Australian","Lacrosse","General Sport","Training Area","Ultimate"},C663)))&gt;0,"full","unknown"))))</f>
        <v/>
      </c>
      <c r="E663" s="9"/>
      <c r="F663" s="9"/>
      <c r="G663" s="9"/>
      <c r="H663" s="9"/>
      <c r="I663" s="12"/>
      <c r="J663" s="9"/>
      <c r="K663" s="9"/>
      <c r="L663" s="9"/>
      <c r="M663" s="9"/>
      <c r="N663" s="9"/>
      <c r="O663" s="13" t="str">
        <f aca="false">IF(C663="","",IF(N(M663)+N(N663)&lt;Settings!$C$9,"untested",M663/(M663+N663)))</f>
        <v/>
      </c>
      <c r="P663" s="9"/>
      <c r="Q663" s="9"/>
      <c r="R663" s="9"/>
      <c r="S663" s="12"/>
      <c r="T663" s="9"/>
      <c r="U663" s="9"/>
      <c r="V663" s="9"/>
      <c r="W663" s="10" t="str">
        <f aca="false">IF(C663="","",IF(OR(G663="training",G663="full"),"Yes",IF(G663="none","No","?")))</f>
        <v/>
      </c>
      <c r="X663" s="10" t="str">
        <f aca="false">IF(C663="","",IF(OR(E663="",E663="unknown"),D663,E663))</f>
        <v/>
      </c>
      <c r="Y663" s="10" t="str">
        <f aca="false">IF(C663="","",IF(OR(T663="unsuitable",T663="retired",X663="no"),"—",IF(J663="","unrated",IF(AND(X663="full",J663&gt;=Settings!$C$5,OR(O663="untested",O663&gt;=Settings!$C$6)),"A",IF(AND(OR(X663="full",X663="reduced"),J663&gt;=Settings!$C$7,OR(O663="untested",O663&gt;=Settings!$C$8)),"B","C")))))</f>
        <v/>
      </c>
      <c r="Z663" s="11" t="str">
        <f aca="false">IF(C663="","",IF(P663&lt;&gt;"",P663,Y663))</f>
        <v/>
      </c>
    </row>
    <row r="664" customFormat="false" ht="15" hidden="false" customHeight="false" outlineLevel="0" collapsed="false">
      <c r="A664" s="9"/>
      <c r="B664" s="10" t="str">
        <f aca="false">IF(A664="","",IFERROR(INDEX(Parks!$A$2:$A$255,MATCH(A664,Parks!$B$2:$B$255,0)),"?"))</f>
        <v/>
      </c>
      <c r="C664" s="9"/>
      <c r="D664" s="10" t="str">
        <f aca="false">IF(C664="","",IF(SUMPRODUCT(--ISNUMBER(SEARCH({"Nets","Wicket","Diamond","Softball","T-ball","Baseball","Netball","Tennis","Bocce","Pentaque","Petanque","Skate","Car Park","Pond","Bridle","Amphitheatre","Perimeter","Passive"},C664)))&gt;0,"no",IF(SUMPRODUCT(--ISNUMBER(SEARCH({"Cricket","Junior","Mini","Summer Football","Small"},C664)))&gt;0,"reduced",IF(SUMPRODUCT(--ISNUMBER(SEARCH({"Rugby","Football","League","Touch","Gaelic","Australian","Lacrosse","General Sport","Training Area","Ultimate"},C664)))&gt;0,"full","unknown"))))</f>
        <v/>
      </c>
      <c r="E664" s="9"/>
      <c r="F664" s="9"/>
      <c r="G664" s="9"/>
      <c r="H664" s="9"/>
      <c r="I664" s="12"/>
      <c r="J664" s="9"/>
      <c r="K664" s="9"/>
      <c r="L664" s="9"/>
      <c r="M664" s="9"/>
      <c r="N664" s="9"/>
      <c r="O664" s="13" t="str">
        <f aca="false">IF(C664="","",IF(N(M664)+N(N664)&lt;Settings!$C$9,"untested",M664/(M664+N664)))</f>
        <v/>
      </c>
      <c r="P664" s="9"/>
      <c r="Q664" s="9"/>
      <c r="R664" s="9"/>
      <c r="S664" s="12"/>
      <c r="T664" s="9"/>
      <c r="U664" s="9"/>
      <c r="V664" s="9"/>
      <c r="W664" s="10" t="str">
        <f aca="false">IF(C664="","",IF(OR(G664="training",G664="full"),"Yes",IF(G664="none","No","?")))</f>
        <v/>
      </c>
      <c r="X664" s="10" t="str">
        <f aca="false">IF(C664="","",IF(OR(E664="",E664="unknown"),D664,E664))</f>
        <v/>
      </c>
      <c r="Y664" s="10" t="str">
        <f aca="false">IF(C664="","",IF(OR(T664="unsuitable",T664="retired",X664="no"),"—",IF(J664="","unrated",IF(AND(X664="full",J664&gt;=Settings!$C$5,OR(O664="untested",O664&gt;=Settings!$C$6)),"A",IF(AND(OR(X664="full",X664="reduced"),J664&gt;=Settings!$C$7,OR(O664="untested",O664&gt;=Settings!$C$8)),"B","C")))))</f>
        <v/>
      </c>
      <c r="Z664" s="11" t="str">
        <f aca="false">IF(C664="","",IF(P664&lt;&gt;"",P664,Y664))</f>
        <v/>
      </c>
    </row>
    <row r="665" customFormat="false" ht="15" hidden="false" customHeight="false" outlineLevel="0" collapsed="false">
      <c r="A665" s="9"/>
      <c r="B665" s="10" t="str">
        <f aca="false">IF(A665="","",IFERROR(INDEX(Parks!$A$2:$A$255,MATCH(A665,Parks!$B$2:$B$255,0)),"?"))</f>
        <v/>
      </c>
      <c r="C665" s="9"/>
      <c r="D665" s="10" t="str">
        <f aca="false">IF(C665="","",IF(SUMPRODUCT(--ISNUMBER(SEARCH({"Nets","Wicket","Diamond","Softball","T-ball","Baseball","Netball","Tennis","Bocce","Pentaque","Petanque","Skate","Car Park","Pond","Bridle","Amphitheatre","Perimeter","Passive"},C665)))&gt;0,"no",IF(SUMPRODUCT(--ISNUMBER(SEARCH({"Cricket","Junior","Mini","Summer Football","Small"},C665)))&gt;0,"reduced",IF(SUMPRODUCT(--ISNUMBER(SEARCH({"Rugby","Football","League","Touch","Gaelic","Australian","Lacrosse","General Sport","Training Area","Ultimate"},C665)))&gt;0,"full","unknown"))))</f>
        <v/>
      </c>
      <c r="E665" s="9"/>
      <c r="F665" s="9"/>
      <c r="G665" s="9"/>
      <c r="H665" s="9"/>
      <c r="I665" s="12"/>
      <c r="J665" s="9"/>
      <c r="K665" s="9"/>
      <c r="L665" s="9"/>
      <c r="M665" s="9"/>
      <c r="N665" s="9"/>
      <c r="O665" s="13" t="str">
        <f aca="false">IF(C665="","",IF(N(M665)+N(N665)&lt;Settings!$C$9,"untested",M665/(M665+N665)))</f>
        <v/>
      </c>
      <c r="P665" s="9"/>
      <c r="Q665" s="9"/>
      <c r="R665" s="9"/>
      <c r="S665" s="12"/>
      <c r="T665" s="9"/>
      <c r="U665" s="9"/>
      <c r="V665" s="9"/>
      <c r="W665" s="10" t="str">
        <f aca="false">IF(C665="","",IF(OR(G665="training",G665="full"),"Yes",IF(G665="none","No","?")))</f>
        <v/>
      </c>
      <c r="X665" s="10" t="str">
        <f aca="false">IF(C665="","",IF(OR(E665="",E665="unknown"),D665,E665))</f>
        <v/>
      </c>
      <c r="Y665" s="10" t="str">
        <f aca="false">IF(C665="","",IF(OR(T665="unsuitable",T665="retired",X665="no"),"—",IF(J665="","unrated",IF(AND(X665="full",J665&gt;=Settings!$C$5,OR(O665="untested",O665&gt;=Settings!$C$6)),"A",IF(AND(OR(X665="full",X665="reduced"),J665&gt;=Settings!$C$7,OR(O665="untested",O665&gt;=Settings!$C$8)),"B","C")))))</f>
        <v/>
      </c>
      <c r="Z665" s="11" t="str">
        <f aca="false">IF(C665="","",IF(P665&lt;&gt;"",P665,Y665))</f>
        <v/>
      </c>
    </row>
    <row r="666" customFormat="false" ht="15" hidden="false" customHeight="false" outlineLevel="0" collapsed="false">
      <c r="A666" s="9"/>
      <c r="B666" s="10" t="str">
        <f aca="false">IF(A666="","",IFERROR(INDEX(Parks!$A$2:$A$255,MATCH(A666,Parks!$B$2:$B$255,0)),"?"))</f>
        <v/>
      </c>
      <c r="C666" s="9"/>
      <c r="D666" s="10" t="str">
        <f aca="false">IF(C666="","",IF(SUMPRODUCT(--ISNUMBER(SEARCH({"Nets","Wicket","Diamond","Softball","T-ball","Baseball","Netball","Tennis","Bocce","Pentaque","Petanque","Skate","Car Park","Pond","Bridle","Amphitheatre","Perimeter","Passive"},C666)))&gt;0,"no",IF(SUMPRODUCT(--ISNUMBER(SEARCH({"Cricket","Junior","Mini","Summer Football","Small"},C666)))&gt;0,"reduced",IF(SUMPRODUCT(--ISNUMBER(SEARCH({"Rugby","Football","League","Touch","Gaelic","Australian","Lacrosse","General Sport","Training Area","Ultimate"},C666)))&gt;0,"full","unknown"))))</f>
        <v/>
      </c>
      <c r="E666" s="9"/>
      <c r="F666" s="9"/>
      <c r="G666" s="9"/>
      <c r="H666" s="9"/>
      <c r="I666" s="12"/>
      <c r="J666" s="9"/>
      <c r="K666" s="9"/>
      <c r="L666" s="9"/>
      <c r="M666" s="9"/>
      <c r="N666" s="9"/>
      <c r="O666" s="13" t="str">
        <f aca="false">IF(C666="","",IF(N(M666)+N(N666)&lt;Settings!$C$9,"untested",M666/(M666+N666)))</f>
        <v/>
      </c>
      <c r="P666" s="9"/>
      <c r="Q666" s="9"/>
      <c r="R666" s="9"/>
      <c r="S666" s="12"/>
      <c r="T666" s="9"/>
      <c r="U666" s="9"/>
      <c r="V666" s="9"/>
      <c r="W666" s="10" t="str">
        <f aca="false">IF(C666="","",IF(OR(G666="training",G666="full"),"Yes",IF(G666="none","No","?")))</f>
        <v/>
      </c>
      <c r="X666" s="10" t="str">
        <f aca="false">IF(C666="","",IF(OR(E666="",E666="unknown"),D666,E666))</f>
        <v/>
      </c>
      <c r="Y666" s="10" t="str">
        <f aca="false">IF(C666="","",IF(OR(T666="unsuitable",T666="retired",X666="no"),"—",IF(J666="","unrated",IF(AND(X666="full",J666&gt;=Settings!$C$5,OR(O666="untested",O666&gt;=Settings!$C$6)),"A",IF(AND(OR(X666="full",X666="reduced"),J666&gt;=Settings!$C$7,OR(O666="untested",O666&gt;=Settings!$C$8)),"B","C")))))</f>
        <v/>
      </c>
      <c r="Z666" s="11" t="str">
        <f aca="false">IF(C666="","",IF(P666&lt;&gt;"",P666,Y666))</f>
        <v/>
      </c>
    </row>
    <row r="667" customFormat="false" ht="15" hidden="false" customHeight="false" outlineLevel="0" collapsed="false">
      <c r="A667" s="9"/>
      <c r="B667" s="10" t="str">
        <f aca="false">IF(A667="","",IFERROR(INDEX(Parks!$A$2:$A$255,MATCH(A667,Parks!$B$2:$B$255,0)),"?"))</f>
        <v/>
      </c>
      <c r="C667" s="9"/>
      <c r="D667" s="10" t="str">
        <f aca="false">IF(C667="","",IF(SUMPRODUCT(--ISNUMBER(SEARCH({"Nets","Wicket","Diamond","Softball","T-ball","Baseball","Netball","Tennis","Bocce","Pentaque","Petanque","Skate","Car Park","Pond","Bridle","Amphitheatre","Perimeter","Passive"},C667)))&gt;0,"no",IF(SUMPRODUCT(--ISNUMBER(SEARCH({"Cricket","Junior","Mini","Summer Football","Small"},C667)))&gt;0,"reduced",IF(SUMPRODUCT(--ISNUMBER(SEARCH({"Rugby","Football","League","Touch","Gaelic","Australian","Lacrosse","General Sport","Training Area","Ultimate"},C667)))&gt;0,"full","unknown"))))</f>
        <v/>
      </c>
      <c r="E667" s="9"/>
      <c r="F667" s="9"/>
      <c r="G667" s="9"/>
      <c r="H667" s="9"/>
      <c r="I667" s="12"/>
      <c r="J667" s="9"/>
      <c r="K667" s="9"/>
      <c r="L667" s="9"/>
      <c r="M667" s="9"/>
      <c r="N667" s="9"/>
      <c r="O667" s="13" t="str">
        <f aca="false">IF(C667="","",IF(N(M667)+N(N667)&lt;Settings!$C$9,"untested",M667/(M667+N667)))</f>
        <v/>
      </c>
      <c r="P667" s="9"/>
      <c r="Q667" s="9"/>
      <c r="R667" s="9"/>
      <c r="S667" s="12"/>
      <c r="T667" s="9"/>
      <c r="U667" s="9"/>
      <c r="V667" s="9"/>
      <c r="W667" s="10" t="str">
        <f aca="false">IF(C667="","",IF(OR(G667="training",G667="full"),"Yes",IF(G667="none","No","?")))</f>
        <v/>
      </c>
      <c r="X667" s="10" t="str">
        <f aca="false">IF(C667="","",IF(OR(E667="",E667="unknown"),D667,E667))</f>
        <v/>
      </c>
      <c r="Y667" s="10" t="str">
        <f aca="false">IF(C667="","",IF(OR(T667="unsuitable",T667="retired",X667="no"),"—",IF(J667="","unrated",IF(AND(X667="full",J667&gt;=Settings!$C$5,OR(O667="untested",O667&gt;=Settings!$C$6)),"A",IF(AND(OR(X667="full",X667="reduced"),J667&gt;=Settings!$C$7,OR(O667="untested",O667&gt;=Settings!$C$8)),"B","C")))))</f>
        <v/>
      </c>
      <c r="Z667" s="11" t="str">
        <f aca="false">IF(C667="","",IF(P667&lt;&gt;"",P667,Y667))</f>
        <v/>
      </c>
    </row>
    <row r="668" customFormat="false" ht="15" hidden="false" customHeight="false" outlineLevel="0" collapsed="false">
      <c r="A668" s="9"/>
      <c r="B668" s="10" t="str">
        <f aca="false">IF(A668="","",IFERROR(INDEX(Parks!$A$2:$A$255,MATCH(A668,Parks!$B$2:$B$255,0)),"?"))</f>
        <v/>
      </c>
      <c r="C668" s="9"/>
      <c r="D668" s="10" t="str">
        <f aca="false">IF(C668="","",IF(SUMPRODUCT(--ISNUMBER(SEARCH({"Nets","Wicket","Diamond","Softball","T-ball","Baseball","Netball","Tennis","Bocce","Pentaque","Petanque","Skate","Car Park","Pond","Bridle","Amphitheatre","Perimeter","Passive"},C668)))&gt;0,"no",IF(SUMPRODUCT(--ISNUMBER(SEARCH({"Cricket","Junior","Mini","Summer Football","Small"},C668)))&gt;0,"reduced",IF(SUMPRODUCT(--ISNUMBER(SEARCH({"Rugby","Football","League","Touch","Gaelic","Australian","Lacrosse","General Sport","Training Area","Ultimate"},C668)))&gt;0,"full","unknown"))))</f>
        <v/>
      </c>
      <c r="E668" s="9"/>
      <c r="F668" s="9"/>
      <c r="G668" s="9"/>
      <c r="H668" s="9"/>
      <c r="I668" s="12"/>
      <c r="J668" s="9"/>
      <c r="K668" s="9"/>
      <c r="L668" s="9"/>
      <c r="M668" s="9"/>
      <c r="N668" s="9"/>
      <c r="O668" s="13" t="str">
        <f aca="false">IF(C668="","",IF(N(M668)+N(N668)&lt;Settings!$C$9,"untested",M668/(M668+N668)))</f>
        <v/>
      </c>
      <c r="P668" s="9"/>
      <c r="Q668" s="9"/>
      <c r="R668" s="9"/>
      <c r="S668" s="12"/>
      <c r="T668" s="9"/>
      <c r="U668" s="9"/>
      <c r="V668" s="9"/>
      <c r="W668" s="10" t="str">
        <f aca="false">IF(C668="","",IF(OR(G668="training",G668="full"),"Yes",IF(G668="none","No","?")))</f>
        <v/>
      </c>
      <c r="X668" s="10" t="str">
        <f aca="false">IF(C668="","",IF(OR(E668="",E668="unknown"),D668,E668))</f>
        <v/>
      </c>
      <c r="Y668" s="10" t="str">
        <f aca="false">IF(C668="","",IF(OR(T668="unsuitable",T668="retired",X668="no"),"—",IF(J668="","unrated",IF(AND(X668="full",J668&gt;=Settings!$C$5,OR(O668="untested",O668&gt;=Settings!$C$6)),"A",IF(AND(OR(X668="full",X668="reduced"),J668&gt;=Settings!$C$7,OR(O668="untested",O668&gt;=Settings!$C$8)),"B","C")))))</f>
        <v/>
      </c>
      <c r="Z668" s="11" t="str">
        <f aca="false">IF(C668="","",IF(P668&lt;&gt;"",P668,Y668))</f>
        <v/>
      </c>
    </row>
    <row r="669" customFormat="false" ht="15" hidden="false" customHeight="false" outlineLevel="0" collapsed="false">
      <c r="A669" s="9"/>
      <c r="B669" s="10" t="str">
        <f aca="false">IF(A669="","",IFERROR(INDEX(Parks!$A$2:$A$255,MATCH(A669,Parks!$B$2:$B$255,0)),"?"))</f>
        <v/>
      </c>
      <c r="C669" s="9"/>
      <c r="D669" s="10" t="str">
        <f aca="false">IF(C669="","",IF(SUMPRODUCT(--ISNUMBER(SEARCH({"Nets","Wicket","Diamond","Softball","T-ball","Baseball","Netball","Tennis","Bocce","Pentaque","Petanque","Skate","Car Park","Pond","Bridle","Amphitheatre","Perimeter","Passive"},C669)))&gt;0,"no",IF(SUMPRODUCT(--ISNUMBER(SEARCH({"Cricket","Junior","Mini","Summer Football","Small"},C669)))&gt;0,"reduced",IF(SUMPRODUCT(--ISNUMBER(SEARCH({"Rugby","Football","League","Touch","Gaelic","Australian","Lacrosse","General Sport","Training Area","Ultimate"},C669)))&gt;0,"full","unknown"))))</f>
        <v/>
      </c>
      <c r="E669" s="9"/>
      <c r="F669" s="9"/>
      <c r="G669" s="9"/>
      <c r="H669" s="9"/>
      <c r="I669" s="12"/>
      <c r="J669" s="9"/>
      <c r="K669" s="9"/>
      <c r="L669" s="9"/>
      <c r="M669" s="9"/>
      <c r="N669" s="9"/>
      <c r="O669" s="13" t="str">
        <f aca="false">IF(C669="","",IF(N(M669)+N(N669)&lt;Settings!$C$9,"untested",M669/(M669+N669)))</f>
        <v/>
      </c>
      <c r="P669" s="9"/>
      <c r="Q669" s="9"/>
      <c r="R669" s="9"/>
      <c r="S669" s="12"/>
      <c r="T669" s="9"/>
      <c r="U669" s="9"/>
      <c r="V669" s="9"/>
      <c r="W669" s="10" t="str">
        <f aca="false">IF(C669="","",IF(OR(G669="training",G669="full"),"Yes",IF(G669="none","No","?")))</f>
        <v/>
      </c>
      <c r="X669" s="10" t="str">
        <f aca="false">IF(C669="","",IF(OR(E669="",E669="unknown"),D669,E669))</f>
        <v/>
      </c>
      <c r="Y669" s="10" t="str">
        <f aca="false">IF(C669="","",IF(OR(T669="unsuitable",T669="retired",X669="no"),"—",IF(J669="","unrated",IF(AND(X669="full",J669&gt;=Settings!$C$5,OR(O669="untested",O669&gt;=Settings!$C$6)),"A",IF(AND(OR(X669="full",X669="reduced"),J669&gt;=Settings!$C$7,OR(O669="untested",O669&gt;=Settings!$C$8)),"B","C")))))</f>
        <v/>
      </c>
      <c r="Z669" s="11" t="str">
        <f aca="false">IF(C669="","",IF(P669&lt;&gt;"",P669,Y669))</f>
        <v/>
      </c>
    </row>
    <row r="670" customFormat="false" ht="15" hidden="false" customHeight="false" outlineLevel="0" collapsed="false">
      <c r="A670" s="9"/>
      <c r="B670" s="10" t="str">
        <f aca="false">IF(A670="","",IFERROR(INDEX(Parks!$A$2:$A$255,MATCH(A670,Parks!$B$2:$B$255,0)),"?"))</f>
        <v/>
      </c>
      <c r="C670" s="9"/>
      <c r="D670" s="10" t="str">
        <f aca="false">IF(C670="","",IF(SUMPRODUCT(--ISNUMBER(SEARCH({"Nets","Wicket","Diamond","Softball","T-ball","Baseball","Netball","Tennis","Bocce","Pentaque","Petanque","Skate","Car Park","Pond","Bridle","Amphitheatre","Perimeter","Passive"},C670)))&gt;0,"no",IF(SUMPRODUCT(--ISNUMBER(SEARCH({"Cricket","Junior","Mini","Summer Football","Small"},C670)))&gt;0,"reduced",IF(SUMPRODUCT(--ISNUMBER(SEARCH({"Rugby","Football","League","Touch","Gaelic","Australian","Lacrosse","General Sport","Training Area","Ultimate"},C670)))&gt;0,"full","unknown"))))</f>
        <v/>
      </c>
      <c r="E670" s="9"/>
      <c r="F670" s="9"/>
      <c r="G670" s="9"/>
      <c r="H670" s="9"/>
      <c r="I670" s="12"/>
      <c r="J670" s="9"/>
      <c r="K670" s="9"/>
      <c r="L670" s="9"/>
      <c r="M670" s="9"/>
      <c r="N670" s="9"/>
      <c r="O670" s="13" t="str">
        <f aca="false">IF(C670="","",IF(N(M670)+N(N670)&lt;Settings!$C$9,"untested",M670/(M670+N670)))</f>
        <v/>
      </c>
      <c r="P670" s="9"/>
      <c r="Q670" s="9"/>
      <c r="R670" s="9"/>
      <c r="S670" s="12"/>
      <c r="T670" s="9"/>
      <c r="U670" s="9"/>
      <c r="V670" s="9"/>
      <c r="W670" s="10" t="str">
        <f aca="false">IF(C670="","",IF(OR(G670="training",G670="full"),"Yes",IF(G670="none","No","?")))</f>
        <v/>
      </c>
      <c r="X670" s="10" t="str">
        <f aca="false">IF(C670="","",IF(OR(E670="",E670="unknown"),D670,E670))</f>
        <v/>
      </c>
      <c r="Y670" s="10" t="str">
        <f aca="false">IF(C670="","",IF(OR(T670="unsuitable",T670="retired",X670="no"),"—",IF(J670="","unrated",IF(AND(X670="full",J670&gt;=Settings!$C$5,OR(O670="untested",O670&gt;=Settings!$C$6)),"A",IF(AND(OR(X670="full",X670="reduced"),J670&gt;=Settings!$C$7,OR(O670="untested",O670&gt;=Settings!$C$8)),"B","C")))))</f>
        <v/>
      </c>
      <c r="Z670" s="11" t="str">
        <f aca="false">IF(C670="","",IF(P670&lt;&gt;"",P670,Y670))</f>
        <v/>
      </c>
    </row>
    <row r="671" customFormat="false" ht="15" hidden="false" customHeight="false" outlineLevel="0" collapsed="false">
      <c r="A671" s="9"/>
      <c r="B671" s="10" t="str">
        <f aca="false">IF(A671="","",IFERROR(INDEX(Parks!$A$2:$A$255,MATCH(A671,Parks!$B$2:$B$255,0)),"?"))</f>
        <v/>
      </c>
      <c r="C671" s="9"/>
      <c r="D671" s="10" t="str">
        <f aca="false">IF(C671="","",IF(SUMPRODUCT(--ISNUMBER(SEARCH({"Nets","Wicket","Diamond","Softball","T-ball","Baseball","Netball","Tennis","Bocce","Pentaque","Petanque","Skate","Car Park","Pond","Bridle","Amphitheatre","Perimeter","Passive"},C671)))&gt;0,"no",IF(SUMPRODUCT(--ISNUMBER(SEARCH({"Cricket","Junior","Mini","Summer Football","Small"},C671)))&gt;0,"reduced",IF(SUMPRODUCT(--ISNUMBER(SEARCH({"Rugby","Football","League","Touch","Gaelic","Australian","Lacrosse","General Sport","Training Area","Ultimate"},C671)))&gt;0,"full","unknown"))))</f>
        <v/>
      </c>
      <c r="E671" s="9"/>
      <c r="F671" s="9"/>
      <c r="G671" s="9"/>
      <c r="H671" s="9"/>
      <c r="I671" s="12"/>
      <c r="J671" s="9"/>
      <c r="K671" s="9"/>
      <c r="L671" s="9"/>
      <c r="M671" s="9"/>
      <c r="N671" s="9"/>
      <c r="O671" s="13" t="str">
        <f aca="false">IF(C671="","",IF(N(M671)+N(N671)&lt;Settings!$C$9,"untested",M671/(M671+N671)))</f>
        <v/>
      </c>
      <c r="P671" s="9"/>
      <c r="Q671" s="9"/>
      <c r="R671" s="9"/>
      <c r="S671" s="12"/>
      <c r="T671" s="9"/>
      <c r="U671" s="9"/>
      <c r="V671" s="9"/>
      <c r="W671" s="10" t="str">
        <f aca="false">IF(C671="","",IF(OR(G671="training",G671="full"),"Yes",IF(G671="none","No","?")))</f>
        <v/>
      </c>
      <c r="X671" s="10" t="str">
        <f aca="false">IF(C671="","",IF(OR(E671="",E671="unknown"),D671,E671))</f>
        <v/>
      </c>
      <c r="Y671" s="10" t="str">
        <f aca="false">IF(C671="","",IF(OR(T671="unsuitable",T671="retired",X671="no"),"—",IF(J671="","unrated",IF(AND(X671="full",J671&gt;=Settings!$C$5,OR(O671="untested",O671&gt;=Settings!$C$6)),"A",IF(AND(OR(X671="full",X671="reduced"),J671&gt;=Settings!$C$7,OR(O671="untested",O671&gt;=Settings!$C$8)),"B","C")))))</f>
        <v/>
      </c>
      <c r="Z671" s="11" t="str">
        <f aca="false">IF(C671="","",IF(P671&lt;&gt;"",P671,Y671))</f>
        <v/>
      </c>
    </row>
    <row r="672" customFormat="false" ht="15" hidden="false" customHeight="false" outlineLevel="0" collapsed="false">
      <c r="A672" s="9"/>
      <c r="B672" s="10" t="str">
        <f aca="false">IF(A672="","",IFERROR(INDEX(Parks!$A$2:$A$255,MATCH(A672,Parks!$B$2:$B$255,0)),"?"))</f>
        <v/>
      </c>
      <c r="C672" s="9"/>
      <c r="D672" s="10" t="str">
        <f aca="false">IF(C672="","",IF(SUMPRODUCT(--ISNUMBER(SEARCH({"Nets","Wicket","Diamond","Softball","T-ball","Baseball","Netball","Tennis","Bocce","Pentaque","Petanque","Skate","Car Park","Pond","Bridle","Amphitheatre","Perimeter","Passive"},C672)))&gt;0,"no",IF(SUMPRODUCT(--ISNUMBER(SEARCH({"Cricket","Junior","Mini","Summer Football","Small"},C672)))&gt;0,"reduced",IF(SUMPRODUCT(--ISNUMBER(SEARCH({"Rugby","Football","League","Touch","Gaelic","Australian","Lacrosse","General Sport","Training Area","Ultimate"},C672)))&gt;0,"full","unknown"))))</f>
        <v/>
      </c>
      <c r="E672" s="9"/>
      <c r="F672" s="9"/>
      <c r="G672" s="9"/>
      <c r="H672" s="9"/>
      <c r="I672" s="12"/>
      <c r="J672" s="9"/>
      <c r="K672" s="9"/>
      <c r="L672" s="9"/>
      <c r="M672" s="9"/>
      <c r="N672" s="9"/>
      <c r="O672" s="13" t="str">
        <f aca="false">IF(C672="","",IF(N(M672)+N(N672)&lt;Settings!$C$9,"untested",M672/(M672+N672)))</f>
        <v/>
      </c>
      <c r="P672" s="9"/>
      <c r="Q672" s="9"/>
      <c r="R672" s="9"/>
      <c r="S672" s="12"/>
      <c r="T672" s="9"/>
      <c r="U672" s="9"/>
      <c r="V672" s="9"/>
      <c r="W672" s="10" t="str">
        <f aca="false">IF(C672="","",IF(OR(G672="training",G672="full"),"Yes",IF(G672="none","No","?")))</f>
        <v/>
      </c>
      <c r="X672" s="10" t="str">
        <f aca="false">IF(C672="","",IF(OR(E672="",E672="unknown"),D672,E672))</f>
        <v/>
      </c>
      <c r="Y672" s="10" t="str">
        <f aca="false">IF(C672="","",IF(OR(T672="unsuitable",T672="retired",X672="no"),"—",IF(J672="","unrated",IF(AND(X672="full",J672&gt;=Settings!$C$5,OR(O672="untested",O672&gt;=Settings!$C$6)),"A",IF(AND(OR(X672="full",X672="reduced"),J672&gt;=Settings!$C$7,OR(O672="untested",O672&gt;=Settings!$C$8)),"B","C")))))</f>
        <v/>
      </c>
      <c r="Z672" s="11" t="str">
        <f aca="false">IF(C672="","",IF(P672&lt;&gt;"",P672,Y672))</f>
        <v/>
      </c>
    </row>
    <row r="673" customFormat="false" ht="15" hidden="false" customHeight="false" outlineLevel="0" collapsed="false">
      <c r="A673" s="9"/>
      <c r="B673" s="10" t="str">
        <f aca="false">IF(A673="","",IFERROR(INDEX(Parks!$A$2:$A$255,MATCH(A673,Parks!$B$2:$B$255,0)),"?"))</f>
        <v/>
      </c>
      <c r="C673" s="9"/>
      <c r="D673" s="10" t="str">
        <f aca="false">IF(C673="","",IF(SUMPRODUCT(--ISNUMBER(SEARCH({"Nets","Wicket","Diamond","Softball","T-ball","Baseball","Netball","Tennis","Bocce","Pentaque","Petanque","Skate","Car Park","Pond","Bridle","Amphitheatre","Perimeter","Passive"},C673)))&gt;0,"no",IF(SUMPRODUCT(--ISNUMBER(SEARCH({"Cricket","Junior","Mini","Summer Football","Small"},C673)))&gt;0,"reduced",IF(SUMPRODUCT(--ISNUMBER(SEARCH({"Rugby","Football","League","Touch","Gaelic","Australian","Lacrosse","General Sport","Training Area","Ultimate"},C673)))&gt;0,"full","unknown"))))</f>
        <v/>
      </c>
      <c r="E673" s="9"/>
      <c r="F673" s="9"/>
      <c r="G673" s="9"/>
      <c r="H673" s="9"/>
      <c r="I673" s="12"/>
      <c r="J673" s="9"/>
      <c r="K673" s="9"/>
      <c r="L673" s="9"/>
      <c r="M673" s="9"/>
      <c r="N673" s="9"/>
      <c r="O673" s="13" t="str">
        <f aca="false">IF(C673="","",IF(N(M673)+N(N673)&lt;Settings!$C$9,"untested",M673/(M673+N673)))</f>
        <v/>
      </c>
      <c r="P673" s="9"/>
      <c r="Q673" s="9"/>
      <c r="R673" s="9"/>
      <c r="S673" s="12"/>
      <c r="T673" s="9"/>
      <c r="U673" s="9"/>
      <c r="V673" s="9"/>
      <c r="W673" s="10" t="str">
        <f aca="false">IF(C673="","",IF(OR(G673="training",G673="full"),"Yes",IF(G673="none","No","?")))</f>
        <v/>
      </c>
      <c r="X673" s="10" t="str">
        <f aca="false">IF(C673="","",IF(OR(E673="",E673="unknown"),D673,E673))</f>
        <v/>
      </c>
      <c r="Y673" s="10" t="str">
        <f aca="false">IF(C673="","",IF(OR(T673="unsuitable",T673="retired",X673="no"),"—",IF(J673="","unrated",IF(AND(X673="full",J673&gt;=Settings!$C$5,OR(O673="untested",O673&gt;=Settings!$C$6)),"A",IF(AND(OR(X673="full",X673="reduced"),J673&gt;=Settings!$C$7,OR(O673="untested",O673&gt;=Settings!$C$8)),"B","C")))))</f>
        <v/>
      </c>
      <c r="Z673" s="11" t="str">
        <f aca="false">IF(C673="","",IF(P673&lt;&gt;"",P673,Y673))</f>
        <v/>
      </c>
    </row>
    <row r="674" customFormat="false" ht="15" hidden="false" customHeight="false" outlineLevel="0" collapsed="false">
      <c r="A674" s="9"/>
      <c r="B674" s="10" t="str">
        <f aca="false">IF(A674="","",IFERROR(INDEX(Parks!$A$2:$A$255,MATCH(A674,Parks!$B$2:$B$255,0)),"?"))</f>
        <v/>
      </c>
      <c r="C674" s="9"/>
      <c r="D674" s="10" t="str">
        <f aca="false">IF(C674="","",IF(SUMPRODUCT(--ISNUMBER(SEARCH({"Nets","Wicket","Diamond","Softball","T-ball","Baseball","Netball","Tennis","Bocce","Pentaque","Petanque","Skate","Car Park","Pond","Bridle","Amphitheatre","Perimeter","Passive"},C674)))&gt;0,"no",IF(SUMPRODUCT(--ISNUMBER(SEARCH({"Cricket","Junior","Mini","Summer Football","Small"},C674)))&gt;0,"reduced",IF(SUMPRODUCT(--ISNUMBER(SEARCH({"Rugby","Football","League","Touch","Gaelic","Australian","Lacrosse","General Sport","Training Area","Ultimate"},C674)))&gt;0,"full","unknown"))))</f>
        <v/>
      </c>
      <c r="E674" s="9"/>
      <c r="F674" s="9"/>
      <c r="G674" s="9"/>
      <c r="H674" s="9"/>
      <c r="I674" s="12"/>
      <c r="J674" s="9"/>
      <c r="K674" s="9"/>
      <c r="L674" s="9"/>
      <c r="M674" s="9"/>
      <c r="N674" s="9"/>
      <c r="O674" s="13" t="str">
        <f aca="false">IF(C674="","",IF(N(M674)+N(N674)&lt;Settings!$C$9,"untested",M674/(M674+N674)))</f>
        <v/>
      </c>
      <c r="P674" s="9"/>
      <c r="Q674" s="9"/>
      <c r="R674" s="9"/>
      <c r="S674" s="12"/>
      <c r="T674" s="9"/>
      <c r="U674" s="9"/>
      <c r="V674" s="9"/>
      <c r="W674" s="10" t="str">
        <f aca="false">IF(C674="","",IF(OR(G674="training",G674="full"),"Yes",IF(G674="none","No","?")))</f>
        <v/>
      </c>
      <c r="X674" s="10" t="str">
        <f aca="false">IF(C674="","",IF(OR(E674="",E674="unknown"),D674,E674))</f>
        <v/>
      </c>
      <c r="Y674" s="10" t="str">
        <f aca="false">IF(C674="","",IF(OR(T674="unsuitable",T674="retired",X674="no"),"—",IF(J674="","unrated",IF(AND(X674="full",J674&gt;=Settings!$C$5,OR(O674="untested",O674&gt;=Settings!$C$6)),"A",IF(AND(OR(X674="full",X674="reduced"),J674&gt;=Settings!$C$7,OR(O674="untested",O674&gt;=Settings!$C$8)),"B","C")))))</f>
        <v/>
      </c>
      <c r="Z674" s="11" t="str">
        <f aca="false">IF(C674="","",IF(P674&lt;&gt;"",P674,Y674))</f>
        <v/>
      </c>
    </row>
    <row r="675" customFormat="false" ht="15" hidden="false" customHeight="false" outlineLevel="0" collapsed="false">
      <c r="A675" s="9"/>
      <c r="B675" s="10" t="str">
        <f aca="false">IF(A675="","",IFERROR(INDEX(Parks!$A$2:$A$255,MATCH(A675,Parks!$B$2:$B$255,0)),"?"))</f>
        <v/>
      </c>
      <c r="C675" s="9"/>
      <c r="D675" s="10" t="str">
        <f aca="false">IF(C675="","",IF(SUMPRODUCT(--ISNUMBER(SEARCH({"Nets","Wicket","Diamond","Softball","T-ball","Baseball","Netball","Tennis","Bocce","Pentaque","Petanque","Skate","Car Park","Pond","Bridle","Amphitheatre","Perimeter","Passive"},C675)))&gt;0,"no",IF(SUMPRODUCT(--ISNUMBER(SEARCH({"Cricket","Junior","Mini","Summer Football","Small"},C675)))&gt;0,"reduced",IF(SUMPRODUCT(--ISNUMBER(SEARCH({"Rugby","Football","League","Touch","Gaelic","Australian","Lacrosse","General Sport","Training Area","Ultimate"},C675)))&gt;0,"full","unknown"))))</f>
        <v/>
      </c>
      <c r="E675" s="9"/>
      <c r="F675" s="9"/>
      <c r="G675" s="9"/>
      <c r="H675" s="9"/>
      <c r="I675" s="12"/>
      <c r="J675" s="9"/>
      <c r="K675" s="9"/>
      <c r="L675" s="9"/>
      <c r="M675" s="9"/>
      <c r="N675" s="9"/>
      <c r="O675" s="13" t="str">
        <f aca="false">IF(C675="","",IF(N(M675)+N(N675)&lt;Settings!$C$9,"untested",M675/(M675+N675)))</f>
        <v/>
      </c>
      <c r="P675" s="9"/>
      <c r="Q675" s="9"/>
      <c r="R675" s="9"/>
      <c r="S675" s="12"/>
      <c r="T675" s="9"/>
      <c r="U675" s="9"/>
      <c r="V675" s="9"/>
      <c r="W675" s="10" t="str">
        <f aca="false">IF(C675="","",IF(OR(G675="training",G675="full"),"Yes",IF(G675="none","No","?")))</f>
        <v/>
      </c>
      <c r="X675" s="10" t="str">
        <f aca="false">IF(C675="","",IF(OR(E675="",E675="unknown"),D675,E675))</f>
        <v/>
      </c>
      <c r="Y675" s="10" t="str">
        <f aca="false">IF(C675="","",IF(OR(T675="unsuitable",T675="retired",X675="no"),"—",IF(J675="","unrated",IF(AND(X675="full",J675&gt;=Settings!$C$5,OR(O675="untested",O675&gt;=Settings!$C$6)),"A",IF(AND(OR(X675="full",X675="reduced"),J675&gt;=Settings!$C$7,OR(O675="untested",O675&gt;=Settings!$C$8)),"B","C")))))</f>
        <v/>
      </c>
      <c r="Z675" s="11" t="str">
        <f aca="false">IF(C675="","",IF(P675&lt;&gt;"",P675,Y675))</f>
        <v/>
      </c>
    </row>
    <row r="676" customFormat="false" ht="15" hidden="false" customHeight="false" outlineLevel="0" collapsed="false">
      <c r="A676" s="9"/>
      <c r="B676" s="10" t="str">
        <f aca="false">IF(A676="","",IFERROR(INDEX(Parks!$A$2:$A$255,MATCH(A676,Parks!$B$2:$B$255,0)),"?"))</f>
        <v/>
      </c>
      <c r="C676" s="9"/>
      <c r="D676" s="10" t="str">
        <f aca="false">IF(C676="","",IF(SUMPRODUCT(--ISNUMBER(SEARCH({"Nets","Wicket","Diamond","Softball","T-ball","Baseball","Netball","Tennis","Bocce","Pentaque","Petanque","Skate","Car Park","Pond","Bridle","Amphitheatre","Perimeter","Passive"},C676)))&gt;0,"no",IF(SUMPRODUCT(--ISNUMBER(SEARCH({"Cricket","Junior","Mini","Summer Football","Small"},C676)))&gt;0,"reduced",IF(SUMPRODUCT(--ISNUMBER(SEARCH({"Rugby","Football","League","Touch","Gaelic","Australian","Lacrosse","General Sport","Training Area","Ultimate"},C676)))&gt;0,"full","unknown"))))</f>
        <v/>
      </c>
      <c r="E676" s="9"/>
      <c r="F676" s="9"/>
      <c r="G676" s="9"/>
      <c r="H676" s="9"/>
      <c r="I676" s="12"/>
      <c r="J676" s="9"/>
      <c r="K676" s="9"/>
      <c r="L676" s="9"/>
      <c r="M676" s="9"/>
      <c r="N676" s="9"/>
      <c r="O676" s="13" t="str">
        <f aca="false">IF(C676="","",IF(N(M676)+N(N676)&lt;Settings!$C$9,"untested",M676/(M676+N676)))</f>
        <v/>
      </c>
      <c r="P676" s="9"/>
      <c r="Q676" s="9"/>
      <c r="R676" s="9"/>
      <c r="S676" s="12"/>
      <c r="T676" s="9"/>
      <c r="U676" s="9"/>
      <c r="V676" s="9"/>
      <c r="W676" s="10" t="str">
        <f aca="false">IF(C676="","",IF(OR(G676="training",G676="full"),"Yes",IF(G676="none","No","?")))</f>
        <v/>
      </c>
      <c r="X676" s="10" t="str">
        <f aca="false">IF(C676="","",IF(OR(E676="",E676="unknown"),D676,E676))</f>
        <v/>
      </c>
      <c r="Y676" s="10" t="str">
        <f aca="false">IF(C676="","",IF(OR(T676="unsuitable",T676="retired",X676="no"),"—",IF(J676="","unrated",IF(AND(X676="full",J676&gt;=Settings!$C$5,OR(O676="untested",O676&gt;=Settings!$C$6)),"A",IF(AND(OR(X676="full",X676="reduced"),J676&gt;=Settings!$C$7,OR(O676="untested",O676&gt;=Settings!$C$8)),"B","C")))))</f>
        <v/>
      </c>
      <c r="Z676" s="11" t="str">
        <f aca="false">IF(C676="","",IF(P676&lt;&gt;"",P676,Y676))</f>
        <v/>
      </c>
    </row>
    <row r="677" customFormat="false" ht="15" hidden="false" customHeight="false" outlineLevel="0" collapsed="false">
      <c r="A677" s="9"/>
      <c r="B677" s="10" t="str">
        <f aca="false">IF(A677="","",IFERROR(INDEX(Parks!$A$2:$A$255,MATCH(A677,Parks!$B$2:$B$255,0)),"?"))</f>
        <v/>
      </c>
      <c r="C677" s="9"/>
      <c r="D677" s="10" t="str">
        <f aca="false">IF(C677="","",IF(SUMPRODUCT(--ISNUMBER(SEARCH({"Nets","Wicket","Diamond","Softball","T-ball","Baseball","Netball","Tennis","Bocce","Pentaque","Petanque","Skate","Car Park","Pond","Bridle","Amphitheatre","Perimeter","Passive"},C677)))&gt;0,"no",IF(SUMPRODUCT(--ISNUMBER(SEARCH({"Cricket","Junior","Mini","Summer Football","Small"},C677)))&gt;0,"reduced",IF(SUMPRODUCT(--ISNUMBER(SEARCH({"Rugby","Football","League","Touch","Gaelic","Australian","Lacrosse","General Sport","Training Area","Ultimate"},C677)))&gt;0,"full","unknown"))))</f>
        <v/>
      </c>
      <c r="E677" s="9"/>
      <c r="F677" s="9"/>
      <c r="G677" s="9"/>
      <c r="H677" s="9"/>
      <c r="I677" s="12"/>
      <c r="J677" s="9"/>
      <c r="K677" s="9"/>
      <c r="L677" s="9"/>
      <c r="M677" s="9"/>
      <c r="N677" s="9"/>
      <c r="O677" s="13" t="str">
        <f aca="false">IF(C677="","",IF(N(M677)+N(N677)&lt;Settings!$C$9,"untested",M677/(M677+N677)))</f>
        <v/>
      </c>
      <c r="P677" s="9"/>
      <c r="Q677" s="9"/>
      <c r="R677" s="9"/>
      <c r="S677" s="12"/>
      <c r="T677" s="9"/>
      <c r="U677" s="9"/>
      <c r="V677" s="9"/>
      <c r="W677" s="10" t="str">
        <f aca="false">IF(C677="","",IF(OR(G677="training",G677="full"),"Yes",IF(G677="none","No","?")))</f>
        <v/>
      </c>
      <c r="X677" s="10" t="str">
        <f aca="false">IF(C677="","",IF(OR(E677="",E677="unknown"),D677,E677))</f>
        <v/>
      </c>
      <c r="Y677" s="10" t="str">
        <f aca="false">IF(C677="","",IF(OR(T677="unsuitable",T677="retired",X677="no"),"—",IF(J677="","unrated",IF(AND(X677="full",J677&gt;=Settings!$C$5,OR(O677="untested",O677&gt;=Settings!$C$6)),"A",IF(AND(OR(X677="full",X677="reduced"),J677&gt;=Settings!$C$7,OR(O677="untested",O677&gt;=Settings!$C$8)),"B","C")))))</f>
        <v/>
      </c>
      <c r="Z677" s="11" t="str">
        <f aca="false">IF(C677="","",IF(P677&lt;&gt;"",P677,Y677))</f>
        <v/>
      </c>
    </row>
    <row r="678" customFormat="false" ht="15" hidden="false" customHeight="false" outlineLevel="0" collapsed="false">
      <c r="A678" s="9"/>
      <c r="B678" s="10" t="str">
        <f aca="false">IF(A678="","",IFERROR(INDEX(Parks!$A$2:$A$255,MATCH(A678,Parks!$B$2:$B$255,0)),"?"))</f>
        <v/>
      </c>
      <c r="C678" s="9"/>
      <c r="D678" s="10" t="str">
        <f aca="false">IF(C678="","",IF(SUMPRODUCT(--ISNUMBER(SEARCH({"Nets","Wicket","Diamond","Softball","T-ball","Baseball","Netball","Tennis","Bocce","Pentaque","Petanque","Skate","Car Park","Pond","Bridle","Amphitheatre","Perimeter","Passive"},C678)))&gt;0,"no",IF(SUMPRODUCT(--ISNUMBER(SEARCH({"Cricket","Junior","Mini","Summer Football","Small"},C678)))&gt;0,"reduced",IF(SUMPRODUCT(--ISNUMBER(SEARCH({"Rugby","Football","League","Touch","Gaelic","Australian","Lacrosse","General Sport","Training Area","Ultimate"},C678)))&gt;0,"full","unknown"))))</f>
        <v/>
      </c>
      <c r="E678" s="9"/>
      <c r="F678" s="9"/>
      <c r="G678" s="9"/>
      <c r="H678" s="9"/>
      <c r="I678" s="12"/>
      <c r="J678" s="9"/>
      <c r="K678" s="9"/>
      <c r="L678" s="9"/>
      <c r="M678" s="9"/>
      <c r="N678" s="9"/>
      <c r="O678" s="13" t="str">
        <f aca="false">IF(C678="","",IF(N(M678)+N(N678)&lt;Settings!$C$9,"untested",M678/(M678+N678)))</f>
        <v/>
      </c>
      <c r="P678" s="9"/>
      <c r="Q678" s="9"/>
      <c r="R678" s="9"/>
      <c r="S678" s="12"/>
      <c r="T678" s="9"/>
      <c r="U678" s="9"/>
      <c r="V678" s="9"/>
      <c r="W678" s="10" t="str">
        <f aca="false">IF(C678="","",IF(OR(G678="training",G678="full"),"Yes",IF(G678="none","No","?")))</f>
        <v/>
      </c>
      <c r="X678" s="10" t="str">
        <f aca="false">IF(C678="","",IF(OR(E678="",E678="unknown"),D678,E678))</f>
        <v/>
      </c>
      <c r="Y678" s="10" t="str">
        <f aca="false">IF(C678="","",IF(OR(T678="unsuitable",T678="retired",X678="no"),"—",IF(J678="","unrated",IF(AND(X678="full",J678&gt;=Settings!$C$5,OR(O678="untested",O678&gt;=Settings!$C$6)),"A",IF(AND(OR(X678="full",X678="reduced"),J678&gt;=Settings!$C$7,OR(O678="untested",O678&gt;=Settings!$C$8)),"B","C")))))</f>
        <v/>
      </c>
      <c r="Z678" s="11" t="str">
        <f aca="false">IF(C678="","",IF(P678&lt;&gt;"",P678,Y678))</f>
        <v/>
      </c>
    </row>
    <row r="679" customFormat="false" ht="15" hidden="false" customHeight="false" outlineLevel="0" collapsed="false">
      <c r="A679" s="9"/>
      <c r="B679" s="10" t="str">
        <f aca="false">IF(A679="","",IFERROR(INDEX(Parks!$A$2:$A$255,MATCH(A679,Parks!$B$2:$B$255,0)),"?"))</f>
        <v/>
      </c>
      <c r="C679" s="9"/>
      <c r="D679" s="10" t="str">
        <f aca="false">IF(C679="","",IF(SUMPRODUCT(--ISNUMBER(SEARCH({"Nets","Wicket","Diamond","Softball","T-ball","Baseball","Netball","Tennis","Bocce","Pentaque","Petanque","Skate","Car Park","Pond","Bridle","Amphitheatre","Perimeter","Passive"},C679)))&gt;0,"no",IF(SUMPRODUCT(--ISNUMBER(SEARCH({"Cricket","Junior","Mini","Summer Football","Small"},C679)))&gt;0,"reduced",IF(SUMPRODUCT(--ISNUMBER(SEARCH({"Rugby","Football","League","Touch","Gaelic","Australian","Lacrosse","General Sport","Training Area","Ultimate"},C679)))&gt;0,"full","unknown"))))</f>
        <v/>
      </c>
      <c r="E679" s="9"/>
      <c r="F679" s="9"/>
      <c r="G679" s="9"/>
      <c r="H679" s="9"/>
      <c r="I679" s="12"/>
      <c r="J679" s="9"/>
      <c r="K679" s="9"/>
      <c r="L679" s="9"/>
      <c r="M679" s="9"/>
      <c r="N679" s="9"/>
      <c r="O679" s="13" t="str">
        <f aca="false">IF(C679="","",IF(N(M679)+N(N679)&lt;Settings!$C$9,"untested",M679/(M679+N679)))</f>
        <v/>
      </c>
      <c r="P679" s="9"/>
      <c r="Q679" s="9"/>
      <c r="R679" s="9"/>
      <c r="S679" s="12"/>
      <c r="T679" s="9"/>
      <c r="U679" s="9"/>
      <c r="V679" s="9"/>
      <c r="W679" s="10" t="str">
        <f aca="false">IF(C679="","",IF(OR(G679="training",G679="full"),"Yes",IF(G679="none","No","?")))</f>
        <v/>
      </c>
      <c r="X679" s="10" t="str">
        <f aca="false">IF(C679="","",IF(OR(E679="",E679="unknown"),D679,E679))</f>
        <v/>
      </c>
      <c r="Y679" s="10" t="str">
        <f aca="false">IF(C679="","",IF(OR(T679="unsuitable",T679="retired",X679="no"),"—",IF(J679="","unrated",IF(AND(X679="full",J679&gt;=Settings!$C$5,OR(O679="untested",O679&gt;=Settings!$C$6)),"A",IF(AND(OR(X679="full",X679="reduced"),J679&gt;=Settings!$C$7,OR(O679="untested",O679&gt;=Settings!$C$8)),"B","C")))))</f>
        <v/>
      </c>
      <c r="Z679" s="11" t="str">
        <f aca="false">IF(C679="","",IF(P679&lt;&gt;"",P679,Y679))</f>
        <v/>
      </c>
    </row>
    <row r="680" customFormat="false" ht="15" hidden="false" customHeight="false" outlineLevel="0" collapsed="false">
      <c r="A680" s="9"/>
      <c r="B680" s="10" t="str">
        <f aca="false">IF(A680="","",IFERROR(INDEX(Parks!$A$2:$A$255,MATCH(A680,Parks!$B$2:$B$255,0)),"?"))</f>
        <v/>
      </c>
      <c r="C680" s="9"/>
      <c r="D680" s="10" t="str">
        <f aca="false">IF(C680="","",IF(SUMPRODUCT(--ISNUMBER(SEARCH({"Nets","Wicket","Diamond","Softball","T-ball","Baseball","Netball","Tennis","Bocce","Pentaque","Petanque","Skate","Car Park","Pond","Bridle","Amphitheatre","Perimeter","Passive"},C680)))&gt;0,"no",IF(SUMPRODUCT(--ISNUMBER(SEARCH({"Cricket","Junior","Mini","Summer Football","Small"},C680)))&gt;0,"reduced",IF(SUMPRODUCT(--ISNUMBER(SEARCH({"Rugby","Football","League","Touch","Gaelic","Australian","Lacrosse","General Sport","Training Area","Ultimate"},C680)))&gt;0,"full","unknown"))))</f>
        <v/>
      </c>
      <c r="E680" s="9"/>
      <c r="F680" s="9"/>
      <c r="G680" s="9"/>
      <c r="H680" s="9"/>
      <c r="I680" s="12"/>
      <c r="J680" s="9"/>
      <c r="K680" s="9"/>
      <c r="L680" s="9"/>
      <c r="M680" s="9"/>
      <c r="N680" s="9"/>
      <c r="O680" s="13" t="str">
        <f aca="false">IF(C680="","",IF(N(M680)+N(N680)&lt;Settings!$C$9,"untested",M680/(M680+N680)))</f>
        <v/>
      </c>
      <c r="P680" s="9"/>
      <c r="Q680" s="9"/>
      <c r="R680" s="9"/>
      <c r="S680" s="12"/>
      <c r="T680" s="9"/>
      <c r="U680" s="9"/>
      <c r="V680" s="9"/>
      <c r="W680" s="10" t="str">
        <f aca="false">IF(C680="","",IF(OR(G680="training",G680="full"),"Yes",IF(G680="none","No","?")))</f>
        <v/>
      </c>
      <c r="X680" s="10" t="str">
        <f aca="false">IF(C680="","",IF(OR(E680="",E680="unknown"),D680,E680))</f>
        <v/>
      </c>
      <c r="Y680" s="10" t="str">
        <f aca="false">IF(C680="","",IF(OR(T680="unsuitable",T680="retired",X680="no"),"—",IF(J680="","unrated",IF(AND(X680="full",J680&gt;=Settings!$C$5,OR(O680="untested",O680&gt;=Settings!$C$6)),"A",IF(AND(OR(X680="full",X680="reduced"),J680&gt;=Settings!$C$7,OR(O680="untested",O680&gt;=Settings!$C$8)),"B","C")))))</f>
        <v/>
      </c>
      <c r="Z680" s="11" t="str">
        <f aca="false">IF(C680="","",IF(P680&lt;&gt;"",P680,Y680))</f>
        <v/>
      </c>
    </row>
    <row r="681" customFormat="false" ht="15" hidden="false" customHeight="false" outlineLevel="0" collapsed="false">
      <c r="A681" s="9"/>
      <c r="B681" s="10" t="str">
        <f aca="false">IF(A681="","",IFERROR(INDEX(Parks!$A$2:$A$255,MATCH(A681,Parks!$B$2:$B$255,0)),"?"))</f>
        <v/>
      </c>
      <c r="C681" s="9"/>
      <c r="D681" s="10" t="str">
        <f aca="false">IF(C681="","",IF(SUMPRODUCT(--ISNUMBER(SEARCH({"Nets","Wicket","Diamond","Softball","T-ball","Baseball","Netball","Tennis","Bocce","Pentaque","Petanque","Skate","Car Park","Pond","Bridle","Amphitheatre","Perimeter","Passive"},C681)))&gt;0,"no",IF(SUMPRODUCT(--ISNUMBER(SEARCH({"Cricket","Junior","Mini","Summer Football","Small"},C681)))&gt;0,"reduced",IF(SUMPRODUCT(--ISNUMBER(SEARCH({"Rugby","Football","League","Touch","Gaelic","Australian","Lacrosse","General Sport","Training Area","Ultimate"},C681)))&gt;0,"full","unknown"))))</f>
        <v/>
      </c>
      <c r="E681" s="9"/>
      <c r="F681" s="9"/>
      <c r="G681" s="9"/>
      <c r="H681" s="9"/>
      <c r="I681" s="12"/>
      <c r="J681" s="9"/>
      <c r="K681" s="9"/>
      <c r="L681" s="9"/>
      <c r="M681" s="9"/>
      <c r="N681" s="9"/>
      <c r="O681" s="13" t="str">
        <f aca="false">IF(C681="","",IF(N(M681)+N(N681)&lt;Settings!$C$9,"untested",M681/(M681+N681)))</f>
        <v/>
      </c>
      <c r="P681" s="9"/>
      <c r="Q681" s="9"/>
      <c r="R681" s="9"/>
      <c r="S681" s="12"/>
      <c r="T681" s="9"/>
      <c r="U681" s="9"/>
      <c r="V681" s="9"/>
      <c r="W681" s="10" t="str">
        <f aca="false">IF(C681="","",IF(OR(G681="training",G681="full"),"Yes",IF(G681="none","No","?")))</f>
        <v/>
      </c>
      <c r="X681" s="10" t="str">
        <f aca="false">IF(C681="","",IF(OR(E681="",E681="unknown"),D681,E681))</f>
        <v/>
      </c>
      <c r="Y681" s="10" t="str">
        <f aca="false">IF(C681="","",IF(OR(T681="unsuitable",T681="retired",X681="no"),"—",IF(J681="","unrated",IF(AND(X681="full",J681&gt;=Settings!$C$5,OR(O681="untested",O681&gt;=Settings!$C$6)),"A",IF(AND(OR(X681="full",X681="reduced"),J681&gt;=Settings!$C$7,OR(O681="untested",O681&gt;=Settings!$C$8)),"B","C")))))</f>
        <v/>
      </c>
      <c r="Z681" s="11" t="str">
        <f aca="false">IF(C681="","",IF(P681&lt;&gt;"",P681,Y681))</f>
        <v/>
      </c>
    </row>
    <row r="682" customFormat="false" ht="15" hidden="false" customHeight="false" outlineLevel="0" collapsed="false">
      <c r="A682" s="9"/>
      <c r="B682" s="10" t="str">
        <f aca="false">IF(A682="","",IFERROR(INDEX(Parks!$A$2:$A$255,MATCH(A682,Parks!$B$2:$B$255,0)),"?"))</f>
        <v/>
      </c>
      <c r="C682" s="9"/>
      <c r="D682" s="10" t="str">
        <f aca="false">IF(C682="","",IF(SUMPRODUCT(--ISNUMBER(SEARCH({"Nets","Wicket","Diamond","Softball","T-ball","Baseball","Netball","Tennis","Bocce","Pentaque","Petanque","Skate","Car Park","Pond","Bridle","Amphitheatre","Perimeter","Passive"},C682)))&gt;0,"no",IF(SUMPRODUCT(--ISNUMBER(SEARCH({"Cricket","Junior","Mini","Summer Football","Small"},C682)))&gt;0,"reduced",IF(SUMPRODUCT(--ISNUMBER(SEARCH({"Rugby","Football","League","Touch","Gaelic","Australian","Lacrosse","General Sport","Training Area","Ultimate"},C682)))&gt;0,"full","unknown"))))</f>
        <v/>
      </c>
      <c r="E682" s="9"/>
      <c r="F682" s="9"/>
      <c r="G682" s="9"/>
      <c r="H682" s="9"/>
      <c r="I682" s="12"/>
      <c r="J682" s="9"/>
      <c r="K682" s="9"/>
      <c r="L682" s="9"/>
      <c r="M682" s="9"/>
      <c r="N682" s="9"/>
      <c r="O682" s="13" t="str">
        <f aca="false">IF(C682="","",IF(N(M682)+N(N682)&lt;Settings!$C$9,"untested",M682/(M682+N682)))</f>
        <v/>
      </c>
      <c r="P682" s="9"/>
      <c r="Q682" s="9"/>
      <c r="R682" s="9"/>
      <c r="S682" s="12"/>
      <c r="T682" s="9"/>
      <c r="U682" s="9"/>
      <c r="V682" s="9"/>
      <c r="W682" s="10" t="str">
        <f aca="false">IF(C682="","",IF(OR(G682="training",G682="full"),"Yes",IF(G682="none","No","?")))</f>
        <v/>
      </c>
      <c r="X682" s="10" t="str">
        <f aca="false">IF(C682="","",IF(OR(E682="",E682="unknown"),D682,E682))</f>
        <v/>
      </c>
      <c r="Y682" s="10" t="str">
        <f aca="false">IF(C682="","",IF(OR(T682="unsuitable",T682="retired",X682="no"),"—",IF(J682="","unrated",IF(AND(X682="full",J682&gt;=Settings!$C$5,OR(O682="untested",O682&gt;=Settings!$C$6)),"A",IF(AND(OR(X682="full",X682="reduced"),J682&gt;=Settings!$C$7,OR(O682="untested",O682&gt;=Settings!$C$8)),"B","C")))))</f>
        <v/>
      </c>
      <c r="Z682" s="11" t="str">
        <f aca="false">IF(C682="","",IF(P682&lt;&gt;"",P682,Y682))</f>
        <v/>
      </c>
    </row>
    <row r="683" customFormat="false" ht="15" hidden="false" customHeight="false" outlineLevel="0" collapsed="false">
      <c r="A683" s="9"/>
      <c r="B683" s="10" t="str">
        <f aca="false">IF(A683="","",IFERROR(INDEX(Parks!$A$2:$A$255,MATCH(A683,Parks!$B$2:$B$255,0)),"?"))</f>
        <v/>
      </c>
      <c r="C683" s="9"/>
      <c r="D683" s="10" t="str">
        <f aca="false">IF(C683="","",IF(SUMPRODUCT(--ISNUMBER(SEARCH({"Nets","Wicket","Diamond","Softball","T-ball","Baseball","Netball","Tennis","Bocce","Pentaque","Petanque","Skate","Car Park","Pond","Bridle","Amphitheatre","Perimeter","Passive"},C683)))&gt;0,"no",IF(SUMPRODUCT(--ISNUMBER(SEARCH({"Cricket","Junior","Mini","Summer Football","Small"},C683)))&gt;0,"reduced",IF(SUMPRODUCT(--ISNUMBER(SEARCH({"Rugby","Football","League","Touch","Gaelic","Australian","Lacrosse","General Sport","Training Area","Ultimate"},C683)))&gt;0,"full","unknown"))))</f>
        <v/>
      </c>
      <c r="E683" s="9"/>
      <c r="F683" s="9"/>
      <c r="G683" s="9"/>
      <c r="H683" s="9"/>
      <c r="I683" s="12"/>
      <c r="J683" s="9"/>
      <c r="K683" s="9"/>
      <c r="L683" s="9"/>
      <c r="M683" s="9"/>
      <c r="N683" s="9"/>
      <c r="O683" s="13" t="str">
        <f aca="false">IF(C683="","",IF(N(M683)+N(N683)&lt;Settings!$C$9,"untested",M683/(M683+N683)))</f>
        <v/>
      </c>
      <c r="P683" s="9"/>
      <c r="Q683" s="9"/>
      <c r="R683" s="9"/>
      <c r="S683" s="12"/>
      <c r="T683" s="9"/>
      <c r="U683" s="9"/>
      <c r="V683" s="9"/>
      <c r="W683" s="10" t="str">
        <f aca="false">IF(C683="","",IF(OR(G683="training",G683="full"),"Yes",IF(G683="none","No","?")))</f>
        <v/>
      </c>
      <c r="X683" s="10" t="str">
        <f aca="false">IF(C683="","",IF(OR(E683="",E683="unknown"),D683,E683))</f>
        <v/>
      </c>
      <c r="Y683" s="10" t="str">
        <f aca="false">IF(C683="","",IF(OR(T683="unsuitable",T683="retired",X683="no"),"—",IF(J683="","unrated",IF(AND(X683="full",J683&gt;=Settings!$C$5,OR(O683="untested",O683&gt;=Settings!$C$6)),"A",IF(AND(OR(X683="full",X683="reduced"),J683&gt;=Settings!$C$7,OR(O683="untested",O683&gt;=Settings!$C$8)),"B","C")))))</f>
        <v/>
      </c>
      <c r="Z683" s="11" t="str">
        <f aca="false">IF(C683="","",IF(P683&lt;&gt;"",P683,Y683))</f>
        <v/>
      </c>
    </row>
    <row r="684" customFormat="false" ht="15" hidden="false" customHeight="false" outlineLevel="0" collapsed="false">
      <c r="A684" s="9"/>
      <c r="B684" s="10" t="str">
        <f aca="false">IF(A684="","",IFERROR(INDEX(Parks!$A$2:$A$255,MATCH(A684,Parks!$B$2:$B$255,0)),"?"))</f>
        <v/>
      </c>
      <c r="C684" s="9"/>
      <c r="D684" s="10" t="str">
        <f aca="false">IF(C684="","",IF(SUMPRODUCT(--ISNUMBER(SEARCH({"Nets","Wicket","Diamond","Softball","T-ball","Baseball","Netball","Tennis","Bocce","Pentaque","Petanque","Skate","Car Park","Pond","Bridle","Amphitheatre","Perimeter","Passive"},C684)))&gt;0,"no",IF(SUMPRODUCT(--ISNUMBER(SEARCH({"Cricket","Junior","Mini","Summer Football","Small"},C684)))&gt;0,"reduced",IF(SUMPRODUCT(--ISNUMBER(SEARCH({"Rugby","Football","League","Touch","Gaelic","Australian","Lacrosse","General Sport","Training Area","Ultimate"},C684)))&gt;0,"full","unknown"))))</f>
        <v/>
      </c>
      <c r="E684" s="9"/>
      <c r="F684" s="9"/>
      <c r="G684" s="9"/>
      <c r="H684" s="9"/>
      <c r="I684" s="12"/>
      <c r="J684" s="9"/>
      <c r="K684" s="9"/>
      <c r="L684" s="9"/>
      <c r="M684" s="9"/>
      <c r="N684" s="9"/>
      <c r="O684" s="13" t="str">
        <f aca="false">IF(C684="","",IF(N(M684)+N(N684)&lt;Settings!$C$9,"untested",M684/(M684+N684)))</f>
        <v/>
      </c>
      <c r="P684" s="9"/>
      <c r="Q684" s="9"/>
      <c r="R684" s="9"/>
      <c r="S684" s="12"/>
      <c r="T684" s="9"/>
      <c r="U684" s="9"/>
      <c r="V684" s="9"/>
      <c r="W684" s="10" t="str">
        <f aca="false">IF(C684="","",IF(OR(G684="training",G684="full"),"Yes",IF(G684="none","No","?")))</f>
        <v/>
      </c>
      <c r="X684" s="10" t="str">
        <f aca="false">IF(C684="","",IF(OR(E684="",E684="unknown"),D684,E684))</f>
        <v/>
      </c>
      <c r="Y684" s="10" t="str">
        <f aca="false">IF(C684="","",IF(OR(T684="unsuitable",T684="retired",X684="no"),"—",IF(J684="","unrated",IF(AND(X684="full",J684&gt;=Settings!$C$5,OR(O684="untested",O684&gt;=Settings!$C$6)),"A",IF(AND(OR(X684="full",X684="reduced"),J684&gt;=Settings!$C$7,OR(O684="untested",O684&gt;=Settings!$C$8)),"B","C")))))</f>
        <v/>
      </c>
      <c r="Z684" s="11" t="str">
        <f aca="false">IF(C684="","",IF(P684&lt;&gt;"",P684,Y684))</f>
        <v/>
      </c>
    </row>
    <row r="685" customFormat="false" ht="15" hidden="false" customHeight="false" outlineLevel="0" collapsed="false">
      <c r="A685" s="9"/>
      <c r="B685" s="10" t="str">
        <f aca="false">IF(A685="","",IFERROR(INDEX(Parks!$A$2:$A$255,MATCH(A685,Parks!$B$2:$B$255,0)),"?"))</f>
        <v/>
      </c>
      <c r="C685" s="9"/>
      <c r="D685" s="10" t="str">
        <f aca="false">IF(C685="","",IF(SUMPRODUCT(--ISNUMBER(SEARCH({"Nets","Wicket","Diamond","Softball","T-ball","Baseball","Netball","Tennis","Bocce","Pentaque","Petanque","Skate","Car Park","Pond","Bridle","Amphitheatre","Perimeter","Passive"},C685)))&gt;0,"no",IF(SUMPRODUCT(--ISNUMBER(SEARCH({"Cricket","Junior","Mini","Summer Football","Small"},C685)))&gt;0,"reduced",IF(SUMPRODUCT(--ISNUMBER(SEARCH({"Rugby","Football","League","Touch","Gaelic","Australian","Lacrosse","General Sport","Training Area","Ultimate"},C685)))&gt;0,"full","unknown"))))</f>
        <v/>
      </c>
      <c r="E685" s="9"/>
      <c r="F685" s="9"/>
      <c r="G685" s="9"/>
      <c r="H685" s="9"/>
      <c r="I685" s="12"/>
      <c r="J685" s="9"/>
      <c r="K685" s="9"/>
      <c r="L685" s="9"/>
      <c r="M685" s="9"/>
      <c r="N685" s="9"/>
      <c r="O685" s="13" t="str">
        <f aca="false">IF(C685="","",IF(N(M685)+N(N685)&lt;Settings!$C$9,"untested",M685/(M685+N685)))</f>
        <v/>
      </c>
      <c r="P685" s="9"/>
      <c r="Q685" s="9"/>
      <c r="R685" s="9"/>
      <c r="S685" s="12"/>
      <c r="T685" s="9"/>
      <c r="U685" s="9"/>
      <c r="V685" s="9"/>
      <c r="W685" s="10" t="str">
        <f aca="false">IF(C685="","",IF(OR(G685="training",G685="full"),"Yes",IF(G685="none","No","?")))</f>
        <v/>
      </c>
      <c r="X685" s="10" t="str">
        <f aca="false">IF(C685="","",IF(OR(E685="",E685="unknown"),D685,E685))</f>
        <v/>
      </c>
      <c r="Y685" s="10" t="str">
        <f aca="false">IF(C685="","",IF(OR(T685="unsuitable",T685="retired",X685="no"),"—",IF(J685="","unrated",IF(AND(X685="full",J685&gt;=Settings!$C$5,OR(O685="untested",O685&gt;=Settings!$C$6)),"A",IF(AND(OR(X685="full",X685="reduced"),J685&gt;=Settings!$C$7,OR(O685="untested",O685&gt;=Settings!$C$8)),"B","C")))))</f>
        <v/>
      </c>
      <c r="Z685" s="11" t="str">
        <f aca="false">IF(C685="","",IF(P685&lt;&gt;"",P685,Y685))</f>
        <v/>
      </c>
    </row>
    <row r="686" customFormat="false" ht="15" hidden="false" customHeight="false" outlineLevel="0" collapsed="false">
      <c r="A686" s="9"/>
      <c r="B686" s="10" t="str">
        <f aca="false">IF(A686="","",IFERROR(INDEX(Parks!$A$2:$A$255,MATCH(A686,Parks!$B$2:$B$255,0)),"?"))</f>
        <v/>
      </c>
      <c r="C686" s="9"/>
      <c r="D686" s="10" t="str">
        <f aca="false">IF(C686="","",IF(SUMPRODUCT(--ISNUMBER(SEARCH({"Nets","Wicket","Diamond","Softball","T-ball","Baseball","Netball","Tennis","Bocce","Pentaque","Petanque","Skate","Car Park","Pond","Bridle","Amphitheatre","Perimeter","Passive"},C686)))&gt;0,"no",IF(SUMPRODUCT(--ISNUMBER(SEARCH({"Cricket","Junior","Mini","Summer Football","Small"},C686)))&gt;0,"reduced",IF(SUMPRODUCT(--ISNUMBER(SEARCH({"Rugby","Football","League","Touch","Gaelic","Australian","Lacrosse","General Sport","Training Area","Ultimate"},C686)))&gt;0,"full","unknown"))))</f>
        <v/>
      </c>
      <c r="E686" s="9"/>
      <c r="F686" s="9"/>
      <c r="G686" s="9"/>
      <c r="H686" s="9"/>
      <c r="I686" s="12"/>
      <c r="J686" s="9"/>
      <c r="K686" s="9"/>
      <c r="L686" s="9"/>
      <c r="M686" s="9"/>
      <c r="N686" s="9"/>
      <c r="O686" s="13" t="str">
        <f aca="false">IF(C686="","",IF(N(M686)+N(N686)&lt;Settings!$C$9,"untested",M686/(M686+N686)))</f>
        <v/>
      </c>
      <c r="P686" s="9"/>
      <c r="Q686" s="9"/>
      <c r="R686" s="9"/>
      <c r="S686" s="12"/>
      <c r="T686" s="9"/>
      <c r="U686" s="9"/>
      <c r="V686" s="9"/>
      <c r="W686" s="10" t="str">
        <f aca="false">IF(C686="","",IF(OR(G686="training",G686="full"),"Yes",IF(G686="none","No","?")))</f>
        <v/>
      </c>
      <c r="X686" s="10" t="str">
        <f aca="false">IF(C686="","",IF(OR(E686="",E686="unknown"),D686,E686))</f>
        <v/>
      </c>
      <c r="Y686" s="10" t="str">
        <f aca="false">IF(C686="","",IF(OR(T686="unsuitable",T686="retired",X686="no"),"—",IF(J686="","unrated",IF(AND(X686="full",J686&gt;=Settings!$C$5,OR(O686="untested",O686&gt;=Settings!$C$6)),"A",IF(AND(OR(X686="full",X686="reduced"),J686&gt;=Settings!$C$7,OR(O686="untested",O686&gt;=Settings!$C$8)),"B","C")))))</f>
        <v/>
      </c>
      <c r="Z686" s="11" t="str">
        <f aca="false">IF(C686="","",IF(P686&lt;&gt;"",P686,Y686))</f>
        <v/>
      </c>
    </row>
    <row r="687" customFormat="false" ht="15" hidden="false" customHeight="false" outlineLevel="0" collapsed="false">
      <c r="A687" s="9"/>
      <c r="B687" s="10" t="str">
        <f aca="false">IF(A687="","",IFERROR(INDEX(Parks!$A$2:$A$255,MATCH(A687,Parks!$B$2:$B$255,0)),"?"))</f>
        <v/>
      </c>
      <c r="C687" s="9"/>
      <c r="D687" s="10" t="str">
        <f aca="false">IF(C687="","",IF(SUMPRODUCT(--ISNUMBER(SEARCH({"Nets","Wicket","Diamond","Softball","T-ball","Baseball","Netball","Tennis","Bocce","Pentaque","Petanque","Skate","Car Park","Pond","Bridle","Amphitheatre","Perimeter","Passive"},C687)))&gt;0,"no",IF(SUMPRODUCT(--ISNUMBER(SEARCH({"Cricket","Junior","Mini","Summer Football","Small"},C687)))&gt;0,"reduced",IF(SUMPRODUCT(--ISNUMBER(SEARCH({"Rugby","Football","League","Touch","Gaelic","Australian","Lacrosse","General Sport","Training Area","Ultimate"},C687)))&gt;0,"full","unknown"))))</f>
        <v/>
      </c>
      <c r="E687" s="9"/>
      <c r="F687" s="9"/>
      <c r="G687" s="9"/>
      <c r="H687" s="9"/>
      <c r="I687" s="12"/>
      <c r="J687" s="9"/>
      <c r="K687" s="9"/>
      <c r="L687" s="9"/>
      <c r="M687" s="9"/>
      <c r="N687" s="9"/>
      <c r="O687" s="13" t="str">
        <f aca="false">IF(C687="","",IF(N(M687)+N(N687)&lt;Settings!$C$9,"untested",M687/(M687+N687)))</f>
        <v/>
      </c>
      <c r="P687" s="9"/>
      <c r="Q687" s="9"/>
      <c r="R687" s="9"/>
      <c r="S687" s="12"/>
      <c r="T687" s="9"/>
      <c r="U687" s="9"/>
      <c r="V687" s="9"/>
      <c r="W687" s="10" t="str">
        <f aca="false">IF(C687="","",IF(OR(G687="training",G687="full"),"Yes",IF(G687="none","No","?")))</f>
        <v/>
      </c>
      <c r="X687" s="10" t="str">
        <f aca="false">IF(C687="","",IF(OR(E687="",E687="unknown"),D687,E687))</f>
        <v/>
      </c>
      <c r="Y687" s="10" t="str">
        <f aca="false">IF(C687="","",IF(OR(T687="unsuitable",T687="retired",X687="no"),"—",IF(J687="","unrated",IF(AND(X687="full",J687&gt;=Settings!$C$5,OR(O687="untested",O687&gt;=Settings!$C$6)),"A",IF(AND(OR(X687="full",X687="reduced"),J687&gt;=Settings!$C$7,OR(O687="untested",O687&gt;=Settings!$C$8)),"B","C")))))</f>
        <v/>
      </c>
      <c r="Z687" s="11" t="str">
        <f aca="false">IF(C687="","",IF(P687&lt;&gt;"",P687,Y687))</f>
        <v/>
      </c>
    </row>
    <row r="688" customFormat="false" ht="15" hidden="false" customHeight="false" outlineLevel="0" collapsed="false">
      <c r="A688" s="9"/>
      <c r="B688" s="10" t="str">
        <f aca="false">IF(A688="","",IFERROR(INDEX(Parks!$A$2:$A$255,MATCH(A688,Parks!$B$2:$B$255,0)),"?"))</f>
        <v/>
      </c>
      <c r="C688" s="9"/>
      <c r="D688" s="10" t="str">
        <f aca="false">IF(C688="","",IF(SUMPRODUCT(--ISNUMBER(SEARCH({"Nets","Wicket","Diamond","Softball","T-ball","Baseball","Netball","Tennis","Bocce","Pentaque","Petanque","Skate","Car Park","Pond","Bridle","Amphitheatre","Perimeter","Passive"},C688)))&gt;0,"no",IF(SUMPRODUCT(--ISNUMBER(SEARCH({"Cricket","Junior","Mini","Summer Football","Small"},C688)))&gt;0,"reduced",IF(SUMPRODUCT(--ISNUMBER(SEARCH({"Rugby","Football","League","Touch","Gaelic","Australian","Lacrosse","General Sport","Training Area","Ultimate"},C688)))&gt;0,"full","unknown"))))</f>
        <v/>
      </c>
      <c r="E688" s="9"/>
      <c r="F688" s="9"/>
      <c r="G688" s="9"/>
      <c r="H688" s="9"/>
      <c r="I688" s="12"/>
      <c r="J688" s="9"/>
      <c r="K688" s="9"/>
      <c r="L688" s="9"/>
      <c r="M688" s="9"/>
      <c r="N688" s="9"/>
      <c r="O688" s="13" t="str">
        <f aca="false">IF(C688="","",IF(N(M688)+N(N688)&lt;Settings!$C$9,"untested",M688/(M688+N688)))</f>
        <v/>
      </c>
      <c r="P688" s="9"/>
      <c r="Q688" s="9"/>
      <c r="R688" s="9"/>
      <c r="S688" s="12"/>
      <c r="T688" s="9"/>
      <c r="U688" s="9"/>
      <c r="V688" s="9"/>
      <c r="W688" s="10" t="str">
        <f aca="false">IF(C688="","",IF(OR(G688="training",G688="full"),"Yes",IF(G688="none","No","?")))</f>
        <v/>
      </c>
      <c r="X688" s="10" t="str">
        <f aca="false">IF(C688="","",IF(OR(E688="",E688="unknown"),D688,E688))</f>
        <v/>
      </c>
      <c r="Y688" s="10" t="str">
        <f aca="false">IF(C688="","",IF(OR(T688="unsuitable",T688="retired",X688="no"),"—",IF(J688="","unrated",IF(AND(X688="full",J688&gt;=Settings!$C$5,OR(O688="untested",O688&gt;=Settings!$C$6)),"A",IF(AND(OR(X688="full",X688="reduced"),J688&gt;=Settings!$C$7,OR(O688="untested",O688&gt;=Settings!$C$8)),"B","C")))))</f>
        <v/>
      </c>
      <c r="Z688" s="11" t="str">
        <f aca="false">IF(C688="","",IF(P688&lt;&gt;"",P688,Y688))</f>
        <v/>
      </c>
    </row>
    <row r="689" customFormat="false" ht="15" hidden="false" customHeight="false" outlineLevel="0" collapsed="false">
      <c r="A689" s="9"/>
      <c r="B689" s="10" t="str">
        <f aca="false">IF(A689="","",IFERROR(INDEX(Parks!$A$2:$A$255,MATCH(A689,Parks!$B$2:$B$255,0)),"?"))</f>
        <v/>
      </c>
      <c r="C689" s="9"/>
      <c r="D689" s="10" t="str">
        <f aca="false">IF(C689="","",IF(SUMPRODUCT(--ISNUMBER(SEARCH({"Nets","Wicket","Diamond","Softball","T-ball","Baseball","Netball","Tennis","Bocce","Pentaque","Petanque","Skate","Car Park","Pond","Bridle","Amphitheatre","Perimeter","Passive"},C689)))&gt;0,"no",IF(SUMPRODUCT(--ISNUMBER(SEARCH({"Cricket","Junior","Mini","Summer Football","Small"},C689)))&gt;0,"reduced",IF(SUMPRODUCT(--ISNUMBER(SEARCH({"Rugby","Football","League","Touch","Gaelic","Australian","Lacrosse","General Sport","Training Area","Ultimate"},C689)))&gt;0,"full","unknown"))))</f>
        <v/>
      </c>
      <c r="E689" s="9"/>
      <c r="F689" s="9"/>
      <c r="G689" s="9"/>
      <c r="H689" s="9"/>
      <c r="I689" s="12"/>
      <c r="J689" s="9"/>
      <c r="K689" s="9"/>
      <c r="L689" s="9"/>
      <c r="M689" s="9"/>
      <c r="N689" s="9"/>
      <c r="O689" s="13" t="str">
        <f aca="false">IF(C689="","",IF(N(M689)+N(N689)&lt;Settings!$C$9,"untested",M689/(M689+N689)))</f>
        <v/>
      </c>
      <c r="P689" s="9"/>
      <c r="Q689" s="9"/>
      <c r="R689" s="9"/>
      <c r="S689" s="12"/>
      <c r="T689" s="9"/>
      <c r="U689" s="9"/>
      <c r="V689" s="9"/>
      <c r="W689" s="10" t="str">
        <f aca="false">IF(C689="","",IF(OR(G689="training",G689="full"),"Yes",IF(G689="none","No","?")))</f>
        <v/>
      </c>
      <c r="X689" s="10" t="str">
        <f aca="false">IF(C689="","",IF(OR(E689="",E689="unknown"),D689,E689))</f>
        <v/>
      </c>
      <c r="Y689" s="10" t="str">
        <f aca="false">IF(C689="","",IF(OR(T689="unsuitable",T689="retired",X689="no"),"—",IF(J689="","unrated",IF(AND(X689="full",J689&gt;=Settings!$C$5,OR(O689="untested",O689&gt;=Settings!$C$6)),"A",IF(AND(OR(X689="full",X689="reduced"),J689&gt;=Settings!$C$7,OR(O689="untested",O689&gt;=Settings!$C$8)),"B","C")))))</f>
        <v/>
      </c>
      <c r="Z689" s="11" t="str">
        <f aca="false">IF(C689="","",IF(P689&lt;&gt;"",P689,Y689))</f>
        <v/>
      </c>
    </row>
    <row r="690" customFormat="false" ht="15" hidden="false" customHeight="false" outlineLevel="0" collapsed="false">
      <c r="A690" s="9"/>
      <c r="B690" s="10" t="str">
        <f aca="false">IF(A690="","",IFERROR(INDEX(Parks!$A$2:$A$255,MATCH(A690,Parks!$B$2:$B$255,0)),"?"))</f>
        <v/>
      </c>
      <c r="C690" s="9"/>
      <c r="D690" s="10" t="str">
        <f aca="false">IF(C690="","",IF(SUMPRODUCT(--ISNUMBER(SEARCH({"Nets","Wicket","Diamond","Softball","T-ball","Baseball","Netball","Tennis","Bocce","Pentaque","Petanque","Skate","Car Park","Pond","Bridle","Amphitheatre","Perimeter","Passive"},C690)))&gt;0,"no",IF(SUMPRODUCT(--ISNUMBER(SEARCH({"Cricket","Junior","Mini","Summer Football","Small"},C690)))&gt;0,"reduced",IF(SUMPRODUCT(--ISNUMBER(SEARCH({"Rugby","Football","League","Touch","Gaelic","Australian","Lacrosse","General Sport","Training Area","Ultimate"},C690)))&gt;0,"full","unknown"))))</f>
        <v/>
      </c>
      <c r="E690" s="9"/>
      <c r="F690" s="9"/>
      <c r="G690" s="9"/>
      <c r="H690" s="9"/>
      <c r="I690" s="12"/>
      <c r="J690" s="9"/>
      <c r="K690" s="9"/>
      <c r="L690" s="9"/>
      <c r="M690" s="9"/>
      <c r="N690" s="9"/>
      <c r="O690" s="13" t="str">
        <f aca="false">IF(C690="","",IF(N(M690)+N(N690)&lt;Settings!$C$9,"untested",M690/(M690+N690)))</f>
        <v/>
      </c>
      <c r="P690" s="9"/>
      <c r="Q690" s="9"/>
      <c r="R690" s="9"/>
      <c r="S690" s="12"/>
      <c r="T690" s="9"/>
      <c r="U690" s="9"/>
      <c r="V690" s="9"/>
      <c r="W690" s="10" t="str">
        <f aca="false">IF(C690="","",IF(OR(G690="training",G690="full"),"Yes",IF(G690="none","No","?")))</f>
        <v/>
      </c>
      <c r="X690" s="10" t="str">
        <f aca="false">IF(C690="","",IF(OR(E690="",E690="unknown"),D690,E690))</f>
        <v/>
      </c>
      <c r="Y690" s="10" t="str">
        <f aca="false">IF(C690="","",IF(OR(T690="unsuitable",T690="retired",X690="no"),"—",IF(J690="","unrated",IF(AND(X690="full",J690&gt;=Settings!$C$5,OR(O690="untested",O690&gt;=Settings!$C$6)),"A",IF(AND(OR(X690="full",X690="reduced"),J690&gt;=Settings!$C$7,OR(O690="untested",O690&gt;=Settings!$C$8)),"B","C")))))</f>
        <v/>
      </c>
      <c r="Z690" s="11" t="str">
        <f aca="false">IF(C690="","",IF(P690&lt;&gt;"",P690,Y690))</f>
        <v/>
      </c>
    </row>
    <row r="691" customFormat="false" ht="15" hidden="false" customHeight="false" outlineLevel="0" collapsed="false">
      <c r="A691" s="9"/>
      <c r="B691" s="10" t="str">
        <f aca="false">IF(A691="","",IFERROR(INDEX(Parks!$A$2:$A$255,MATCH(A691,Parks!$B$2:$B$255,0)),"?"))</f>
        <v/>
      </c>
      <c r="C691" s="9"/>
      <c r="D691" s="10" t="str">
        <f aca="false">IF(C691="","",IF(SUMPRODUCT(--ISNUMBER(SEARCH({"Nets","Wicket","Diamond","Softball","T-ball","Baseball","Netball","Tennis","Bocce","Pentaque","Petanque","Skate","Car Park","Pond","Bridle","Amphitheatre","Perimeter","Passive"},C691)))&gt;0,"no",IF(SUMPRODUCT(--ISNUMBER(SEARCH({"Cricket","Junior","Mini","Summer Football","Small"},C691)))&gt;0,"reduced",IF(SUMPRODUCT(--ISNUMBER(SEARCH({"Rugby","Football","League","Touch","Gaelic","Australian","Lacrosse","General Sport","Training Area","Ultimate"},C691)))&gt;0,"full","unknown"))))</f>
        <v/>
      </c>
      <c r="E691" s="9"/>
      <c r="F691" s="9"/>
      <c r="G691" s="9"/>
      <c r="H691" s="9"/>
      <c r="I691" s="12"/>
      <c r="J691" s="9"/>
      <c r="K691" s="9"/>
      <c r="L691" s="9"/>
      <c r="M691" s="9"/>
      <c r="N691" s="9"/>
      <c r="O691" s="13" t="str">
        <f aca="false">IF(C691="","",IF(N(M691)+N(N691)&lt;Settings!$C$9,"untested",M691/(M691+N691)))</f>
        <v/>
      </c>
      <c r="P691" s="9"/>
      <c r="Q691" s="9"/>
      <c r="R691" s="9"/>
      <c r="S691" s="12"/>
      <c r="T691" s="9"/>
      <c r="U691" s="9"/>
      <c r="V691" s="9"/>
      <c r="W691" s="10" t="str">
        <f aca="false">IF(C691="","",IF(OR(G691="training",G691="full"),"Yes",IF(G691="none","No","?")))</f>
        <v/>
      </c>
      <c r="X691" s="10" t="str">
        <f aca="false">IF(C691="","",IF(OR(E691="",E691="unknown"),D691,E691))</f>
        <v/>
      </c>
      <c r="Y691" s="10" t="str">
        <f aca="false">IF(C691="","",IF(OR(T691="unsuitable",T691="retired",X691="no"),"—",IF(J691="","unrated",IF(AND(X691="full",J691&gt;=Settings!$C$5,OR(O691="untested",O691&gt;=Settings!$C$6)),"A",IF(AND(OR(X691="full",X691="reduced"),J691&gt;=Settings!$C$7,OR(O691="untested",O691&gt;=Settings!$C$8)),"B","C")))))</f>
        <v/>
      </c>
      <c r="Z691" s="11" t="str">
        <f aca="false">IF(C691="","",IF(P691&lt;&gt;"",P691,Y691))</f>
        <v/>
      </c>
    </row>
    <row r="692" customFormat="false" ht="15" hidden="false" customHeight="false" outlineLevel="0" collapsed="false">
      <c r="A692" s="9"/>
      <c r="B692" s="10" t="str">
        <f aca="false">IF(A692="","",IFERROR(INDEX(Parks!$A$2:$A$255,MATCH(A692,Parks!$B$2:$B$255,0)),"?"))</f>
        <v/>
      </c>
      <c r="C692" s="9"/>
      <c r="D692" s="10" t="str">
        <f aca="false">IF(C692="","",IF(SUMPRODUCT(--ISNUMBER(SEARCH({"Nets","Wicket","Diamond","Softball","T-ball","Baseball","Netball","Tennis","Bocce","Pentaque","Petanque","Skate","Car Park","Pond","Bridle","Amphitheatre","Perimeter","Passive"},C692)))&gt;0,"no",IF(SUMPRODUCT(--ISNUMBER(SEARCH({"Cricket","Junior","Mini","Summer Football","Small"},C692)))&gt;0,"reduced",IF(SUMPRODUCT(--ISNUMBER(SEARCH({"Rugby","Football","League","Touch","Gaelic","Australian","Lacrosse","General Sport","Training Area","Ultimate"},C692)))&gt;0,"full","unknown"))))</f>
        <v/>
      </c>
      <c r="E692" s="9"/>
      <c r="F692" s="9"/>
      <c r="G692" s="9"/>
      <c r="H692" s="9"/>
      <c r="I692" s="12"/>
      <c r="J692" s="9"/>
      <c r="K692" s="9"/>
      <c r="L692" s="9"/>
      <c r="M692" s="9"/>
      <c r="N692" s="9"/>
      <c r="O692" s="13" t="str">
        <f aca="false">IF(C692="","",IF(N(M692)+N(N692)&lt;Settings!$C$9,"untested",M692/(M692+N692)))</f>
        <v/>
      </c>
      <c r="P692" s="9"/>
      <c r="Q692" s="9"/>
      <c r="R692" s="9"/>
      <c r="S692" s="12"/>
      <c r="T692" s="9"/>
      <c r="U692" s="9"/>
      <c r="V692" s="9"/>
      <c r="W692" s="10" t="str">
        <f aca="false">IF(C692="","",IF(OR(G692="training",G692="full"),"Yes",IF(G692="none","No","?")))</f>
        <v/>
      </c>
      <c r="X692" s="10" t="str">
        <f aca="false">IF(C692="","",IF(OR(E692="",E692="unknown"),D692,E692))</f>
        <v/>
      </c>
      <c r="Y692" s="10" t="str">
        <f aca="false">IF(C692="","",IF(OR(T692="unsuitable",T692="retired",X692="no"),"—",IF(J692="","unrated",IF(AND(X692="full",J692&gt;=Settings!$C$5,OR(O692="untested",O692&gt;=Settings!$C$6)),"A",IF(AND(OR(X692="full",X692="reduced"),J692&gt;=Settings!$C$7,OR(O692="untested",O692&gt;=Settings!$C$8)),"B","C")))))</f>
        <v/>
      </c>
      <c r="Z692" s="11" t="str">
        <f aca="false">IF(C692="","",IF(P692&lt;&gt;"",P692,Y692))</f>
        <v/>
      </c>
    </row>
    <row r="693" customFormat="false" ht="15" hidden="false" customHeight="false" outlineLevel="0" collapsed="false">
      <c r="A693" s="9"/>
      <c r="B693" s="10" t="str">
        <f aca="false">IF(A693="","",IFERROR(INDEX(Parks!$A$2:$A$255,MATCH(A693,Parks!$B$2:$B$255,0)),"?"))</f>
        <v/>
      </c>
      <c r="C693" s="9"/>
      <c r="D693" s="10" t="str">
        <f aca="false">IF(C693="","",IF(SUMPRODUCT(--ISNUMBER(SEARCH({"Nets","Wicket","Diamond","Softball","T-ball","Baseball","Netball","Tennis","Bocce","Pentaque","Petanque","Skate","Car Park","Pond","Bridle","Amphitheatre","Perimeter","Passive"},C693)))&gt;0,"no",IF(SUMPRODUCT(--ISNUMBER(SEARCH({"Cricket","Junior","Mini","Summer Football","Small"},C693)))&gt;0,"reduced",IF(SUMPRODUCT(--ISNUMBER(SEARCH({"Rugby","Football","League","Touch","Gaelic","Australian","Lacrosse","General Sport","Training Area","Ultimate"},C693)))&gt;0,"full","unknown"))))</f>
        <v/>
      </c>
      <c r="E693" s="9"/>
      <c r="F693" s="9"/>
      <c r="G693" s="9"/>
      <c r="H693" s="9"/>
      <c r="I693" s="12"/>
      <c r="J693" s="9"/>
      <c r="K693" s="9"/>
      <c r="L693" s="9"/>
      <c r="M693" s="9"/>
      <c r="N693" s="9"/>
      <c r="O693" s="13" t="str">
        <f aca="false">IF(C693="","",IF(N(M693)+N(N693)&lt;Settings!$C$9,"untested",M693/(M693+N693)))</f>
        <v/>
      </c>
      <c r="P693" s="9"/>
      <c r="Q693" s="9"/>
      <c r="R693" s="9"/>
      <c r="S693" s="12"/>
      <c r="T693" s="9"/>
      <c r="U693" s="9"/>
      <c r="V693" s="9"/>
      <c r="W693" s="10" t="str">
        <f aca="false">IF(C693="","",IF(OR(G693="training",G693="full"),"Yes",IF(G693="none","No","?")))</f>
        <v/>
      </c>
      <c r="X693" s="10" t="str">
        <f aca="false">IF(C693="","",IF(OR(E693="",E693="unknown"),D693,E693))</f>
        <v/>
      </c>
      <c r="Y693" s="10" t="str">
        <f aca="false">IF(C693="","",IF(OR(T693="unsuitable",T693="retired",X693="no"),"—",IF(J693="","unrated",IF(AND(X693="full",J693&gt;=Settings!$C$5,OR(O693="untested",O693&gt;=Settings!$C$6)),"A",IF(AND(OR(X693="full",X693="reduced"),J693&gt;=Settings!$C$7,OR(O693="untested",O693&gt;=Settings!$C$8)),"B","C")))))</f>
        <v/>
      </c>
      <c r="Z693" s="11" t="str">
        <f aca="false">IF(C693="","",IF(P693&lt;&gt;"",P693,Y693))</f>
        <v/>
      </c>
    </row>
    <row r="694" customFormat="false" ht="15" hidden="false" customHeight="false" outlineLevel="0" collapsed="false">
      <c r="A694" s="9"/>
      <c r="B694" s="10" t="str">
        <f aca="false">IF(A694="","",IFERROR(INDEX(Parks!$A$2:$A$255,MATCH(A694,Parks!$B$2:$B$255,0)),"?"))</f>
        <v/>
      </c>
      <c r="C694" s="9"/>
      <c r="D694" s="10" t="str">
        <f aca="false">IF(C694="","",IF(SUMPRODUCT(--ISNUMBER(SEARCH({"Nets","Wicket","Diamond","Softball","T-ball","Baseball","Netball","Tennis","Bocce","Pentaque","Petanque","Skate","Car Park","Pond","Bridle","Amphitheatre","Perimeter","Passive"},C694)))&gt;0,"no",IF(SUMPRODUCT(--ISNUMBER(SEARCH({"Cricket","Junior","Mini","Summer Football","Small"},C694)))&gt;0,"reduced",IF(SUMPRODUCT(--ISNUMBER(SEARCH({"Rugby","Football","League","Touch","Gaelic","Australian","Lacrosse","General Sport","Training Area","Ultimate"},C694)))&gt;0,"full","unknown"))))</f>
        <v/>
      </c>
      <c r="E694" s="9"/>
      <c r="F694" s="9"/>
      <c r="G694" s="9"/>
      <c r="H694" s="9"/>
      <c r="I694" s="12"/>
      <c r="J694" s="9"/>
      <c r="K694" s="9"/>
      <c r="L694" s="9"/>
      <c r="M694" s="9"/>
      <c r="N694" s="9"/>
      <c r="O694" s="13" t="str">
        <f aca="false">IF(C694="","",IF(N(M694)+N(N694)&lt;Settings!$C$9,"untested",M694/(M694+N694)))</f>
        <v/>
      </c>
      <c r="P694" s="9"/>
      <c r="Q694" s="9"/>
      <c r="R694" s="9"/>
      <c r="S694" s="12"/>
      <c r="T694" s="9"/>
      <c r="U694" s="9"/>
      <c r="V694" s="9"/>
      <c r="W694" s="10" t="str">
        <f aca="false">IF(C694="","",IF(OR(G694="training",G694="full"),"Yes",IF(G694="none","No","?")))</f>
        <v/>
      </c>
      <c r="X694" s="10" t="str">
        <f aca="false">IF(C694="","",IF(OR(E694="",E694="unknown"),D694,E694))</f>
        <v/>
      </c>
      <c r="Y694" s="10" t="str">
        <f aca="false">IF(C694="","",IF(OR(T694="unsuitable",T694="retired",X694="no"),"—",IF(J694="","unrated",IF(AND(X694="full",J694&gt;=Settings!$C$5,OR(O694="untested",O694&gt;=Settings!$C$6)),"A",IF(AND(OR(X694="full",X694="reduced"),J694&gt;=Settings!$C$7,OR(O694="untested",O694&gt;=Settings!$C$8)),"B","C")))))</f>
        <v/>
      </c>
      <c r="Z694" s="11" t="str">
        <f aca="false">IF(C694="","",IF(P694&lt;&gt;"",P694,Y694))</f>
        <v/>
      </c>
    </row>
    <row r="695" customFormat="false" ht="15" hidden="false" customHeight="false" outlineLevel="0" collapsed="false">
      <c r="A695" s="9"/>
      <c r="B695" s="10" t="str">
        <f aca="false">IF(A695="","",IFERROR(INDEX(Parks!$A$2:$A$255,MATCH(A695,Parks!$B$2:$B$255,0)),"?"))</f>
        <v/>
      </c>
      <c r="C695" s="9"/>
      <c r="D695" s="10" t="str">
        <f aca="false">IF(C695="","",IF(SUMPRODUCT(--ISNUMBER(SEARCH({"Nets","Wicket","Diamond","Softball","T-ball","Baseball","Netball","Tennis","Bocce","Pentaque","Petanque","Skate","Car Park","Pond","Bridle","Amphitheatre","Perimeter","Passive"},C695)))&gt;0,"no",IF(SUMPRODUCT(--ISNUMBER(SEARCH({"Cricket","Junior","Mini","Summer Football","Small"},C695)))&gt;0,"reduced",IF(SUMPRODUCT(--ISNUMBER(SEARCH({"Rugby","Football","League","Touch","Gaelic","Australian","Lacrosse","General Sport","Training Area","Ultimate"},C695)))&gt;0,"full","unknown"))))</f>
        <v/>
      </c>
      <c r="E695" s="9"/>
      <c r="F695" s="9"/>
      <c r="G695" s="9"/>
      <c r="H695" s="9"/>
      <c r="I695" s="12"/>
      <c r="J695" s="9"/>
      <c r="K695" s="9"/>
      <c r="L695" s="9"/>
      <c r="M695" s="9"/>
      <c r="N695" s="9"/>
      <c r="O695" s="13" t="str">
        <f aca="false">IF(C695="","",IF(N(M695)+N(N695)&lt;Settings!$C$9,"untested",M695/(M695+N695)))</f>
        <v/>
      </c>
      <c r="P695" s="9"/>
      <c r="Q695" s="9"/>
      <c r="R695" s="9"/>
      <c r="S695" s="12"/>
      <c r="T695" s="9"/>
      <c r="U695" s="9"/>
      <c r="V695" s="9"/>
      <c r="W695" s="10" t="str">
        <f aca="false">IF(C695="","",IF(OR(G695="training",G695="full"),"Yes",IF(G695="none","No","?")))</f>
        <v/>
      </c>
      <c r="X695" s="10" t="str">
        <f aca="false">IF(C695="","",IF(OR(E695="",E695="unknown"),D695,E695))</f>
        <v/>
      </c>
      <c r="Y695" s="10" t="str">
        <f aca="false">IF(C695="","",IF(OR(T695="unsuitable",T695="retired",X695="no"),"—",IF(J695="","unrated",IF(AND(X695="full",J695&gt;=Settings!$C$5,OR(O695="untested",O695&gt;=Settings!$C$6)),"A",IF(AND(OR(X695="full",X695="reduced"),J695&gt;=Settings!$C$7,OR(O695="untested",O695&gt;=Settings!$C$8)),"B","C")))))</f>
        <v/>
      </c>
      <c r="Z695" s="11" t="str">
        <f aca="false">IF(C695="","",IF(P695&lt;&gt;"",P695,Y695))</f>
        <v/>
      </c>
    </row>
    <row r="696" customFormat="false" ht="15" hidden="false" customHeight="false" outlineLevel="0" collapsed="false">
      <c r="A696" s="9"/>
      <c r="B696" s="10" t="str">
        <f aca="false">IF(A696="","",IFERROR(INDEX(Parks!$A$2:$A$255,MATCH(A696,Parks!$B$2:$B$255,0)),"?"))</f>
        <v/>
      </c>
      <c r="C696" s="9"/>
      <c r="D696" s="10" t="str">
        <f aca="false">IF(C696="","",IF(SUMPRODUCT(--ISNUMBER(SEARCH({"Nets","Wicket","Diamond","Softball","T-ball","Baseball","Netball","Tennis","Bocce","Pentaque","Petanque","Skate","Car Park","Pond","Bridle","Amphitheatre","Perimeter","Passive"},C696)))&gt;0,"no",IF(SUMPRODUCT(--ISNUMBER(SEARCH({"Cricket","Junior","Mini","Summer Football","Small"},C696)))&gt;0,"reduced",IF(SUMPRODUCT(--ISNUMBER(SEARCH({"Rugby","Football","League","Touch","Gaelic","Australian","Lacrosse","General Sport","Training Area","Ultimate"},C696)))&gt;0,"full","unknown"))))</f>
        <v/>
      </c>
      <c r="E696" s="9"/>
      <c r="F696" s="9"/>
      <c r="G696" s="9"/>
      <c r="H696" s="9"/>
      <c r="I696" s="12"/>
      <c r="J696" s="9"/>
      <c r="K696" s="9"/>
      <c r="L696" s="9"/>
      <c r="M696" s="9"/>
      <c r="N696" s="9"/>
      <c r="O696" s="13" t="str">
        <f aca="false">IF(C696="","",IF(N(M696)+N(N696)&lt;Settings!$C$9,"untested",M696/(M696+N696)))</f>
        <v/>
      </c>
      <c r="P696" s="9"/>
      <c r="Q696" s="9"/>
      <c r="R696" s="9"/>
      <c r="S696" s="12"/>
      <c r="T696" s="9"/>
      <c r="U696" s="9"/>
      <c r="V696" s="9"/>
      <c r="W696" s="10" t="str">
        <f aca="false">IF(C696="","",IF(OR(G696="training",G696="full"),"Yes",IF(G696="none","No","?")))</f>
        <v/>
      </c>
      <c r="X696" s="10" t="str">
        <f aca="false">IF(C696="","",IF(OR(E696="",E696="unknown"),D696,E696))</f>
        <v/>
      </c>
      <c r="Y696" s="10" t="str">
        <f aca="false">IF(C696="","",IF(OR(T696="unsuitable",T696="retired",X696="no"),"—",IF(J696="","unrated",IF(AND(X696="full",J696&gt;=Settings!$C$5,OR(O696="untested",O696&gt;=Settings!$C$6)),"A",IF(AND(OR(X696="full",X696="reduced"),J696&gt;=Settings!$C$7,OR(O696="untested",O696&gt;=Settings!$C$8)),"B","C")))))</f>
        <v/>
      </c>
      <c r="Z696" s="11" t="str">
        <f aca="false">IF(C696="","",IF(P696&lt;&gt;"",P696,Y696))</f>
        <v/>
      </c>
    </row>
    <row r="697" customFormat="false" ht="15" hidden="false" customHeight="false" outlineLevel="0" collapsed="false">
      <c r="A697" s="9"/>
      <c r="B697" s="10" t="str">
        <f aca="false">IF(A697="","",IFERROR(INDEX(Parks!$A$2:$A$255,MATCH(A697,Parks!$B$2:$B$255,0)),"?"))</f>
        <v/>
      </c>
      <c r="C697" s="9"/>
      <c r="D697" s="10" t="str">
        <f aca="false">IF(C697="","",IF(SUMPRODUCT(--ISNUMBER(SEARCH({"Nets","Wicket","Diamond","Softball","T-ball","Baseball","Netball","Tennis","Bocce","Pentaque","Petanque","Skate","Car Park","Pond","Bridle","Amphitheatre","Perimeter","Passive"},C697)))&gt;0,"no",IF(SUMPRODUCT(--ISNUMBER(SEARCH({"Cricket","Junior","Mini","Summer Football","Small"},C697)))&gt;0,"reduced",IF(SUMPRODUCT(--ISNUMBER(SEARCH({"Rugby","Football","League","Touch","Gaelic","Australian","Lacrosse","General Sport","Training Area","Ultimate"},C697)))&gt;0,"full","unknown"))))</f>
        <v/>
      </c>
      <c r="E697" s="9"/>
      <c r="F697" s="9"/>
      <c r="G697" s="9"/>
      <c r="H697" s="9"/>
      <c r="I697" s="12"/>
      <c r="J697" s="9"/>
      <c r="K697" s="9"/>
      <c r="L697" s="9"/>
      <c r="M697" s="9"/>
      <c r="N697" s="9"/>
      <c r="O697" s="13" t="str">
        <f aca="false">IF(C697="","",IF(N(M697)+N(N697)&lt;Settings!$C$9,"untested",M697/(M697+N697)))</f>
        <v/>
      </c>
      <c r="P697" s="9"/>
      <c r="Q697" s="9"/>
      <c r="R697" s="9"/>
      <c r="S697" s="12"/>
      <c r="T697" s="9"/>
      <c r="U697" s="9"/>
      <c r="V697" s="9"/>
      <c r="W697" s="10" t="str">
        <f aca="false">IF(C697="","",IF(OR(G697="training",G697="full"),"Yes",IF(G697="none","No","?")))</f>
        <v/>
      </c>
      <c r="X697" s="10" t="str">
        <f aca="false">IF(C697="","",IF(OR(E697="",E697="unknown"),D697,E697))</f>
        <v/>
      </c>
      <c r="Y697" s="10" t="str">
        <f aca="false">IF(C697="","",IF(OR(T697="unsuitable",T697="retired",X697="no"),"—",IF(J697="","unrated",IF(AND(X697="full",J697&gt;=Settings!$C$5,OR(O697="untested",O697&gt;=Settings!$C$6)),"A",IF(AND(OR(X697="full",X697="reduced"),J697&gt;=Settings!$C$7,OR(O697="untested",O697&gt;=Settings!$C$8)),"B","C")))))</f>
        <v/>
      </c>
      <c r="Z697" s="11" t="str">
        <f aca="false">IF(C697="","",IF(P697&lt;&gt;"",P697,Y697))</f>
        <v/>
      </c>
    </row>
    <row r="698" customFormat="false" ht="15" hidden="false" customHeight="false" outlineLevel="0" collapsed="false">
      <c r="A698" s="9"/>
      <c r="B698" s="10" t="str">
        <f aca="false">IF(A698="","",IFERROR(INDEX(Parks!$A$2:$A$255,MATCH(A698,Parks!$B$2:$B$255,0)),"?"))</f>
        <v/>
      </c>
      <c r="C698" s="9"/>
      <c r="D698" s="10" t="str">
        <f aca="false">IF(C698="","",IF(SUMPRODUCT(--ISNUMBER(SEARCH({"Nets","Wicket","Diamond","Softball","T-ball","Baseball","Netball","Tennis","Bocce","Pentaque","Petanque","Skate","Car Park","Pond","Bridle","Amphitheatre","Perimeter","Passive"},C698)))&gt;0,"no",IF(SUMPRODUCT(--ISNUMBER(SEARCH({"Cricket","Junior","Mini","Summer Football","Small"},C698)))&gt;0,"reduced",IF(SUMPRODUCT(--ISNUMBER(SEARCH({"Rugby","Football","League","Touch","Gaelic","Australian","Lacrosse","General Sport","Training Area","Ultimate"},C698)))&gt;0,"full","unknown"))))</f>
        <v/>
      </c>
      <c r="E698" s="9"/>
      <c r="F698" s="9"/>
      <c r="G698" s="9"/>
      <c r="H698" s="9"/>
      <c r="I698" s="12"/>
      <c r="J698" s="9"/>
      <c r="K698" s="9"/>
      <c r="L698" s="9"/>
      <c r="M698" s="9"/>
      <c r="N698" s="9"/>
      <c r="O698" s="13" t="str">
        <f aca="false">IF(C698="","",IF(N(M698)+N(N698)&lt;Settings!$C$9,"untested",M698/(M698+N698)))</f>
        <v/>
      </c>
      <c r="P698" s="9"/>
      <c r="Q698" s="9"/>
      <c r="R698" s="9"/>
      <c r="S698" s="12"/>
      <c r="T698" s="9"/>
      <c r="U698" s="9"/>
      <c r="V698" s="9"/>
      <c r="W698" s="10" t="str">
        <f aca="false">IF(C698="","",IF(OR(G698="training",G698="full"),"Yes",IF(G698="none","No","?")))</f>
        <v/>
      </c>
      <c r="X698" s="10" t="str">
        <f aca="false">IF(C698="","",IF(OR(E698="",E698="unknown"),D698,E698))</f>
        <v/>
      </c>
      <c r="Y698" s="10" t="str">
        <f aca="false">IF(C698="","",IF(OR(T698="unsuitable",T698="retired",X698="no"),"—",IF(J698="","unrated",IF(AND(X698="full",J698&gt;=Settings!$C$5,OR(O698="untested",O698&gt;=Settings!$C$6)),"A",IF(AND(OR(X698="full",X698="reduced"),J698&gt;=Settings!$C$7,OR(O698="untested",O698&gt;=Settings!$C$8)),"B","C")))))</f>
        <v/>
      </c>
      <c r="Z698" s="11" t="str">
        <f aca="false">IF(C698="","",IF(P698&lt;&gt;"",P698,Y698))</f>
        <v/>
      </c>
    </row>
    <row r="699" customFormat="false" ht="15" hidden="false" customHeight="false" outlineLevel="0" collapsed="false">
      <c r="A699" s="9"/>
      <c r="B699" s="10" t="str">
        <f aca="false">IF(A699="","",IFERROR(INDEX(Parks!$A$2:$A$255,MATCH(A699,Parks!$B$2:$B$255,0)),"?"))</f>
        <v/>
      </c>
      <c r="C699" s="9"/>
      <c r="D699" s="10" t="str">
        <f aca="false">IF(C699="","",IF(SUMPRODUCT(--ISNUMBER(SEARCH({"Nets","Wicket","Diamond","Softball","T-ball","Baseball","Netball","Tennis","Bocce","Pentaque","Petanque","Skate","Car Park","Pond","Bridle","Amphitheatre","Perimeter","Passive"},C699)))&gt;0,"no",IF(SUMPRODUCT(--ISNUMBER(SEARCH({"Cricket","Junior","Mini","Summer Football","Small"},C699)))&gt;0,"reduced",IF(SUMPRODUCT(--ISNUMBER(SEARCH({"Rugby","Football","League","Touch","Gaelic","Australian","Lacrosse","General Sport","Training Area","Ultimate"},C699)))&gt;0,"full","unknown"))))</f>
        <v/>
      </c>
      <c r="E699" s="9"/>
      <c r="F699" s="9"/>
      <c r="G699" s="9"/>
      <c r="H699" s="9"/>
      <c r="I699" s="12"/>
      <c r="J699" s="9"/>
      <c r="K699" s="9"/>
      <c r="L699" s="9"/>
      <c r="M699" s="9"/>
      <c r="N699" s="9"/>
      <c r="O699" s="13" t="str">
        <f aca="false">IF(C699="","",IF(N(M699)+N(N699)&lt;Settings!$C$9,"untested",M699/(M699+N699)))</f>
        <v/>
      </c>
      <c r="P699" s="9"/>
      <c r="Q699" s="9"/>
      <c r="R699" s="9"/>
      <c r="S699" s="12"/>
      <c r="T699" s="9"/>
      <c r="U699" s="9"/>
      <c r="V699" s="9"/>
      <c r="W699" s="10" t="str">
        <f aca="false">IF(C699="","",IF(OR(G699="training",G699="full"),"Yes",IF(G699="none","No","?")))</f>
        <v/>
      </c>
      <c r="X699" s="10" t="str">
        <f aca="false">IF(C699="","",IF(OR(E699="",E699="unknown"),D699,E699))</f>
        <v/>
      </c>
      <c r="Y699" s="10" t="str">
        <f aca="false">IF(C699="","",IF(OR(T699="unsuitable",T699="retired",X699="no"),"—",IF(J699="","unrated",IF(AND(X699="full",J699&gt;=Settings!$C$5,OR(O699="untested",O699&gt;=Settings!$C$6)),"A",IF(AND(OR(X699="full",X699="reduced"),J699&gt;=Settings!$C$7,OR(O699="untested",O699&gt;=Settings!$C$8)),"B","C")))))</f>
        <v/>
      </c>
      <c r="Z699" s="11" t="str">
        <f aca="false">IF(C699="","",IF(P699&lt;&gt;"",P699,Y699))</f>
        <v/>
      </c>
    </row>
    <row r="700" customFormat="false" ht="15" hidden="false" customHeight="false" outlineLevel="0" collapsed="false">
      <c r="A700" s="9"/>
      <c r="B700" s="10" t="str">
        <f aca="false">IF(A700="","",IFERROR(INDEX(Parks!$A$2:$A$255,MATCH(A700,Parks!$B$2:$B$255,0)),"?"))</f>
        <v/>
      </c>
      <c r="C700" s="9"/>
      <c r="D700" s="10" t="str">
        <f aca="false">IF(C700="","",IF(SUMPRODUCT(--ISNUMBER(SEARCH({"Nets","Wicket","Diamond","Softball","T-ball","Baseball","Netball","Tennis","Bocce","Pentaque","Petanque","Skate","Car Park","Pond","Bridle","Amphitheatre","Perimeter","Passive"},C700)))&gt;0,"no",IF(SUMPRODUCT(--ISNUMBER(SEARCH({"Cricket","Junior","Mini","Summer Football","Small"},C700)))&gt;0,"reduced",IF(SUMPRODUCT(--ISNUMBER(SEARCH({"Rugby","Football","League","Touch","Gaelic","Australian","Lacrosse","General Sport","Training Area","Ultimate"},C700)))&gt;0,"full","unknown"))))</f>
        <v/>
      </c>
      <c r="E700" s="9"/>
      <c r="F700" s="9"/>
      <c r="G700" s="9"/>
      <c r="H700" s="9"/>
      <c r="I700" s="12"/>
      <c r="J700" s="9"/>
      <c r="K700" s="9"/>
      <c r="L700" s="9"/>
      <c r="M700" s="9"/>
      <c r="N700" s="9"/>
      <c r="O700" s="13" t="str">
        <f aca="false">IF(C700="","",IF(N(M700)+N(N700)&lt;Settings!$C$9,"untested",M700/(M700+N700)))</f>
        <v/>
      </c>
      <c r="P700" s="9"/>
      <c r="Q700" s="9"/>
      <c r="R700" s="9"/>
      <c r="S700" s="12"/>
      <c r="T700" s="9"/>
      <c r="U700" s="9"/>
      <c r="V700" s="9"/>
      <c r="W700" s="10" t="str">
        <f aca="false">IF(C700="","",IF(OR(G700="training",G700="full"),"Yes",IF(G700="none","No","?")))</f>
        <v/>
      </c>
      <c r="X700" s="10" t="str">
        <f aca="false">IF(C700="","",IF(OR(E700="",E700="unknown"),D700,E700))</f>
        <v/>
      </c>
      <c r="Y700" s="10" t="str">
        <f aca="false">IF(C700="","",IF(OR(T700="unsuitable",T700="retired",X700="no"),"—",IF(J700="","unrated",IF(AND(X700="full",J700&gt;=Settings!$C$5,OR(O700="untested",O700&gt;=Settings!$C$6)),"A",IF(AND(OR(X700="full",X700="reduced"),J700&gt;=Settings!$C$7,OR(O700="untested",O700&gt;=Settings!$C$8)),"B","C")))))</f>
        <v/>
      </c>
      <c r="Z700" s="11" t="str">
        <f aca="false">IF(C700="","",IF(P700&lt;&gt;"",P700,Y700))</f>
        <v/>
      </c>
    </row>
    <row r="701" customFormat="false" ht="15" hidden="false" customHeight="false" outlineLevel="0" collapsed="false">
      <c r="A701" s="9"/>
      <c r="B701" s="10" t="str">
        <f aca="false">IF(A701="","",IFERROR(INDEX(Parks!$A$2:$A$255,MATCH(A701,Parks!$B$2:$B$255,0)),"?"))</f>
        <v/>
      </c>
      <c r="C701" s="9"/>
      <c r="D701" s="10" t="str">
        <f aca="false">IF(C701="","",IF(SUMPRODUCT(--ISNUMBER(SEARCH({"Nets","Wicket","Diamond","Softball","T-ball","Baseball","Netball","Tennis","Bocce","Pentaque","Petanque","Skate","Car Park","Pond","Bridle","Amphitheatre","Perimeter","Passive"},C701)))&gt;0,"no",IF(SUMPRODUCT(--ISNUMBER(SEARCH({"Cricket","Junior","Mini","Summer Football","Small"},C701)))&gt;0,"reduced",IF(SUMPRODUCT(--ISNUMBER(SEARCH({"Rugby","Football","League","Touch","Gaelic","Australian","Lacrosse","General Sport","Training Area","Ultimate"},C701)))&gt;0,"full","unknown"))))</f>
        <v/>
      </c>
      <c r="E701" s="9"/>
      <c r="F701" s="9"/>
      <c r="G701" s="9"/>
      <c r="H701" s="9"/>
      <c r="I701" s="12"/>
      <c r="J701" s="9"/>
      <c r="K701" s="9"/>
      <c r="L701" s="9"/>
      <c r="M701" s="9"/>
      <c r="N701" s="9"/>
      <c r="O701" s="13" t="str">
        <f aca="false">IF(C701="","",IF(N(M701)+N(N701)&lt;Settings!$C$9,"untested",M701/(M701+N701)))</f>
        <v/>
      </c>
      <c r="P701" s="9"/>
      <c r="Q701" s="9"/>
      <c r="R701" s="9"/>
      <c r="S701" s="12"/>
      <c r="T701" s="9"/>
      <c r="U701" s="9"/>
      <c r="V701" s="9"/>
      <c r="W701" s="10" t="str">
        <f aca="false">IF(C701="","",IF(OR(G701="training",G701="full"),"Yes",IF(G701="none","No","?")))</f>
        <v/>
      </c>
      <c r="X701" s="10" t="str">
        <f aca="false">IF(C701="","",IF(OR(E701="",E701="unknown"),D701,E701))</f>
        <v/>
      </c>
      <c r="Y701" s="10" t="str">
        <f aca="false">IF(C701="","",IF(OR(T701="unsuitable",T701="retired",X701="no"),"—",IF(J701="","unrated",IF(AND(X701="full",J701&gt;=Settings!$C$5,OR(O701="untested",O701&gt;=Settings!$C$6)),"A",IF(AND(OR(X701="full",X701="reduced"),J701&gt;=Settings!$C$7,OR(O701="untested",O701&gt;=Settings!$C$8)),"B","C")))))</f>
        <v/>
      </c>
      <c r="Z701" s="11" t="str">
        <f aca="false">IF(C701="","",IF(P701&lt;&gt;"",P701,Y701))</f>
        <v/>
      </c>
    </row>
    <row r="702" customFormat="false" ht="15" hidden="false" customHeight="false" outlineLevel="0" collapsed="false">
      <c r="A702" s="9"/>
      <c r="B702" s="10" t="str">
        <f aca="false">IF(A702="","",IFERROR(INDEX(Parks!$A$2:$A$255,MATCH(A702,Parks!$B$2:$B$255,0)),"?"))</f>
        <v/>
      </c>
      <c r="C702" s="9"/>
      <c r="D702" s="10" t="str">
        <f aca="false">IF(C702="","",IF(SUMPRODUCT(--ISNUMBER(SEARCH({"Nets","Wicket","Diamond","Softball","T-ball","Baseball","Netball","Tennis","Bocce","Pentaque","Petanque","Skate","Car Park","Pond","Bridle","Amphitheatre","Perimeter","Passive"},C702)))&gt;0,"no",IF(SUMPRODUCT(--ISNUMBER(SEARCH({"Cricket","Junior","Mini","Summer Football","Small"},C702)))&gt;0,"reduced",IF(SUMPRODUCT(--ISNUMBER(SEARCH({"Rugby","Football","League","Touch","Gaelic","Australian","Lacrosse","General Sport","Training Area","Ultimate"},C702)))&gt;0,"full","unknown"))))</f>
        <v/>
      </c>
      <c r="E702" s="9"/>
      <c r="F702" s="9"/>
      <c r="G702" s="9"/>
      <c r="H702" s="9"/>
      <c r="I702" s="12"/>
      <c r="J702" s="9"/>
      <c r="K702" s="9"/>
      <c r="L702" s="9"/>
      <c r="M702" s="9"/>
      <c r="N702" s="9"/>
      <c r="O702" s="13" t="str">
        <f aca="false">IF(C702="","",IF(N(M702)+N(N702)&lt;Settings!$C$9,"untested",M702/(M702+N702)))</f>
        <v/>
      </c>
      <c r="P702" s="9"/>
      <c r="Q702" s="9"/>
      <c r="R702" s="9"/>
      <c r="S702" s="12"/>
      <c r="T702" s="9"/>
      <c r="U702" s="9"/>
      <c r="V702" s="9"/>
      <c r="W702" s="10" t="str">
        <f aca="false">IF(C702="","",IF(OR(G702="training",G702="full"),"Yes",IF(G702="none","No","?")))</f>
        <v/>
      </c>
      <c r="X702" s="10" t="str">
        <f aca="false">IF(C702="","",IF(OR(E702="",E702="unknown"),D702,E702))</f>
        <v/>
      </c>
      <c r="Y702" s="10" t="str">
        <f aca="false">IF(C702="","",IF(OR(T702="unsuitable",T702="retired",X702="no"),"—",IF(J702="","unrated",IF(AND(X702="full",J702&gt;=Settings!$C$5,OR(O702="untested",O702&gt;=Settings!$C$6)),"A",IF(AND(OR(X702="full",X702="reduced"),J702&gt;=Settings!$C$7,OR(O702="untested",O702&gt;=Settings!$C$8)),"B","C")))))</f>
        <v/>
      </c>
      <c r="Z702" s="11" t="str">
        <f aca="false">IF(C702="","",IF(P702&lt;&gt;"",P702,Y702))</f>
        <v/>
      </c>
    </row>
    <row r="703" customFormat="false" ht="15" hidden="false" customHeight="false" outlineLevel="0" collapsed="false">
      <c r="A703" s="9"/>
      <c r="B703" s="10" t="str">
        <f aca="false">IF(A703="","",IFERROR(INDEX(Parks!$A$2:$A$255,MATCH(A703,Parks!$B$2:$B$255,0)),"?"))</f>
        <v/>
      </c>
      <c r="C703" s="9"/>
      <c r="D703" s="10" t="str">
        <f aca="false">IF(C703="","",IF(SUMPRODUCT(--ISNUMBER(SEARCH({"Nets","Wicket","Diamond","Softball","T-ball","Baseball","Netball","Tennis","Bocce","Pentaque","Petanque","Skate","Car Park","Pond","Bridle","Amphitheatre","Perimeter","Passive"},C703)))&gt;0,"no",IF(SUMPRODUCT(--ISNUMBER(SEARCH({"Cricket","Junior","Mini","Summer Football","Small"},C703)))&gt;0,"reduced",IF(SUMPRODUCT(--ISNUMBER(SEARCH({"Rugby","Football","League","Touch","Gaelic","Australian","Lacrosse","General Sport","Training Area","Ultimate"},C703)))&gt;0,"full","unknown"))))</f>
        <v/>
      </c>
      <c r="E703" s="9"/>
      <c r="F703" s="9"/>
      <c r="G703" s="9"/>
      <c r="H703" s="9"/>
      <c r="I703" s="12"/>
      <c r="J703" s="9"/>
      <c r="K703" s="9"/>
      <c r="L703" s="9"/>
      <c r="M703" s="9"/>
      <c r="N703" s="9"/>
      <c r="O703" s="13" t="str">
        <f aca="false">IF(C703="","",IF(N(M703)+N(N703)&lt;Settings!$C$9,"untested",M703/(M703+N703)))</f>
        <v/>
      </c>
      <c r="P703" s="9"/>
      <c r="Q703" s="9"/>
      <c r="R703" s="9"/>
      <c r="S703" s="12"/>
      <c r="T703" s="9"/>
      <c r="U703" s="9"/>
      <c r="V703" s="9"/>
      <c r="W703" s="10" t="str">
        <f aca="false">IF(C703="","",IF(OR(G703="training",G703="full"),"Yes",IF(G703="none","No","?")))</f>
        <v/>
      </c>
      <c r="X703" s="10" t="str">
        <f aca="false">IF(C703="","",IF(OR(E703="",E703="unknown"),D703,E703))</f>
        <v/>
      </c>
      <c r="Y703" s="10" t="str">
        <f aca="false">IF(C703="","",IF(OR(T703="unsuitable",T703="retired",X703="no"),"—",IF(J703="","unrated",IF(AND(X703="full",J703&gt;=Settings!$C$5,OR(O703="untested",O703&gt;=Settings!$C$6)),"A",IF(AND(OR(X703="full",X703="reduced"),J703&gt;=Settings!$C$7,OR(O703="untested",O703&gt;=Settings!$C$8)),"B","C")))))</f>
        <v/>
      </c>
      <c r="Z703" s="11" t="str">
        <f aca="false">IF(C703="","",IF(P703&lt;&gt;"",P703,Y703))</f>
        <v/>
      </c>
    </row>
    <row r="704" customFormat="false" ht="15" hidden="false" customHeight="false" outlineLevel="0" collapsed="false">
      <c r="A704" s="9"/>
      <c r="B704" s="10" t="str">
        <f aca="false">IF(A704="","",IFERROR(INDEX(Parks!$A$2:$A$255,MATCH(A704,Parks!$B$2:$B$255,0)),"?"))</f>
        <v/>
      </c>
      <c r="C704" s="9"/>
      <c r="D704" s="10" t="str">
        <f aca="false">IF(C704="","",IF(SUMPRODUCT(--ISNUMBER(SEARCH({"Nets","Wicket","Diamond","Softball","T-ball","Baseball","Netball","Tennis","Bocce","Pentaque","Petanque","Skate","Car Park","Pond","Bridle","Amphitheatre","Perimeter","Passive"},C704)))&gt;0,"no",IF(SUMPRODUCT(--ISNUMBER(SEARCH({"Cricket","Junior","Mini","Summer Football","Small"},C704)))&gt;0,"reduced",IF(SUMPRODUCT(--ISNUMBER(SEARCH({"Rugby","Football","League","Touch","Gaelic","Australian","Lacrosse","General Sport","Training Area","Ultimate"},C704)))&gt;0,"full","unknown"))))</f>
        <v/>
      </c>
      <c r="E704" s="9"/>
      <c r="F704" s="9"/>
      <c r="G704" s="9"/>
      <c r="H704" s="9"/>
      <c r="I704" s="12"/>
      <c r="J704" s="9"/>
      <c r="K704" s="9"/>
      <c r="L704" s="9"/>
      <c r="M704" s="9"/>
      <c r="N704" s="9"/>
      <c r="O704" s="13" t="str">
        <f aca="false">IF(C704="","",IF(N(M704)+N(N704)&lt;Settings!$C$9,"untested",M704/(M704+N704)))</f>
        <v/>
      </c>
      <c r="P704" s="9"/>
      <c r="Q704" s="9"/>
      <c r="R704" s="9"/>
      <c r="S704" s="12"/>
      <c r="T704" s="9"/>
      <c r="U704" s="9"/>
      <c r="V704" s="9"/>
      <c r="W704" s="10" t="str">
        <f aca="false">IF(C704="","",IF(OR(G704="training",G704="full"),"Yes",IF(G704="none","No","?")))</f>
        <v/>
      </c>
      <c r="X704" s="10" t="str">
        <f aca="false">IF(C704="","",IF(OR(E704="",E704="unknown"),D704,E704))</f>
        <v/>
      </c>
      <c r="Y704" s="10" t="str">
        <f aca="false">IF(C704="","",IF(OR(T704="unsuitable",T704="retired",X704="no"),"—",IF(J704="","unrated",IF(AND(X704="full",J704&gt;=Settings!$C$5,OR(O704="untested",O704&gt;=Settings!$C$6)),"A",IF(AND(OR(X704="full",X704="reduced"),J704&gt;=Settings!$C$7,OR(O704="untested",O704&gt;=Settings!$C$8)),"B","C")))))</f>
        <v/>
      </c>
      <c r="Z704" s="11" t="str">
        <f aca="false">IF(C704="","",IF(P704&lt;&gt;"",P704,Y704))</f>
        <v/>
      </c>
    </row>
    <row r="705" customFormat="false" ht="15" hidden="false" customHeight="false" outlineLevel="0" collapsed="false">
      <c r="A705" s="9"/>
      <c r="B705" s="10" t="str">
        <f aca="false">IF(A705="","",IFERROR(INDEX(Parks!$A$2:$A$255,MATCH(A705,Parks!$B$2:$B$255,0)),"?"))</f>
        <v/>
      </c>
      <c r="C705" s="9"/>
      <c r="D705" s="10" t="str">
        <f aca="false">IF(C705="","",IF(SUMPRODUCT(--ISNUMBER(SEARCH({"Nets","Wicket","Diamond","Softball","T-ball","Baseball","Netball","Tennis","Bocce","Pentaque","Petanque","Skate","Car Park","Pond","Bridle","Amphitheatre","Perimeter","Passive"},C705)))&gt;0,"no",IF(SUMPRODUCT(--ISNUMBER(SEARCH({"Cricket","Junior","Mini","Summer Football","Small"},C705)))&gt;0,"reduced",IF(SUMPRODUCT(--ISNUMBER(SEARCH({"Rugby","Football","League","Touch","Gaelic","Australian","Lacrosse","General Sport","Training Area","Ultimate"},C705)))&gt;0,"full","unknown"))))</f>
        <v/>
      </c>
      <c r="E705" s="9"/>
      <c r="F705" s="9"/>
      <c r="G705" s="9"/>
      <c r="H705" s="9"/>
      <c r="I705" s="12"/>
      <c r="J705" s="9"/>
      <c r="K705" s="9"/>
      <c r="L705" s="9"/>
      <c r="M705" s="9"/>
      <c r="N705" s="9"/>
      <c r="O705" s="13" t="str">
        <f aca="false">IF(C705="","",IF(N(M705)+N(N705)&lt;Settings!$C$9,"untested",M705/(M705+N705)))</f>
        <v/>
      </c>
      <c r="P705" s="9"/>
      <c r="Q705" s="9"/>
      <c r="R705" s="9"/>
      <c r="S705" s="12"/>
      <c r="T705" s="9"/>
      <c r="U705" s="9"/>
      <c r="V705" s="9"/>
      <c r="W705" s="10" t="str">
        <f aca="false">IF(C705="","",IF(OR(G705="training",G705="full"),"Yes",IF(G705="none","No","?")))</f>
        <v/>
      </c>
      <c r="X705" s="10" t="str">
        <f aca="false">IF(C705="","",IF(OR(E705="",E705="unknown"),D705,E705))</f>
        <v/>
      </c>
      <c r="Y705" s="10" t="str">
        <f aca="false">IF(C705="","",IF(OR(T705="unsuitable",T705="retired",X705="no"),"—",IF(J705="","unrated",IF(AND(X705="full",J705&gt;=Settings!$C$5,OR(O705="untested",O705&gt;=Settings!$C$6)),"A",IF(AND(OR(X705="full",X705="reduced"),J705&gt;=Settings!$C$7,OR(O705="untested",O705&gt;=Settings!$C$8)),"B","C")))))</f>
        <v/>
      </c>
      <c r="Z705" s="11" t="str">
        <f aca="false">IF(C705="","",IF(P705&lt;&gt;"",P705,Y705))</f>
        <v/>
      </c>
    </row>
    <row r="706" customFormat="false" ht="15" hidden="false" customHeight="false" outlineLevel="0" collapsed="false">
      <c r="A706" s="9"/>
      <c r="B706" s="10" t="str">
        <f aca="false">IF(A706="","",IFERROR(INDEX(Parks!$A$2:$A$255,MATCH(A706,Parks!$B$2:$B$255,0)),"?"))</f>
        <v/>
      </c>
      <c r="C706" s="9"/>
      <c r="D706" s="10" t="str">
        <f aca="false">IF(C706="","",IF(SUMPRODUCT(--ISNUMBER(SEARCH({"Nets","Wicket","Diamond","Softball","T-ball","Baseball","Netball","Tennis","Bocce","Pentaque","Petanque","Skate","Car Park","Pond","Bridle","Amphitheatre","Perimeter","Passive"},C706)))&gt;0,"no",IF(SUMPRODUCT(--ISNUMBER(SEARCH({"Cricket","Junior","Mini","Summer Football","Small"},C706)))&gt;0,"reduced",IF(SUMPRODUCT(--ISNUMBER(SEARCH({"Rugby","Football","League","Touch","Gaelic","Australian","Lacrosse","General Sport","Training Area","Ultimate"},C706)))&gt;0,"full","unknown"))))</f>
        <v/>
      </c>
      <c r="E706" s="9"/>
      <c r="F706" s="9"/>
      <c r="G706" s="9"/>
      <c r="H706" s="9"/>
      <c r="I706" s="12"/>
      <c r="J706" s="9"/>
      <c r="K706" s="9"/>
      <c r="L706" s="9"/>
      <c r="M706" s="9"/>
      <c r="N706" s="9"/>
      <c r="O706" s="13" t="str">
        <f aca="false">IF(C706="","",IF(N(M706)+N(N706)&lt;Settings!$C$9,"untested",M706/(M706+N706)))</f>
        <v/>
      </c>
      <c r="P706" s="9"/>
      <c r="Q706" s="9"/>
      <c r="R706" s="9"/>
      <c r="S706" s="12"/>
      <c r="T706" s="9"/>
      <c r="U706" s="9"/>
      <c r="V706" s="9"/>
      <c r="W706" s="10" t="str">
        <f aca="false">IF(C706="","",IF(OR(G706="training",G706="full"),"Yes",IF(G706="none","No","?")))</f>
        <v/>
      </c>
      <c r="X706" s="10" t="str">
        <f aca="false">IF(C706="","",IF(OR(E706="",E706="unknown"),D706,E706))</f>
        <v/>
      </c>
      <c r="Y706" s="10" t="str">
        <f aca="false">IF(C706="","",IF(OR(T706="unsuitable",T706="retired",X706="no"),"—",IF(J706="","unrated",IF(AND(X706="full",J706&gt;=Settings!$C$5,OR(O706="untested",O706&gt;=Settings!$C$6)),"A",IF(AND(OR(X706="full",X706="reduced"),J706&gt;=Settings!$C$7,OR(O706="untested",O706&gt;=Settings!$C$8)),"B","C")))))</f>
        <v/>
      </c>
      <c r="Z706" s="11" t="str">
        <f aca="false">IF(C706="","",IF(P706&lt;&gt;"",P706,Y706))</f>
        <v/>
      </c>
    </row>
    <row r="707" customFormat="false" ht="15" hidden="false" customHeight="false" outlineLevel="0" collapsed="false">
      <c r="A707" s="9"/>
      <c r="B707" s="10" t="str">
        <f aca="false">IF(A707="","",IFERROR(INDEX(Parks!$A$2:$A$255,MATCH(A707,Parks!$B$2:$B$255,0)),"?"))</f>
        <v/>
      </c>
      <c r="C707" s="9"/>
      <c r="D707" s="10" t="str">
        <f aca="false">IF(C707="","",IF(SUMPRODUCT(--ISNUMBER(SEARCH({"Nets","Wicket","Diamond","Softball","T-ball","Baseball","Netball","Tennis","Bocce","Pentaque","Petanque","Skate","Car Park","Pond","Bridle","Amphitheatre","Perimeter","Passive"},C707)))&gt;0,"no",IF(SUMPRODUCT(--ISNUMBER(SEARCH({"Cricket","Junior","Mini","Summer Football","Small"},C707)))&gt;0,"reduced",IF(SUMPRODUCT(--ISNUMBER(SEARCH({"Rugby","Football","League","Touch","Gaelic","Australian","Lacrosse","General Sport","Training Area","Ultimate"},C707)))&gt;0,"full","unknown"))))</f>
        <v/>
      </c>
      <c r="E707" s="9"/>
      <c r="F707" s="9"/>
      <c r="G707" s="9"/>
      <c r="H707" s="9"/>
      <c r="I707" s="12"/>
      <c r="J707" s="9"/>
      <c r="K707" s="9"/>
      <c r="L707" s="9"/>
      <c r="M707" s="9"/>
      <c r="N707" s="9"/>
      <c r="O707" s="13" t="str">
        <f aca="false">IF(C707="","",IF(N(M707)+N(N707)&lt;Settings!$C$9,"untested",M707/(M707+N707)))</f>
        <v/>
      </c>
      <c r="P707" s="9"/>
      <c r="Q707" s="9"/>
      <c r="R707" s="9"/>
      <c r="S707" s="12"/>
      <c r="T707" s="9"/>
      <c r="U707" s="9"/>
      <c r="V707" s="9"/>
      <c r="W707" s="10" t="str">
        <f aca="false">IF(C707="","",IF(OR(G707="training",G707="full"),"Yes",IF(G707="none","No","?")))</f>
        <v/>
      </c>
      <c r="X707" s="10" t="str">
        <f aca="false">IF(C707="","",IF(OR(E707="",E707="unknown"),D707,E707))</f>
        <v/>
      </c>
      <c r="Y707" s="10" t="str">
        <f aca="false">IF(C707="","",IF(OR(T707="unsuitable",T707="retired",X707="no"),"—",IF(J707="","unrated",IF(AND(X707="full",J707&gt;=Settings!$C$5,OR(O707="untested",O707&gt;=Settings!$C$6)),"A",IF(AND(OR(X707="full",X707="reduced"),J707&gt;=Settings!$C$7,OR(O707="untested",O707&gt;=Settings!$C$8)),"B","C")))))</f>
        <v/>
      </c>
      <c r="Z707" s="11" t="str">
        <f aca="false">IF(C707="","",IF(P707&lt;&gt;"",P707,Y707))</f>
        <v/>
      </c>
    </row>
    <row r="708" customFormat="false" ht="15" hidden="false" customHeight="false" outlineLevel="0" collapsed="false">
      <c r="A708" s="9"/>
      <c r="B708" s="10" t="str">
        <f aca="false">IF(A708="","",IFERROR(INDEX(Parks!$A$2:$A$255,MATCH(A708,Parks!$B$2:$B$255,0)),"?"))</f>
        <v/>
      </c>
      <c r="C708" s="9"/>
      <c r="D708" s="10" t="str">
        <f aca="false">IF(C708="","",IF(SUMPRODUCT(--ISNUMBER(SEARCH({"Nets","Wicket","Diamond","Softball","T-ball","Baseball","Netball","Tennis","Bocce","Pentaque","Petanque","Skate","Car Park","Pond","Bridle","Amphitheatre","Perimeter","Passive"},C708)))&gt;0,"no",IF(SUMPRODUCT(--ISNUMBER(SEARCH({"Cricket","Junior","Mini","Summer Football","Small"},C708)))&gt;0,"reduced",IF(SUMPRODUCT(--ISNUMBER(SEARCH({"Rugby","Football","League","Touch","Gaelic","Australian","Lacrosse","General Sport","Training Area","Ultimate"},C708)))&gt;0,"full","unknown"))))</f>
        <v/>
      </c>
      <c r="E708" s="9"/>
      <c r="F708" s="9"/>
      <c r="G708" s="9"/>
      <c r="H708" s="9"/>
      <c r="I708" s="12"/>
      <c r="J708" s="9"/>
      <c r="K708" s="9"/>
      <c r="L708" s="9"/>
      <c r="M708" s="9"/>
      <c r="N708" s="9"/>
      <c r="O708" s="13" t="str">
        <f aca="false">IF(C708="","",IF(N(M708)+N(N708)&lt;Settings!$C$9,"untested",M708/(M708+N708)))</f>
        <v/>
      </c>
      <c r="P708" s="9"/>
      <c r="Q708" s="9"/>
      <c r="R708" s="9"/>
      <c r="S708" s="12"/>
      <c r="T708" s="9"/>
      <c r="U708" s="9"/>
      <c r="V708" s="9"/>
      <c r="W708" s="10" t="str">
        <f aca="false">IF(C708="","",IF(OR(G708="training",G708="full"),"Yes",IF(G708="none","No","?")))</f>
        <v/>
      </c>
      <c r="X708" s="10" t="str">
        <f aca="false">IF(C708="","",IF(OR(E708="",E708="unknown"),D708,E708))</f>
        <v/>
      </c>
      <c r="Y708" s="10" t="str">
        <f aca="false">IF(C708="","",IF(OR(T708="unsuitable",T708="retired",X708="no"),"—",IF(J708="","unrated",IF(AND(X708="full",J708&gt;=Settings!$C$5,OR(O708="untested",O708&gt;=Settings!$C$6)),"A",IF(AND(OR(X708="full",X708="reduced"),J708&gt;=Settings!$C$7,OR(O708="untested",O708&gt;=Settings!$C$8)),"B","C")))))</f>
        <v/>
      </c>
      <c r="Z708" s="11" t="str">
        <f aca="false">IF(C708="","",IF(P708&lt;&gt;"",P708,Y708))</f>
        <v/>
      </c>
    </row>
    <row r="709" customFormat="false" ht="15" hidden="false" customHeight="false" outlineLevel="0" collapsed="false">
      <c r="A709" s="9"/>
      <c r="B709" s="10" t="str">
        <f aca="false">IF(A709="","",IFERROR(INDEX(Parks!$A$2:$A$255,MATCH(A709,Parks!$B$2:$B$255,0)),"?"))</f>
        <v/>
      </c>
      <c r="C709" s="9"/>
      <c r="D709" s="10" t="str">
        <f aca="false">IF(C709="","",IF(SUMPRODUCT(--ISNUMBER(SEARCH({"Nets","Wicket","Diamond","Softball","T-ball","Baseball","Netball","Tennis","Bocce","Pentaque","Petanque","Skate","Car Park","Pond","Bridle","Amphitheatre","Perimeter","Passive"},C709)))&gt;0,"no",IF(SUMPRODUCT(--ISNUMBER(SEARCH({"Cricket","Junior","Mini","Summer Football","Small"},C709)))&gt;0,"reduced",IF(SUMPRODUCT(--ISNUMBER(SEARCH({"Rugby","Football","League","Touch","Gaelic","Australian","Lacrosse","General Sport","Training Area","Ultimate"},C709)))&gt;0,"full","unknown"))))</f>
        <v/>
      </c>
      <c r="E709" s="9"/>
      <c r="F709" s="9"/>
      <c r="G709" s="9"/>
      <c r="H709" s="9"/>
      <c r="I709" s="12"/>
      <c r="J709" s="9"/>
      <c r="K709" s="9"/>
      <c r="L709" s="9"/>
      <c r="M709" s="9"/>
      <c r="N709" s="9"/>
      <c r="O709" s="13" t="str">
        <f aca="false">IF(C709="","",IF(N(M709)+N(N709)&lt;Settings!$C$9,"untested",M709/(M709+N709)))</f>
        <v/>
      </c>
      <c r="P709" s="9"/>
      <c r="Q709" s="9"/>
      <c r="R709" s="9"/>
      <c r="S709" s="12"/>
      <c r="T709" s="9"/>
      <c r="U709" s="9"/>
      <c r="V709" s="9"/>
      <c r="W709" s="10" t="str">
        <f aca="false">IF(C709="","",IF(OR(G709="training",G709="full"),"Yes",IF(G709="none","No","?")))</f>
        <v/>
      </c>
      <c r="X709" s="10" t="str">
        <f aca="false">IF(C709="","",IF(OR(E709="",E709="unknown"),D709,E709))</f>
        <v/>
      </c>
      <c r="Y709" s="10" t="str">
        <f aca="false">IF(C709="","",IF(OR(T709="unsuitable",T709="retired",X709="no"),"—",IF(J709="","unrated",IF(AND(X709="full",J709&gt;=Settings!$C$5,OR(O709="untested",O709&gt;=Settings!$C$6)),"A",IF(AND(OR(X709="full",X709="reduced"),J709&gt;=Settings!$C$7,OR(O709="untested",O709&gt;=Settings!$C$8)),"B","C")))))</f>
        <v/>
      </c>
      <c r="Z709" s="11" t="str">
        <f aca="false">IF(C709="","",IF(P709&lt;&gt;"",P709,Y709))</f>
        <v/>
      </c>
    </row>
    <row r="710" customFormat="false" ht="15" hidden="false" customHeight="false" outlineLevel="0" collapsed="false">
      <c r="A710" s="9"/>
      <c r="B710" s="10" t="str">
        <f aca="false">IF(A710="","",IFERROR(INDEX(Parks!$A$2:$A$255,MATCH(A710,Parks!$B$2:$B$255,0)),"?"))</f>
        <v/>
      </c>
      <c r="C710" s="9"/>
      <c r="D710" s="10" t="str">
        <f aca="false">IF(C710="","",IF(SUMPRODUCT(--ISNUMBER(SEARCH({"Nets","Wicket","Diamond","Softball","T-ball","Baseball","Netball","Tennis","Bocce","Pentaque","Petanque","Skate","Car Park","Pond","Bridle","Amphitheatre","Perimeter","Passive"},C710)))&gt;0,"no",IF(SUMPRODUCT(--ISNUMBER(SEARCH({"Cricket","Junior","Mini","Summer Football","Small"},C710)))&gt;0,"reduced",IF(SUMPRODUCT(--ISNUMBER(SEARCH({"Rugby","Football","League","Touch","Gaelic","Australian","Lacrosse","General Sport","Training Area","Ultimate"},C710)))&gt;0,"full","unknown"))))</f>
        <v/>
      </c>
      <c r="E710" s="9"/>
      <c r="F710" s="9"/>
      <c r="G710" s="9"/>
      <c r="H710" s="9"/>
      <c r="I710" s="12"/>
      <c r="J710" s="9"/>
      <c r="K710" s="9"/>
      <c r="L710" s="9"/>
      <c r="M710" s="9"/>
      <c r="N710" s="9"/>
      <c r="O710" s="13" t="str">
        <f aca="false">IF(C710="","",IF(N(M710)+N(N710)&lt;Settings!$C$9,"untested",M710/(M710+N710)))</f>
        <v/>
      </c>
      <c r="P710" s="9"/>
      <c r="Q710" s="9"/>
      <c r="R710" s="9"/>
      <c r="S710" s="12"/>
      <c r="T710" s="9"/>
      <c r="U710" s="9"/>
      <c r="V710" s="9"/>
      <c r="W710" s="10" t="str">
        <f aca="false">IF(C710="","",IF(OR(G710="training",G710="full"),"Yes",IF(G710="none","No","?")))</f>
        <v/>
      </c>
      <c r="X710" s="10" t="str">
        <f aca="false">IF(C710="","",IF(OR(E710="",E710="unknown"),D710,E710))</f>
        <v/>
      </c>
      <c r="Y710" s="10" t="str">
        <f aca="false">IF(C710="","",IF(OR(T710="unsuitable",T710="retired",X710="no"),"—",IF(J710="","unrated",IF(AND(X710="full",J710&gt;=Settings!$C$5,OR(O710="untested",O710&gt;=Settings!$C$6)),"A",IF(AND(OR(X710="full",X710="reduced"),J710&gt;=Settings!$C$7,OR(O710="untested",O710&gt;=Settings!$C$8)),"B","C")))))</f>
        <v/>
      </c>
      <c r="Z710" s="11" t="str">
        <f aca="false">IF(C710="","",IF(P710&lt;&gt;"",P710,Y710))</f>
        <v/>
      </c>
    </row>
    <row r="711" customFormat="false" ht="15" hidden="false" customHeight="false" outlineLevel="0" collapsed="false">
      <c r="A711" s="9"/>
      <c r="B711" s="10" t="str">
        <f aca="false">IF(A711="","",IFERROR(INDEX(Parks!$A$2:$A$255,MATCH(A711,Parks!$B$2:$B$255,0)),"?"))</f>
        <v/>
      </c>
      <c r="C711" s="9"/>
      <c r="D711" s="10" t="str">
        <f aca="false">IF(C711="","",IF(SUMPRODUCT(--ISNUMBER(SEARCH({"Nets","Wicket","Diamond","Softball","T-ball","Baseball","Netball","Tennis","Bocce","Pentaque","Petanque","Skate","Car Park","Pond","Bridle","Amphitheatre","Perimeter","Passive"},C711)))&gt;0,"no",IF(SUMPRODUCT(--ISNUMBER(SEARCH({"Cricket","Junior","Mini","Summer Football","Small"},C711)))&gt;0,"reduced",IF(SUMPRODUCT(--ISNUMBER(SEARCH({"Rugby","Football","League","Touch","Gaelic","Australian","Lacrosse","General Sport","Training Area","Ultimate"},C711)))&gt;0,"full","unknown"))))</f>
        <v/>
      </c>
      <c r="E711" s="9"/>
      <c r="F711" s="9"/>
      <c r="G711" s="9"/>
      <c r="H711" s="9"/>
      <c r="I711" s="12"/>
      <c r="J711" s="9"/>
      <c r="K711" s="9"/>
      <c r="L711" s="9"/>
      <c r="M711" s="9"/>
      <c r="N711" s="9"/>
      <c r="O711" s="13" t="str">
        <f aca="false">IF(C711="","",IF(N(M711)+N(N711)&lt;Settings!$C$9,"untested",M711/(M711+N711)))</f>
        <v/>
      </c>
      <c r="P711" s="9"/>
      <c r="Q711" s="9"/>
      <c r="R711" s="9"/>
      <c r="S711" s="12"/>
      <c r="T711" s="9"/>
      <c r="U711" s="9"/>
      <c r="V711" s="9"/>
      <c r="W711" s="10" t="str">
        <f aca="false">IF(C711="","",IF(OR(G711="training",G711="full"),"Yes",IF(G711="none","No","?")))</f>
        <v/>
      </c>
      <c r="X711" s="10" t="str">
        <f aca="false">IF(C711="","",IF(OR(E711="",E711="unknown"),D711,E711))</f>
        <v/>
      </c>
      <c r="Y711" s="10" t="str">
        <f aca="false">IF(C711="","",IF(OR(T711="unsuitable",T711="retired",X711="no"),"—",IF(J711="","unrated",IF(AND(X711="full",J711&gt;=Settings!$C$5,OR(O711="untested",O711&gt;=Settings!$C$6)),"A",IF(AND(OR(X711="full",X711="reduced"),J711&gt;=Settings!$C$7,OR(O711="untested",O711&gt;=Settings!$C$8)),"B","C")))))</f>
        <v/>
      </c>
      <c r="Z711" s="11" t="str">
        <f aca="false">IF(C711="","",IF(P711&lt;&gt;"",P711,Y711))</f>
        <v/>
      </c>
    </row>
    <row r="712" customFormat="false" ht="15" hidden="false" customHeight="false" outlineLevel="0" collapsed="false">
      <c r="A712" s="9"/>
      <c r="B712" s="10" t="str">
        <f aca="false">IF(A712="","",IFERROR(INDEX(Parks!$A$2:$A$255,MATCH(A712,Parks!$B$2:$B$255,0)),"?"))</f>
        <v/>
      </c>
      <c r="C712" s="9"/>
      <c r="D712" s="10" t="str">
        <f aca="false">IF(C712="","",IF(SUMPRODUCT(--ISNUMBER(SEARCH({"Nets","Wicket","Diamond","Softball","T-ball","Baseball","Netball","Tennis","Bocce","Pentaque","Petanque","Skate","Car Park","Pond","Bridle","Amphitheatre","Perimeter","Passive"},C712)))&gt;0,"no",IF(SUMPRODUCT(--ISNUMBER(SEARCH({"Cricket","Junior","Mini","Summer Football","Small"},C712)))&gt;0,"reduced",IF(SUMPRODUCT(--ISNUMBER(SEARCH({"Rugby","Football","League","Touch","Gaelic","Australian","Lacrosse","General Sport","Training Area","Ultimate"},C712)))&gt;0,"full","unknown"))))</f>
        <v/>
      </c>
      <c r="E712" s="9"/>
      <c r="F712" s="9"/>
      <c r="G712" s="9"/>
      <c r="H712" s="9"/>
      <c r="I712" s="12"/>
      <c r="J712" s="9"/>
      <c r="K712" s="9"/>
      <c r="L712" s="9"/>
      <c r="M712" s="9"/>
      <c r="N712" s="9"/>
      <c r="O712" s="13" t="str">
        <f aca="false">IF(C712="","",IF(N(M712)+N(N712)&lt;Settings!$C$9,"untested",M712/(M712+N712)))</f>
        <v/>
      </c>
      <c r="P712" s="9"/>
      <c r="Q712" s="9"/>
      <c r="R712" s="9"/>
      <c r="S712" s="12"/>
      <c r="T712" s="9"/>
      <c r="U712" s="9"/>
      <c r="V712" s="9"/>
      <c r="W712" s="10" t="str">
        <f aca="false">IF(C712="","",IF(OR(G712="training",G712="full"),"Yes",IF(G712="none","No","?")))</f>
        <v/>
      </c>
      <c r="X712" s="10" t="str">
        <f aca="false">IF(C712="","",IF(OR(E712="",E712="unknown"),D712,E712))</f>
        <v/>
      </c>
      <c r="Y712" s="10" t="str">
        <f aca="false">IF(C712="","",IF(OR(T712="unsuitable",T712="retired",X712="no"),"—",IF(J712="","unrated",IF(AND(X712="full",J712&gt;=Settings!$C$5,OR(O712="untested",O712&gt;=Settings!$C$6)),"A",IF(AND(OR(X712="full",X712="reduced"),J712&gt;=Settings!$C$7,OR(O712="untested",O712&gt;=Settings!$C$8)),"B","C")))))</f>
        <v/>
      </c>
      <c r="Z712" s="11" t="str">
        <f aca="false">IF(C712="","",IF(P712&lt;&gt;"",P712,Y712))</f>
        <v/>
      </c>
    </row>
    <row r="713" customFormat="false" ht="15" hidden="false" customHeight="false" outlineLevel="0" collapsed="false">
      <c r="A713" s="9"/>
      <c r="B713" s="10" t="str">
        <f aca="false">IF(A713="","",IFERROR(INDEX(Parks!$A$2:$A$255,MATCH(A713,Parks!$B$2:$B$255,0)),"?"))</f>
        <v/>
      </c>
      <c r="C713" s="9"/>
      <c r="D713" s="10" t="str">
        <f aca="false">IF(C713="","",IF(SUMPRODUCT(--ISNUMBER(SEARCH({"Nets","Wicket","Diamond","Softball","T-ball","Baseball","Netball","Tennis","Bocce","Pentaque","Petanque","Skate","Car Park","Pond","Bridle","Amphitheatre","Perimeter","Passive"},C713)))&gt;0,"no",IF(SUMPRODUCT(--ISNUMBER(SEARCH({"Cricket","Junior","Mini","Summer Football","Small"},C713)))&gt;0,"reduced",IF(SUMPRODUCT(--ISNUMBER(SEARCH({"Rugby","Football","League","Touch","Gaelic","Australian","Lacrosse","General Sport","Training Area","Ultimate"},C713)))&gt;0,"full","unknown"))))</f>
        <v/>
      </c>
      <c r="E713" s="9"/>
      <c r="F713" s="9"/>
      <c r="G713" s="9"/>
      <c r="H713" s="9"/>
      <c r="I713" s="12"/>
      <c r="J713" s="9"/>
      <c r="K713" s="9"/>
      <c r="L713" s="9"/>
      <c r="M713" s="9"/>
      <c r="N713" s="9"/>
      <c r="O713" s="13" t="str">
        <f aca="false">IF(C713="","",IF(N(M713)+N(N713)&lt;Settings!$C$9,"untested",M713/(M713+N713)))</f>
        <v/>
      </c>
      <c r="P713" s="9"/>
      <c r="Q713" s="9"/>
      <c r="R713" s="9"/>
      <c r="S713" s="12"/>
      <c r="T713" s="9"/>
      <c r="U713" s="9"/>
      <c r="V713" s="9"/>
      <c r="W713" s="10" t="str">
        <f aca="false">IF(C713="","",IF(OR(G713="training",G713="full"),"Yes",IF(G713="none","No","?")))</f>
        <v/>
      </c>
      <c r="X713" s="10" t="str">
        <f aca="false">IF(C713="","",IF(OR(E713="",E713="unknown"),D713,E713))</f>
        <v/>
      </c>
      <c r="Y713" s="10" t="str">
        <f aca="false">IF(C713="","",IF(OR(T713="unsuitable",T713="retired",X713="no"),"—",IF(J713="","unrated",IF(AND(X713="full",J713&gt;=Settings!$C$5,OR(O713="untested",O713&gt;=Settings!$C$6)),"A",IF(AND(OR(X713="full",X713="reduced"),J713&gt;=Settings!$C$7,OR(O713="untested",O713&gt;=Settings!$C$8)),"B","C")))))</f>
        <v/>
      </c>
      <c r="Z713" s="11" t="str">
        <f aca="false">IF(C713="","",IF(P713&lt;&gt;"",P713,Y713))</f>
        <v/>
      </c>
    </row>
    <row r="714" customFormat="false" ht="15" hidden="false" customHeight="false" outlineLevel="0" collapsed="false">
      <c r="A714" s="9"/>
      <c r="B714" s="10" t="str">
        <f aca="false">IF(A714="","",IFERROR(INDEX(Parks!$A$2:$A$255,MATCH(A714,Parks!$B$2:$B$255,0)),"?"))</f>
        <v/>
      </c>
      <c r="C714" s="9"/>
      <c r="D714" s="10" t="str">
        <f aca="false">IF(C714="","",IF(SUMPRODUCT(--ISNUMBER(SEARCH({"Nets","Wicket","Diamond","Softball","T-ball","Baseball","Netball","Tennis","Bocce","Pentaque","Petanque","Skate","Car Park","Pond","Bridle","Amphitheatre","Perimeter","Passive"},C714)))&gt;0,"no",IF(SUMPRODUCT(--ISNUMBER(SEARCH({"Cricket","Junior","Mini","Summer Football","Small"},C714)))&gt;0,"reduced",IF(SUMPRODUCT(--ISNUMBER(SEARCH({"Rugby","Football","League","Touch","Gaelic","Australian","Lacrosse","General Sport","Training Area","Ultimate"},C714)))&gt;0,"full","unknown"))))</f>
        <v/>
      </c>
      <c r="E714" s="9"/>
      <c r="F714" s="9"/>
      <c r="G714" s="9"/>
      <c r="H714" s="9"/>
      <c r="I714" s="12"/>
      <c r="J714" s="9"/>
      <c r="K714" s="9"/>
      <c r="L714" s="9"/>
      <c r="M714" s="9"/>
      <c r="N714" s="9"/>
      <c r="O714" s="13" t="str">
        <f aca="false">IF(C714="","",IF(N(M714)+N(N714)&lt;Settings!$C$9,"untested",M714/(M714+N714)))</f>
        <v/>
      </c>
      <c r="P714" s="9"/>
      <c r="Q714" s="9"/>
      <c r="R714" s="9"/>
      <c r="S714" s="12"/>
      <c r="T714" s="9"/>
      <c r="U714" s="9"/>
      <c r="V714" s="9"/>
      <c r="W714" s="10" t="str">
        <f aca="false">IF(C714="","",IF(OR(G714="training",G714="full"),"Yes",IF(G714="none","No","?")))</f>
        <v/>
      </c>
      <c r="X714" s="10" t="str">
        <f aca="false">IF(C714="","",IF(OR(E714="",E714="unknown"),D714,E714))</f>
        <v/>
      </c>
      <c r="Y714" s="10" t="str">
        <f aca="false">IF(C714="","",IF(OR(T714="unsuitable",T714="retired",X714="no"),"—",IF(J714="","unrated",IF(AND(X714="full",J714&gt;=Settings!$C$5,OR(O714="untested",O714&gt;=Settings!$C$6)),"A",IF(AND(OR(X714="full",X714="reduced"),J714&gt;=Settings!$C$7,OR(O714="untested",O714&gt;=Settings!$C$8)),"B","C")))))</f>
        <v/>
      </c>
      <c r="Z714" s="11" t="str">
        <f aca="false">IF(C714="","",IF(P714&lt;&gt;"",P714,Y714))</f>
        <v/>
      </c>
    </row>
    <row r="715" customFormat="false" ht="15" hidden="false" customHeight="false" outlineLevel="0" collapsed="false">
      <c r="A715" s="9"/>
      <c r="B715" s="10" t="str">
        <f aca="false">IF(A715="","",IFERROR(INDEX(Parks!$A$2:$A$255,MATCH(A715,Parks!$B$2:$B$255,0)),"?"))</f>
        <v/>
      </c>
      <c r="C715" s="9"/>
      <c r="D715" s="10" t="str">
        <f aca="false">IF(C715="","",IF(SUMPRODUCT(--ISNUMBER(SEARCH({"Nets","Wicket","Diamond","Softball","T-ball","Baseball","Netball","Tennis","Bocce","Pentaque","Petanque","Skate","Car Park","Pond","Bridle","Amphitheatre","Perimeter","Passive"},C715)))&gt;0,"no",IF(SUMPRODUCT(--ISNUMBER(SEARCH({"Cricket","Junior","Mini","Summer Football","Small"},C715)))&gt;0,"reduced",IF(SUMPRODUCT(--ISNUMBER(SEARCH({"Rugby","Football","League","Touch","Gaelic","Australian","Lacrosse","General Sport","Training Area","Ultimate"},C715)))&gt;0,"full","unknown"))))</f>
        <v/>
      </c>
      <c r="E715" s="9"/>
      <c r="F715" s="9"/>
      <c r="G715" s="9"/>
      <c r="H715" s="9"/>
      <c r="I715" s="12"/>
      <c r="J715" s="9"/>
      <c r="K715" s="9"/>
      <c r="L715" s="9"/>
      <c r="M715" s="9"/>
      <c r="N715" s="9"/>
      <c r="O715" s="13" t="str">
        <f aca="false">IF(C715="","",IF(N(M715)+N(N715)&lt;Settings!$C$9,"untested",M715/(M715+N715)))</f>
        <v/>
      </c>
      <c r="P715" s="9"/>
      <c r="Q715" s="9"/>
      <c r="R715" s="9"/>
      <c r="S715" s="12"/>
      <c r="T715" s="9"/>
      <c r="U715" s="9"/>
      <c r="V715" s="9"/>
      <c r="W715" s="10" t="str">
        <f aca="false">IF(C715="","",IF(OR(G715="training",G715="full"),"Yes",IF(G715="none","No","?")))</f>
        <v/>
      </c>
      <c r="X715" s="10" t="str">
        <f aca="false">IF(C715="","",IF(OR(E715="",E715="unknown"),D715,E715))</f>
        <v/>
      </c>
      <c r="Y715" s="10" t="str">
        <f aca="false">IF(C715="","",IF(OR(T715="unsuitable",T715="retired",X715="no"),"—",IF(J715="","unrated",IF(AND(X715="full",J715&gt;=Settings!$C$5,OR(O715="untested",O715&gt;=Settings!$C$6)),"A",IF(AND(OR(X715="full",X715="reduced"),J715&gt;=Settings!$C$7,OR(O715="untested",O715&gt;=Settings!$C$8)),"B","C")))))</f>
        <v/>
      </c>
      <c r="Z715" s="11" t="str">
        <f aca="false">IF(C715="","",IF(P715&lt;&gt;"",P715,Y715))</f>
        <v/>
      </c>
    </row>
    <row r="716" customFormat="false" ht="15" hidden="false" customHeight="false" outlineLevel="0" collapsed="false">
      <c r="A716" s="9"/>
      <c r="B716" s="10" t="str">
        <f aca="false">IF(A716="","",IFERROR(INDEX(Parks!$A$2:$A$255,MATCH(A716,Parks!$B$2:$B$255,0)),"?"))</f>
        <v/>
      </c>
      <c r="C716" s="9"/>
      <c r="D716" s="10" t="str">
        <f aca="false">IF(C716="","",IF(SUMPRODUCT(--ISNUMBER(SEARCH({"Nets","Wicket","Diamond","Softball","T-ball","Baseball","Netball","Tennis","Bocce","Pentaque","Petanque","Skate","Car Park","Pond","Bridle","Amphitheatre","Perimeter","Passive"},C716)))&gt;0,"no",IF(SUMPRODUCT(--ISNUMBER(SEARCH({"Cricket","Junior","Mini","Summer Football","Small"},C716)))&gt;0,"reduced",IF(SUMPRODUCT(--ISNUMBER(SEARCH({"Rugby","Football","League","Touch","Gaelic","Australian","Lacrosse","General Sport","Training Area","Ultimate"},C716)))&gt;0,"full","unknown"))))</f>
        <v/>
      </c>
      <c r="E716" s="9"/>
      <c r="F716" s="9"/>
      <c r="G716" s="9"/>
      <c r="H716" s="9"/>
      <c r="I716" s="12"/>
      <c r="J716" s="9"/>
      <c r="K716" s="9"/>
      <c r="L716" s="9"/>
      <c r="M716" s="9"/>
      <c r="N716" s="9"/>
      <c r="O716" s="13" t="str">
        <f aca="false">IF(C716="","",IF(N(M716)+N(N716)&lt;Settings!$C$9,"untested",M716/(M716+N716)))</f>
        <v/>
      </c>
      <c r="P716" s="9"/>
      <c r="Q716" s="9"/>
      <c r="R716" s="9"/>
      <c r="S716" s="12"/>
      <c r="T716" s="9"/>
      <c r="U716" s="9"/>
      <c r="V716" s="9"/>
      <c r="W716" s="10" t="str">
        <f aca="false">IF(C716="","",IF(OR(G716="training",G716="full"),"Yes",IF(G716="none","No","?")))</f>
        <v/>
      </c>
      <c r="X716" s="10" t="str">
        <f aca="false">IF(C716="","",IF(OR(E716="",E716="unknown"),D716,E716))</f>
        <v/>
      </c>
      <c r="Y716" s="10" t="str">
        <f aca="false">IF(C716="","",IF(OR(T716="unsuitable",T716="retired",X716="no"),"—",IF(J716="","unrated",IF(AND(X716="full",J716&gt;=Settings!$C$5,OR(O716="untested",O716&gt;=Settings!$C$6)),"A",IF(AND(OR(X716="full",X716="reduced"),J716&gt;=Settings!$C$7,OR(O716="untested",O716&gt;=Settings!$C$8)),"B","C")))))</f>
        <v/>
      </c>
      <c r="Z716" s="11" t="str">
        <f aca="false">IF(C716="","",IF(P716&lt;&gt;"",P716,Y716))</f>
        <v/>
      </c>
    </row>
    <row r="717" customFormat="false" ht="15" hidden="false" customHeight="false" outlineLevel="0" collapsed="false">
      <c r="A717" s="9"/>
      <c r="B717" s="10" t="str">
        <f aca="false">IF(A717="","",IFERROR(INDEX(Parks!$A$2:$A$255,MATCH(A717,Parks!$B$2:$B$255,0)),"?"))</f>
        <v/>
      </c>
      <c r="C717" s="9"/>
      <c r="D717" s="10" t="str">
        <f aca="false">IF(C717="","",IF(SUMPRODUCT(--ISNUMBER(SEARCH({"Nets","Wicket","Diamond","Softball","T-ball","Baseball","Netball","Tennis","Bocce","Pentaque","Petanque","Skate","Car Park","Pond","Bridle","Amphitheatre","Perimeter","Passive"},C717)))&gt;0,"no",IF(SUMPRODUCT(--ISNUMBER(SEARCH({"Cricket","Junior","Mini","Summer Football","Small"},C717)))&gt;0,"reduced",IF(SUMPRODUCT(--ISNUMBER(SEARCH({"Rugby","Football","League","Touch","Gaelic","Australian","Lacrosse","General Sport","Training Area","Ultimate"},C717)))&gt;0,"full","unknown"))))</f>
        <v/>
      </c>
      <c r="E717" s="9"/>
      <c r="F717" s="9"/>
      <c r="G717" s="9"/>
      <c r="H717" s="9"/>
      <c r="I717" s="12"/>
      <c r="J717" s="9"/>
      <c r="K717" s="9"/>
      <c r="L717" s="9"/>
      <c r="M717" s="9"/>
      <c r="N717" s="9"/>
      <c r="O717" s="13" t="str">
        <f aca="false">IF(C717="","",IF(N(M717)+N(N717)&lt;Settings!$C$9,"untested",M717/(M717+N717)))</f>
        <v/>
      </c>
      <c r="P717" s="9"/>
      <c r="Q717" s="9"/>
      <c r="R717" s="9"/>
      <c r="S717" s="12"/>
      <c r="T717" s="9"/>
      <c r="U717" s="9"/>
      <c r="V717" s="9"/>
      <c r="W717" s="10" t="str">
        <f aca="false">IF(C717="","",IF(OR(G717="training",G717="full"),"Yes",IF(G717="none","No","?")))</f>
        <v/>
      </c>
      <c r="X717" s="10" t="str">
        <f aca="false">IF(C717="","",IF(OR(E717="",E717="unknown"),D717,E717))</f>
        <v/>
      </c>
      <c r="Y717" s="10" t="str">
        <f aca="false">IF(C717="","",IF(OR(T717="unsuitable",T717="retired",X717="no"),"—",IF(J717="","unrated",IF(AND(X717="full",J717&gt;=Settings!$C$5,OR(O717="untested",O717&gt;=Settings!$C$6)),"A",IF(AND(OR(X717="full",X717="reduced"),J717&gt;=Settings!$C$7,OR(O717="untested",O717&gt;=Settings!$C$8)),"B","C")))))</f>
        <v/>
      </c>
      <c r="Z717" s="11" t="str">
        <f aca="false">IF(C717="","",IF(P717&lt;&gt;"",P717,Y717))</f>
        <v/>
      </c>
    </row>
    <row r="718" customFormat="false" ht="15" hidden="false" customHeight="false" outlineLevel="0" collapsed="false">
      <c r="A718" s="9"/>
      <c r="B718" s="10" t="str">
        <f aca="false">IF(A718="","",IFERROR(INDEX(Parks!$A$2:$A$255,MATCH(A718,Parks!$B$2:$B$255,0)),"?"))</f>
        <v/>
      </c>
      <c r="C718" s="9"/>
      <c r="D718" s="10" t="str">
        <f aca="false">IF(C718="","",IF(SUMPRODUCT(--ISNUMBER(SEARCH({"Nets","Wicket","Diamond","Softball","T-ball","Baseball","Netball","Tennis","Bocce","Pentaque","Petanque","Skate","Car Park","Pond","Bridle","Amphitheatre","Perimeter","Passive"},C718)))&gt;0,"no",IF(SUMPRODUCT(--ISNUMBER(SEARCH({"Cricket","Junior","Mini","Summer Football","Small"},C718)))&gt;0,"reduced",IF(SUMPRODUCT(--ISNUMBER(SEARCH({"Rugby","Football","League","Touch","Gaelic","Australian","Lacrosse","General Sport","Training Area","Ultimate"},C718)))&gt;0,"full","unknown"))))</f>
        <v/>
      </c>
      <c r="E718" s="9"/>
      <c r="F718" s="9"/>
      <c r="G718" s="9"/>
      <c r="H718" s="9"/>
      <c r="I718" s="12"/>
      <c r="J718" s="9"/>
      <c r="K718" s="9"/>
      <c r="L718" s="9"/>
      <c r="M718" s="9"/>
      <c r="N718" s="9"/>
      <c r="O718" s="13" t="str">
        <f aca="false">IF(C718="","",IF(N(M718)+N(N718)&lt;Settings!$C$9,"untested",M718/(M718+N718)))</f>
        <v/>
      </c>
      <c r="P718" s="9"/>
      <c r="Q718" s="9"/>
      <c r="R718" s="9"/>
      <c r="S718" s="12"/>
      <c r="T718" s="9"/>
      <c r="U718" s="9"/>
      <c r="V718" s="9"/>
      <c r="W718" s="10" t="str">
        <f aca="false">IF(C718="","",IF(OR(G718="training",G718="full"),"Yes",IF(G718="none","No","?")))</f>
        <v/>
      </c>
      <c r="X718" s="10" t="str">
        <f aca="false">IF(C718="","",IF(OR(E718="",E718="unknown"),D718,E718))</f>
        <v/>
      </c>
      <c r="Y718" s="10" t="str">
        <f aca="false">IF(C718="","",IF(OR(T718="unsuitable",T718="retired",X718="no"),"—",IF(J718="","unrated",IF(AND(X718="full",J718&gt;=Settings!$C$5,OR(O718="untested",O718&gt;=Settings!$C$6)),"A",IF(AND(OR(X718="full",X718="reduced"),J718&gt;=Settings!$C$7,OR(O718="untested",O718&gt;=Settings!$C$8)),"B","C")))))</f>
        <v/>
      </c>
      <c r="Z718" s="11" t="str">
        <f aca="false">IF(C718="","",IF(P718&lt;&gt;"",P718,Y718))</f>
        <v/>
      </c>
    </row>
    <row r="719" customFormat="false" ht="15" hidden="false" customHeight="false" outlineLevel="0" collapsed="false">
      <c r="A719" s="9"/>
      <c r="B719" s="10" t="str">
        <f aca="false">IF(A719="","",IFERROR(INDEX(Parks!$A$2:$A$255,MATCH(A719,Parks!$B$2:$B$255,0)),"?"))</f>
        <v/>
      </c>
      <c r="C719" s="9"/>
      <c r="D719" s="10" t="str">
        <f aca="false">IF(C719="","",IF(SUMPRODUCT(--ISNUMBER(SEARCH({"Nets","Wicket","Diamond","Softball","T-ball","Baseball","Netball","Tennis","Bocce","Pentaque","Petanque","Skate","Car Park","Pond","Bridle","Amphitheatre","Perimeter","Passive"},C719)))&gt;0,"no",IF(SUMPRODUCT(--ISNUMBER(SEARCH({"Cricket","Junior","Mini","Summer Football","Small"},C719)))&gt;0,"reduced",IF(SUMPRODUCT(--ISNUMBER(SEARCH({"Rugby","Football","League","Touch","Gaelic","Australian","Lacrosse","General Sport","Training Area","Ultimate"},C719)))&gt;0,"full","unknown"))))</f>
        <v/>
      </c>
      <c r="E719" s="9"/>
      <c r="F719" s="9"/>
      <c r="G719" s="9"/>
      <c r="H719" s="9"/>
      <c r="I719" s="12"/>
      <c r="J719" s="9"/>
      <c r="K719" s="9"/>
      <c r="L719" s="9"/>
      <c r="M719" s="9"/>
      <c r="N719" s="9"/>
      <c r="O719" s="13" t="str">
        <f aca="false">IF(C719="","",IF(N(M719)+N(N719)&lt;Settings!$C$9,"untested",M719/(M719+N719)))</f>
        <v/>
      </c>
      <c r="P719" s="9"/>
      <c r="Q719" s="9"/>
      <c r="R719" s="9"/>
      <c r="S719" s="12"/>
      <c r="T719" s="9"/>
      <c r="U719" s="9"/>
      <c r="V719" s="9"/>
      <c r="W719" s="10" t="str">
        <f aca="false">IF(C719="","",IF(OR(G719="training",G719="full"),"Yes",IF(G719="none","No","?")))</f>
        <v/>
      </c>
      <c r="X719" s="10" t="str">
        <f aca="false">IF(C719="","",IF(OR(E719="",E719="unknown"),D719,E719))</f>
        <v/>
      </c>
      <c r="Y719" s="10" t="str">
        <f aca="false">IF(C719="","",IF(OR(T719="unsuitable",T719="retired",X719="no"),"—",IF(J719="","unrated",IF(AND(X719="full",J719&gt;=Settings!$C$5,OR(O719="untested",O719&gt;=Settings!$C$6)),"A",IF(AND(OR(X719="full",X719="reduced"),J719&gt;=Settings!$C$7,OR(O719="untested",O719&gt;=Settings!$C$8)),"B","C")))))</f>
        <v/>
      </c>
      <c r="Z719" s="11" t="str">
        <f aca="false">IF(C719="","",IF(P719&lt;&gt;"",P719,Y719))</f>
        <v/>
      </c>
    </row>
    <row r="720" customFormat="false" ht="15" hidden="false" customHeight="false" outlineLevel="0" collapsed="false">
      <c r="A720" s="9"/>
      <c r="B720" s="10" t="str">
        <f aca="false">IF(A720="","",IFERROR(INDEX(Parks!$A$2:$A$255,MATCH(A720,Parks!$B$2:$B$255,0)),"?"))</f>
        <v/>
      </c>
      <c r="C720" s="9"/>
      <c r="D720" s="10" t="str">
        <f aca="false">IF(C720="","",IF(SUMPRODUCT(--ISNUMBER(SEARCH({"Nets","Wicket","Diamond","Softball","T-ball","Baseball","Netball","Tennis","Bocce","Pentaque","Petanque","Skate","Car Park","Pond","Bridle","Amphitheatre","Perimeter","Passive"},C720)))&gt;0,"no",IF(SUMPRODUCT(--ISNUMBER(SEARCH({"Cricket","Junior","Mini","Summer Football","Small"},C720)))&gt;0,"reduced",IF(SUMPRODUCT(--ISNUMBER(SEARCH({"Rugby","Football","League","Touch","Gaelic","Australian","Lacrosse","General Sport","Training Area","Ultimate"},C720)))&gt;0,"full","unknown"))))</f>
        <v/>
      </c>
      <c r="E720" s="9"/>
      <c r="F720" s="9"/>
      <c r="G720" s="9"/>
      <c r="H720" s="9"/>
      <c r="I720" s="12"/>
      <c r="J720" s="9"/>
      <c r="K720" s="9"/>
      <c r="L720" s="9"/>
      <c r="M720" s="9"/>
      <c r="N720" s="9"/>
      <c r="O720" s="13" t="str">
        <f aca="false">IF(C720="","",IF(N(M720)+N(N720)&lt;Settings!$C$9,"untested",M720/(M720+N720)))</f>
        <v/>
      </c>
      <c r="P720" s="9"/>
      <c r="Q720" s="9"/>
      <c r="R720" s="9"/>
      <c r="S720" s="12"/>
      <c r="T720" s="9"/>
      <c r="U720" s="9"/>
      <c r="V720" s="9"/>
      <c r="W720" s="10" t="str">
        <f aca="false">IF(C720="","",IF(OR(G720="training",G720="full"),"Yes",IF(G720="none","No","?")))</f>
        <v/>
      </c>
      <c r="X720" s="10" t="str">
        <f aca="false">IF(C720="","",IF(OR(E720="",E720="unknown"),D720,E720))</f>
        <v/>
      </c>
      <c r="Y720" s="10" t="str">
        <f aca="false">IF(C720="","",IF(OR(T720="unsuitable",T720="retired",X720="no"),"—",IF(J720="","unrated",IF(AND(X720="full",J720&gt;=Settings!$C$5,OR(O720="untested",O720&gt;=Settings!$C$6)),"A",IF(AND(OR(X720="full",X720="reduced"),J720&gt;=Settings!$C$7,OR(O720="untested",O720&gt;=Settings!$C$8)),"B","C")))))</f>
        <v/>
      </c>
      <c r="Z720" s="11" t="str">
        <f aca="false">IF(C720="","",IF(P720&lt;&gt;"",P720,Y720))</f>
        <v/>
      </c>
    </row>
    <row r="721" customFormat="false" ht="15" hidden="false" customHeight="false" outlineLevel="0" collapsed="false">
      <c r="A721" s="9"/>
      <c r="B721" s="10" t="str">
        <f aca="false">IF(A721="","",IFERROR(INDEX(Parks!$A$2:$A$255,MATCH(A721,Parks!$B$2:$B$255,0)),"?"))</f>
        <v/>
      </c>
      <c r="C721" s="9"/>
      <c r="D721" s="10" t="str">
        <f aca="false">IF(C721="","",IF(SUMPRODUCT(--ISNUMBER(SEARCH({"Nets","Wicket","Diamond","Softball","T-ball","Baseball","Netball","Tennis","Bocce","Pentaque","Petanque","Skate","Car Park","Pond","Bridle","Amphitheatre","Perimeter","Passive"},C721)))&gt;0,"no",IF(SUMPRODUCT(--ISNUMBER(SEARCH({"Cricket","Junior","Mini","Summer Football","Small"},C721)))&gt;0,"reduced",IF(SUMPRODUCT(--ISNUMBER(SEARCH({"Rugby","Football","League","Touch","Gaelic","Australian","Lacrosse","General Sport","Training Area","Ultimate"},C721)))&gt;0,"full","unknown"))))</f>
        <v/>
      </c>
      <c r="E721" s="9"/>
      <c r="F721" s="9"/>
      <c r="G721" s="9"/>
      <c r="H721" s="9"/>
      <c r="I721" s="12"/>
      <c r="J721" s="9"/>
      <c r="K721" s="9"/>
      <c r="L721" s="9"/>
      <c r="M721" s="9"/>
      <c r="N721" s="9"/>
      <c r="O721" s="13" t="str">
        <f aca="false">IF(C721="","",IF(N(M721)+N(N721)&lt;Settings!$C$9,"untested",M721/(M721+N721)))</f>
        <v/>
      </c>
      <c r="P721" s="9"/>
      <c r="Q721" s="9"/>
      <c r="R721" s="9"/>
      <c r="S721" s="12"/>
      <c r="T721" s="9"/>
      <c r="U721" s="9"/>
      <c r="V721" s="9"/>
      <c r="W721" s="10" t="str">
        <f aca="false">IF(C721="","",IF(OR(G721="training",G721="full"),"Yes",IF(G721="none","No","?")))</f>
        <v/>
      </c>
      <c r="X721" s="10" t="str">
        <f aca="false">IF(C721="","",IF(OR(E721="",E721="unknown"),D721,E721))</f>
        <v/>
      </c>
      <c r="Y721" s="10" t="str">
        <f aca="false">IF(C721="","",IF(OR(T721="unsuitable",T721="retired",X721="no"),"—",IF(J721="","unrated",IF(AND(X721="full",J721&gt;=Settings!$C$5,OR(O721="untested",O721&gt;=Settings!$C$6)),"A",IF(AND(OR(X721="full",X721="reduced"),J721&gt;=Settings!$C$7,OR(O721="untested",O721&gt;=Settings!$C$8)),"B","C")))))</f>
        <v/>
      </c>
      <c r="Z721" s="11" t="str">
        <f aca="false">IF(C721="","",IF(P721&lt;&gt;"",P721,Y721))</f>
        <v/>
      </c>
    </row>
    <row r="722" customFormat="false" ht="15" hidden="false" customHeight="false" outlineLevel="0" collapsed="false">
      <c r="A722" s="9"/>
      <c r="B722" s="10" t="str">
        <f aca="false">IF(A722="","",IFERROR(INDEX(Parks!$A$2:$A$255,MATCH(A722,Parks!$B$2:$B$255,0)),"?"))</f>
        <v/>
      </c>
      <c r="C722" s="9"/>
      <c r="D722" s="10" t="str">
        <f aca="false">IF(C722="","",IF(SUMPRODUCT(--ISNUMBER(SEARCH({"Nets","Wicket","Diamond","Softball","T-ball","Baseball","Netball","Tennis","Bocce","Pentaque","Petanque","Skate","Car Park","Pond","Bridle","Amphitheatre","Perimeter","Passive"},C722)))&gt;0,"no",IF(SUMPRODUCT(--ISNUMBER(SEARCH({"Cricket","Junior","Mini","Summer Football","Small"},C722)))&gt;0,"reduced",IF(SUMPRODUCT(--ISNUMBER(SEARCH({"Rugby","Football","League","Touch","Gaelic","Australian","Lacrosse","General Sport","Training Area","Ultimate"},C722)))&gt;0,"full","unknown"))))</f>
        <v/>
      </c>
      <c r="E722" s="9"/>
      <c r="F722" s="9"/>
      <c r="G722" s="9"/>
      <c r="H722" s="9"/>
      <c r="I722" s="12"/>
      <c r="J722" s="9"/>
      <c r="K722" s="9"/>
      <c r="L722" s="9"/>
      <c r="M722" s="9"/>
      <c r="N722" s="9"/>
      <c r="O722" s="13" t="str">
        <f aca="false">IF(C722="","",IF(N(M722)+N(N722)&lt;Settings!$C$9,"untested",M722/(M722+N722)))</f>
        <v/>
      </c>
      <c r="P722" s="9"/>
      <c r="Q722" s="9"/>
      <c r="R722" s="9"/>
      <c r="S722" s="12"/>
      <c r="T722" s="9"/>
      <c r="U722" s="9"/>
      <c r="V722" s="9"/>
      <c r="W722" s="10" t="str">
        <f aca="false">IF(C722="","",IF(OR(G722="training",G722="full"),"Yes",IF(G722="none","No","?")))</f>
        <v/>
      </c>
      <c r="X722" s="10" t="str">
        <f aca="false">IF(C722="","",IF(OR(E722="",E722="unknown"),D722,E722))</f>
        <v/>
      </c>
      <c r="Y722" s="10" t="str">
        <f aca="false">IF(C722="","",IF(OR(T722="unsuitable",T722="retired",X722="no"),"—",IF(J722="","unrated",IF(AND(X722="full",J722&gt;=Settings!$C$5,OR(O722="untested",O722&gt;=Settings!$C$6)),"A",IF(AND(OR(X722="full",X722="reduced"),J722&gt;=Settings!$C$7,OR(O722="untested",O722&gt;=Settings!$C$8)),"B","C")))))</f>
        <v/>
      </c>
      <c r="Z722" s="11" t="str">
        <f aca="false">IF(C722="","",IF(P722&lt;&gt;"",P722,Y722))</f>
        <v/>
      </c>
    </row>
    <row r="723" customFormat="false" ht="15" hidden="false" customHeight="false" outlineLevel="0" collapsed="false">
      <c r="A723" s="9"/>
      <c r="B723" s="10" t="str">
        <f aca="false">IF(A723="","",IFERROR(INDEX(Parks!$A$2:$A$255,MATCH(A723,Parks!$B$2:$B$255,0)),"?"))</f>
        <v/>
      </c>
      <c r="C723" s="9"/>
      <c r="D723" s="10" t="str">
        <f aca="false">IF(C723="","",IF(SUMPRODUCT(--ISNUMBER(SEARCH({"Nets","Wicket","Diamond","Softball","T-ball","Baseball","Netball","Tennis","Bocce","Pentaque","Petanque","Skate","Car Park","Pond","Bridle","Amphitheatre","Perimeter","Passive"},C723)))&gt;0,"no",IF(SUMPRODUCT(--ISNUMBER(SEARCH({"Cricket","Junior","Mini","Summer Football","Small"},C723)))&gt;0,"reduced",IF(SUMPRODUCT(--ISNUMBER(SEARCH({"Rugby","Football","League","Touch","Gaelic","Australian","Lacrosse","General Sport","Training Area","Ultimate"},C723)))&gt;0,"full","unknown"))))</f>
        <v/>
      </c>
      <c r="E723" s="9"/>
      <c r="F723" s="9"/>
      <c r="G723" s="9"/>
      <c r="H723" s="9"/>
      <c r="I723" s="12"/>
      <c r="J723" s="9"/>
      <c r="K723" s="9"/>
      <c r="L723" s="9"/>
      <c r="M723" s="9"/>
      <c r="N723" s="9"/>
      <c r="O723" s="13" t="str">
        <f aca="false">IF(C723="","",IF(N(M723)+N(N723)&lt;Settings!$C$9,"untested",M723/(M723+N723)))</f>
        <v/>
      </c>
      <c r="P723" s="9"/>
      <c r="Q723" s="9"/>
      <c r="R723" s="9"/>
      <c r="S723" s="12"/>
      <c r="T723" s="9"/>
      <c r="U723" s="9"/>
      <c r="V723" s="9"/>
      <c r="W723" s="10" t="str">
        <f aca="false">IF(C723="","",IF(OR(G723="training",G723="full"),"Yes",IF(G723="none","No","?")))</f>
        <v/>
      </c>
      <c r="X723" s="10" t="str">
        <f aca="false">IF(C723="","",IF(OR(E723="",E723="unknown"),D723,E723))</f>
        <v/>
      </c>
      <c r="Y723" s="10" t="str">
        <f aca="false">IF(C723="","",IF(OR(T723="unsuitable",T723="retired",X723="no"),"—",IF(J723="","unrated",IF(AND(X723="full",J723&gt;=Settings!$C$5,OR(O723="untested",O723&gt;=Settings!$C$6)),"A",IF(AND(OR(X723="full",X723="reduced"),J723&gt;=Settings!$C$7,OR(O723="untested",O723&gt;=Settings!$C$8)),"B","C")))))</f>
        <v/>
      </c>
      <c r="Z723" s="11" t="str">
        <f aca="false">IF(C723="","",IF(P723&lt;&gt;"",P723,Y723))</f>
        <v/>
      </c>
    </row>
    <row r="724" customFormat="false" ht="15" hidden="false" customHeight="false" outlineLevel="0" collapsed="false">
      <c r="A724" s="9"/>
      <c r="B724" s="10" t="str">
        <f aca="false">IF(A724="","",IFERROR(INDEX(Parks!$A$2:$A$255,MATCH(A724,Parks!$B$2:$B$255,0)),"?"))</f>
        <v/>
      </c>
      <c r="C724" s="9"/>
      <c r="D724" s="10" t="str">
        <f aca="false">IF(C724="","",IF(SUMPRODUCT(--ISNUMBER(SEARCH({"Nets","Wicket","Diamond","Softball","T-ball","Baseball","Netball","Tennis","Bocce","Pentaque","Petanque","Skate","Car Park","Pond","Bridle","Amphitheatre","Perimeter","Passive"},C724)))&gt;0,"no",IF(SUMPRODUCT(--ISNUMBER(SEARCH({"Cricket","Junior","Mini","Summer Football","Small"},C724)))&gt;0,"reduced",IF(SUMPRODUCT(--ISNUMBER(SEARCH({"Rugby","Football","League","Touch","Gaelic","Australian","Lacrosse","General Sport","Training Area","Ultimate"},C724)))&gt;0,"full","unknown"))))</f>
        <v/>
      </c>
      <c r="E724" s="9"/>
      <c r="F724" s="9"/>
      <c r="G724" s="9"/>
      <c r="H724" s="9"/>
      <c r="I724" s="12"/>
      <c r="J724" s="9"/>
      <c r="K724" s="9"/>
      <c r="L724" s="9"/>
      <c r="M724" s="9"/>
      <c r="N724" s="9"/>
      <c r="O724" s="13" t="str">
        <f aca="false">IF(C724="","",IF(N(M724)+N(N724)&lt;Settings!$C$9,"untested",M724/(M724+N724)))</f>
        <v/>
      </c>
      <c r="P724" s="9"/>
      <c r="Q724" s="9"/>
      <c r="R724" s="9"/>
      <c r="S724" s="12"/>
      <c r="T724" s="9"/>
      <c r="U724" s="9"/>
      <c r="V724" s="9"/>
      <c r="W724" s="10" t="str">
        <f aca="false">IF(C724="","",IF(OR(G724="training",G724="full"),"Yes",IF(G724="none","No","?")))</f>
        <v/>
      </c>
      <c r="X724" s="10" t="str">
        <f aca="false">IF(C724="","",IF(OR(E724="",E724="unknown"),D724,E724))</f>
        <v/>
      </c>
      <c r="Y724" s="10" t="str">
        <f aca="false">IF(C724="","",IF(OR(T724="unsuitable",T724="retired",X724="no"),"—",IF(J724="","unrated",IF(AND(X724="full",J724&gt;=Settings!$C$5,OR(O724="untested",O724&gt;=Settings!$C$6)),"A",IF(AND(OR(X724="full",X724="reduced"),J724&gt;=Settings!$C$7,OR(O724="untested",O724&gt;=Settings!$C$8)),"B","C")))))</f>
        <v/>
      </c>
      <c r="Z724" s="11" t="str">
        <f aca="false">IF(C724="","",IF(P724&lt;&gt;"",P724,Y724))</f>
        <v/>
      </c>
    </row>
    <row r="725" customFormat="false" ht="15" hidden="false" customHeight="false" outlineLevel="0" collapsed="false">
      <c r="A725" s="9"/>
      <c r="B725" s="10" t="str">
        <f aca="false">IF(A725="","",IFERROR(INDEX(Parks!$A$2:$A$255,MATCH(A725,Parks!$B$2:$B$255,0)),"?"))</f>
        <v/>
      </c>
      <c r="C725" s="9"/>
      <c r="D725" s="10" t="str">
        <f aca="false">IF(C725="","",IF(SUMPRODUCT(--ISNUMBER(SEARCH({"Nets","Wicket","Diamond","Softball","T-ball","Baseball","Netball","Tennis","Bocce","Pentaque","Petanque","Skate","Car Park","Pond","Bridle","Amphitheatre","Perimeter","Passive"},C725)))&gt;0,"no",IF(SUMPRODUCT(--ISNUMBER(SEARCH({"Cricket","Junior","Mini","Summer Football","Small"},C725)))&gt;0,"reduced",IF(SUMPRODUCT(--ISNUMBER(SEARCH({"Rugby","Football","League","Touch","Gaelic","Australian","Lacrosse","General Sport","Training Area","Ultimate"},C725)))&gt;0,"full","unknown"))))</f>
        <v/>
      </c>
      <c r="E725" s="9"/>
      <c r="F725" s="9"/>
      <c r="G725" s="9"/>
      <c r="H725" s="9"/>
      <c r="I725" s="12"/>
      <c r="J725" s="9"/>
      <c r="K725" s="9"/>
      <c r="L725" s="9"/>
      <c r="M725" s="9"/>
      <c r="N725" s="9"/>
      <c r="O725" s="13" t="str">
        <f aca="false">IF(C725="","",IF(N(M725)+N(N725)&lt;Settings!$C$9,"untested",M725/(M725+N725)))</f>
        <v/>
      </c>
      <c r="P725" s="9"/>
      <c r="Q725" s="9"/>
      <c r="R725" s="9"/>
      <c r="S725" s="12"/>
      <c r="T725" s="9"/>
      <c r="U725" s="9"/>
      <c r="V725" s="9"/>
      <c r="W725" s="10" t="str">
        <f aca="false">IF(C725="","",IF(OR(G725="training",G725="full"),"Yes",IF(G725="none","No","?")))</f>
        <v/>
      </c>
      <c r="X725" s="10" t="str">
        <f aca="false">IF(C725="","",IF(OR(E725="",E725="unknown"),D725,E725))</f>
        <v/>
      </c>
      <c r="Y725" s="10" t="str">
        <f aca="false">IF(C725="","",IF(OR(T725="unsuitable",T725="retired",X725="no"),"—",IF(J725="","unrated",IF(AND(X725="full",J725&gt;=Settings!$C$5,OR(O725="untested",O725&gt;=Settings!$C$6)),"A",IF(AND(OR(X725="full",X725="reduced"),J725&gt;=Settings!$C$7,OR(O725="untested",O725&gt;=Settings!$C$8)),"B","C")))))</f>
        <v/>
      </c>
      <c r="Z725" s="11" t="str">
        <f aca="false">IF(C725="","",IF(P725&lt;&gt;"",P725,Y725))</f>
        <v/>
      </c>
    </row>
    <row r="726" customFormat="false" ht="15" hidden="false" customHeight="false" outlineLevel="0" collapsed="false">
      <c r="A726" s="9"/>
      <c r="B726" s="10" t="str">
        <f aca="false">IF(A726="","",IFERROR(INDEX(Parks!$A$2:$A$255,MATCH(A726,Parks!$B$2:$B$255,0)),"?"))</f>
        <v/>
      </c>
      <c r="C726" s="9"/>
      <c r="D726" s="10" t="str">
        <f aca="false">IF(C726="","",IF(SUMPRODUCT(--ISNUMBER(SEARCH({"Nets","Wicket","Diamond","Softball","T-ball","Baseball","Netball","Tennis","Bocce","Pentaque","Petanque","Skate","Car Park","Pond","Bridle","Amphitheatre","Perimeter","Passive"},C726)))&gt;0,"no",IF(SUMPRODUCT(--ISNUMBER(SEARCH({"Cricket","Junior","Mini","Summer Football","Small"},C726)))&gt;0,"reduced",IF(SUMPRODUCT(--ISNUMBER(SEARCH({"Rugby","Football","League","Touch","Gaelic","Australian","Lacrosse","General Sport","Training Area","Ultimate"},C726)))&gt;0,"full","unknown"))))</f>
        <v/>
      </c>
      <c r="E726" s="9"/>
      <c r="F726" s="9"/>
      <c r="G726" s="9"/>
      <c r="H726" s="9"/>
      <c r="I726" s="12"/>
      <c r="J726" s="9"/>
      <c r="K726" s="9"/>
      <c r="L726" s="9"/>
      <c r="M726" s="9"/>
      <c r="N726" s="9"/>
      <c r="O726" s="13" t="str">
        <f aca="false">IF(C726="","",IF(N(M726)+N(N726)&lt;Settings!$C$9,"untested",M726/(M726+N726)))</f>
        <v/>
      </c>
      <c r="P726" s="9"/>
      <c r="Q726" s="9"/>
      <c r="R726" s="9"/>
      <c r="S726" s="12"/>
      <c r="T726" s="9"/>
      <c r="U726" s="9"/>
      <c r="V726" s="9"/>
      <c r="W726" s="10" t="str">
        <f aca="false">IF(C726="","",IF(OR(G726="training",G726="full"),"Yes",IF(G726="none","No","?")))</f>
        <v/>
      </c>
      <c r="X726" s="10" t="str">
        <f aca="false">IF(C726="","",IF(OR(E726="",E726="unknown"),D726,E726))</f>
        <v/>
      </c>
      <c r="Y726" s="10" t="str">
        <f aca="false">IF(C726="","",IF(OR(T726="unsuitable",T726="retired",X726="no"),"—",IF(J726="","unrated",IF(AND(X726="full",J726&gt;=Settings!$C$5,OR(O726="untested",O726&gt;=Settings!$C$6)),"A",IF(AND(OR(X726="full",X726="reduced"),J726&gt;=Settings!$C$7,OR(O726="untested",O726&gt;=Settings!$C$8)),"B","C")))))</f>
        <v/>
      </c>
      <c r="Z726" s="11" t="str">
        <f aca="false">IF(C726="","",IF(P726&lt;&gt;"",P726,Y726))</f>
        <v/>
      </c>
    </row>
    <row r="727" customFormat="false" ht="15" hidden="false" customHeight="false" outlineLevel="0" collapsed="false">
      <c r="A727" s="9"/>
      <c r="B727" s="10" t="str">
        <f aca="false">IF(A727="","",IFERROR(INDEX(Parks!$A$2:$A$255,MATCH(A727,Parks!$B$2:$B$255,0)),"?"))</f>
        <v/>
      </c>
      <c r="C727" s="9"/>
      <c r="D727" s="10" t="str">
        <f aca="false">IF(C727="","",IF(SUMPRODUCT(--ISNUMBER(SEARCH({"Nets","Wicket","Diamond","Softball","T-ball","Baseball","Netball","Tennis","Bocce","Pentaque","Petanque","Skate","Car Park","Pond","Bridle","Amphitheatre","Perimeter","Passive"},C727)))&gt;0,"no",IF(SUMPRODUCT(--ISNUMBER(SEARCH({"Cricket","Junior","Mini","Summer Football","Small"},C727)))&gt;0,"reduced",IF(SUMPRODUCT(--ISNUMBER(SEARCH({"Rugby","Football","League","Touch","Gaelic","Australian","Lacrosse","General Sport","Training Area","Ultimate"},C727)))&gt;0,"full","unknown"))))</f>
        <v/>
      </c>
      <c r="E727" s="9"/>
      <c r="F727" s="9"/>
      <c r="G727" s="9"/>
      <c r="H727" s="9"/>
      <c r="I727" s="12"/>
      <c r="J727" s="9"/>
      <c r="K727" s="9"/>
      <c r="L727" s="9"/>
      <c r="M727" s="9"/>
      <c r="N727" s="9"/>
      <c r="O727" s="13" t="str">
        <f aca="false">IF(C727="","",IF(N(M727)+N(N727)&lt;Settings!$C$9,"untested",M727/(M727+N727)))</f>
        <v/>
      </c>
      <c r="P727" s="9"/>
      <c r="Q727" s="9"/>
      <c r="R727" s="9"/>
      <c r="S727" s="12"/>
      <c r="T727" s="9"/>
      <c r="U727" s="9"/>
      <c r="V727" s="9"/>
      <c r="W727" s="10" t="str">
        <f aca="false">IF(C727="","",IF(OR(G727="training",G727="full"),"Yes",IF(G727="none","No","?")))</f>
        <v/>
      </c>
      <c r="X727" s="10" t="str">
        <f aca="false">IF(C727="","",IF(OR(E727="",E727="unknown"),D727,E727))</f>
        <v/>
      </c>
      <c r="Y727" s="10" t="str">
        <f aca="false">IF(C727="","",IF(OR(T727="unsuitable",T727="retired",X727="no"),"—",IF(J727="","unrated",IF(AND(X727="full",J727&gt;=Settings!$C$5,OR(O727="untested",O727&gt;=Settings!$C$6)),"A",IF(AND(OR(X727="full",X727="reduced"),J727&gt;=Settings!$C$7,OR(O727="untested",O727&gt;=Settings!$C$8)),"B","C")))))</f>
        <v/>
      </c>
      <c r="Z727" s="11" t="str">
        <f aca="false">IF(C727="","",IF(P727&lt;&gt;"",P727,Y727))</f>
        <v/>
      </c>
    </row>
    <row r="728" customFormat="false" ht="15" hidden="false" customHeight="false" outlineLevel="0" collapsed="false">
      <c r="A728" s="9"/>
      <c r="B728" s="10" t="str">
        <f aca="false">IF(A728="","",IFERROR(INDEX(Parks!$A$2:$A$255,MATCH(A728,Parks!$B$2:$B$255,0)),"?"))</f>
        <v/>
      </c>
      <c r="C728" s="9"/>
      <c r="D728" s="10" t="str">
        <f aca="false">IF(C728="","",IF(SUMPRODUCT(--ISNUMBER(SEARCH({"Nets","Wicket","Diamond","Softball","T-ball","Baseball","Netball","Tennis","Bocce","Pentaque","Petanque","Skate","Car Park","Pond","Bridle","Amphitheatre","Perimeter","Passive"},C728)))&gt;0,"no",IF(SUMPRODUCT(--ISNUMBER(SEARCH({"Cricket","Junior","Mini","Summer Football","Small"},C728)))&gt;0,"reduced",IF(SUMPRODUCT(--ISNUMBER(SEARCH({"Rugby","Football","League","Touch","Gaelic","Australian","Lacrosse","General Sport","Training Area","Ultimate"},C728)))&gt;0,"full","unknown"))))</f>
        <v/>
      </c>
      <c r="E728" s="9"/>
      <c r="F728" s="9"/>
      <c r="G728" s="9"/>
      <c r="H728" s="9"/>
      <c r="I728" s="12"/>
      <c r="J728" s="9"/>
      <c r="K728" s="9"/>
      <c r="L728" s="9"/>
      <c r="M728" s="9"/>
      <c r="N728" s="9"/>
      <c r="O728" s="13" t="str">
        <f aca="false">IF(C728="","",IF(N(M728)+N(N728)&lt;Settings!$C$9,"untested",M728/(M728+N728)))</f>
        <v/>
      </c>
      <c r="P728" s="9"/>
      <c r="Q728" s="9"/>
      <c r="R728" s="9"/>
      <c r="S728" s="12"/>
      <c r="T728" s="9"/>
      <c r="U728" s="9"/>
      <c r="V728" s="9"/>
      <c r="W728" s="10" t="str">
        <f aca="false">IF(C728="","",IF(OR(G728="training",G728="full"),"Yes",IF(G728="none","No","?")))</f>
        <v/>
      </c>
      <c r="X728" s="10" t="str">
        <f aca="false">IF(C728="","",IF(OR(E728="",E728="unknown"),D728,E728))</f>
        <v/>
      </c>
      <c r="Y728" s="10" t="str">
        <f aca="false">IF(C728="","",IF(OR(T728="unsuitable",T728="retired",X728="no"),"—",IF(J728="","unrated",IF(AND(X728="full",J728&gt;=Settings!$C$5,OR(O728="untested",O728&gt;=Settings!$C$6)),"A",IF(AND(OR(X728="full",X728="reduced"),J728&gt;=Settings!$C$7,OR(O728="untested",O728&gt;=Settings!$C$8)),"B","C")))))</f>
        <v/>
      </c>
      <c r="Z728" s="11" t="str">
        <f aca="false">IF(C728="","",IF(P728&lt;&gt;"",P728,Y728))</f>
        <v/>
      </c>
    </row>
    <row r="729" customFormat="false" ht="15" hidden="false" customHeight="false" outlineLevel="0" collapsed="false">
      <c r="A729" s="9"/>
      <c r="B729" s="10" t="str">
        <f aca="false">IF(A729="","",IFERROR(INDEX(Parks!$A$2:$A$255,MATCH(A729,Parks!$B$2:$B$255,0)),"?"))</f>
        <v/>
      </c>
      <c r="C729" s="9"/>
      <c r="D729" s="10" t="str">
        <f aca="false">IF(C729="","",IF(SUMPRODUCT(--ISNUMBER(SEARCH({"Nets","Wicket","Diamond","Softball","T-ball","Baseball","Netball","Tennis","Bocce","Pentaque","Petanque","Skate","Car Park","Pond","Bridle","Amphitheatre","Perimeter","Passive"},C729)))&gt;0,"no",IF(SUMPRODUCT(--ISNUMBER(SEARCH({"Cricket","Junior","Mini","Summer Football","Small"},C729)))&gt;0,"reduced",IF(SUMPRODUCT(--ISNUMBER(SEARCH({"Rugby","Football","League","Touch","Gaelic","Australian","Lacrosse","General Sport","Training Area","Ultimate"},C729)))&gt;0,"full","unknown"))))</f>
        <v/>
      </c>
      <c r="E729" s="9"/>
      <c r="F729" s="9"/>
      <c r="G729" s="9"/>
      <c r="H729" s="9"/>
      <c r="I729" s="12"/>
      <c r="J729" s="9"/>
      <c r="K729" s="9"/>
      <c r="L729" s="9"/>
      <c r="M729" s="9"/>
      <c r="N729" s="9"/>
      <c r="O729" s="13" t="str">
        <f aca="false">IF(C729="","",IF(N(M729)+N(N729)&lt;Settings!$C$9,"untested",M729/(M729+N729)))</f>
        <v/>
      </c>
      <c r="P729" s="9"/>
      <c r="Q729" s="9"/>
      <c r="R729" s="9"/>
      <c r="S729" s="12"/>
      <c r="T729" s="9"/>
      <c r="U729" s="9"/>
      <c r="V729" s="9"/>
      <c r="W729" s="10" t="str">
        <f aca="false">IF(C729="","",IF(OR(G729="training",G729="full"),"Yes",IF(G729="none","No","?")))</f>
        <v/>
      </c>
      <c r="X729" s="10" t="str">
        <f aca="false">IF(C729="","",IF(OR(E729="",E729="unknown"),D729,E729))</f>
        <v/>
      </c>
      <c r="Y729" s="10" t="str">
        <f aca="false">IF(C729="","",IF(OR(T729="unsuitable",T729="retired",X729="no"),"—",IF(J729="","unrated",IF(AND(X729="full",J729&gt;=Settings!$C$5,OR(O729="untested",O729&gt;=Settings!$C$6)),"A",IF(AND(OR(X729="full",X729="reduced"),J729&gt;=Settings!$C$7,OR(O729="untested",O729&gt;=Settings!$C$8)),"B","C")))))</f>
        <v/>
      </c>
      <c r="Z729" s="11" t="str">
        <f aca="false">IF(C729="","",IF(P729&lt;&gt;"",P729,Y729))</f>
        <v/>
      </c>
    </row>
    <row r="730" customFormat="false" ht="15" hidden="false" customHeight="false" outlineLevel="0" collapsed="false">
      <c r="A730" s="9"/>
      <c r="B730" s="10" t="str">
        <f aca="false">IF(A730="","",IFERROR(INDEX(Parks!$A$2:$A$255,MATCH(A730,Parks!$B$2:$B$255,0)),"?"))</f>
        <v/>
      </c>
      <c r="C730" s="9"/>
      <c r="D730" s="10" t="str">
        <f aca="false">IF(C730="","",IF(SUMPRODUCT(--ISNUMBER(SEARCH({"Nets","Wicket","Diamond","Softball","T-ball","Baseball","Netball","Tennis","Bocce","Pentaque","Petanque","Skate","Car Park","Pond","Bridle","Amphitheatre","Perimeter","Passive"},C730)))&gt;0,"no",IF(SUMPRODUCT(--ISNUMBER(SEARCH({"Cricket","Junior","Mini","Summer Football","Small"},C730)))&gt;0,"reduced",IF(SUMPRODUCT(--ISNUMBER(SEARCH({"Rugby","Football","League","Touch","Gaelic","Australian","Lacrosse","General Sport","Training Area","Ultimate"},C730)))&gt;0,"full","unknown"))))</f>
        <v/>
      </c>
      <c r="E730" s="9"/>
      <c r="F730" s="9"/>
      <c r="G730" s="9"/>
      <c r="H730" s="9"/>
      <c r="I730" s="12"/>
      <c r="J730" s="9"/>
      <c r="K730" s="9"/>
      <c r="L730" s="9"/>
      <c r="M730" s="9"/>
      <c r="N730" s="9"/>
      <c r="O730" s="13" t="str">
        <f aca="false">IF(C730="","",IF(N(M730)+N(N730)&lt;Settings!$C$9,"untested",M730/(M730+N730)))</f>
        <v/>
      </c>
      <c r="P730" s="9"/>
      <c r="Q730" s="9"/>
      <c r="R730" s="9"/>
      <c r="S730" s="12"/>
      <c r="T730" s="9"/>
      <c r="U730" s="9"/>
      <c r="V730" s="9"/>
      <c r="W730" s="10" t="str">
        <f aca="false">IF(C730="","",IF(OR(G730="training",G730="full"),"Yes",IF(G730="none","No","?")))</f>
        <v/>
      </c>
      <c r="X730" s="10" t="str">
        <f aca="false">IF(C730="","",IF(OR(E730="",E730="unknown"),D730,E730))</f>
        <v/>
      </c>
      <c r="Y730" s="10" t="str">
        <f aca="false">IF(C730="","",IF(OR(T730="unsuitable",T730="retired",X730="no"),"—",IF(J730="","unrated",IF(AND(X730="full",J730&gt;=Settings!$C$5,OR(O730="untested",O730&gt;=Settings!$C$6)),"A",IF(AND(OR(X730="full",X730="reduced"),J730&gt;=Settings!$C$7,OR(O730="untested",O730&gt;=Settings!$C$8)),"B","C")))))</f>
        <v/>
      </c>
      <c r="Z730" s="11" t="str">
        <f aca="false">IF(C730="","",IF(P730&lt;&gt;"",P730,Y730))</f>
        <v/>
      </c>
    </row>
    <row r="731" customFormat="false" ht="15" hidden="false" customHeight="false" outlineLevel="0" collapsed="false">
      <c r="A731" s="9"/>
      <c r="B731" s="10" t="str">
        <f aca="false">IF(A731="","",IFERROR(INDEX(Parks!$A$2:$A$255,MATCH(A731,Parks!$B$2:$B$255,0)),"?"))</f>
        <v/>
      </c>
      <c r="C731" s="9"/>
      <c r="D731" s="10" t="str">
        <f aca="false">IF(C731="","",IF(SUMPRODUCT(--ISNUMBER(SEARCH({"Nets","Wicket","Diamond","Softball","T-ball","Baseball","Netball","Tennis","Bocce","Pentaque","Petanque","Skate","Car Park","Pond","Bridle","Amphitheatre","Perimeter","Passive"},C731)))&gt;0,"no",IF(SUMPRODUCT(--ISNUMBER(SEARCH({"Cricket","Junior","Mini","Summer Football","Small"},C731)))&gt;0,"reduced",IF(SUMPRODUCT(--ISNUMBER(SEARCH({"Rugby","Football","League","Touch","Gaelic","Australian","Lacrosse","General Sport","Training Area","Ultimate"},C731)))&gt;0,"full","unknown"))))</f>
        <v/>
      </c>
      <c r="E731" s="9"/>
      <c r="F731" s="9"/>
      <c r="G731" s="9"/>
      <c r="H731" s="9"/>
      <c r="I731" s="12"/>
      <c r="J731" s="9"/>
      <c r="K731" s="9"/>
      <c r="L731" s="9"/>
      <c r="M731" s="9"/>
      <c r="N731" s="9"/>
      <c r="O731" s="13" t="str">
        <f aca="false">IF(C731="","",IF(N(M731)+N(N731)&lt;Settings!$C$9,"untested",M731/(M731+N731)))</f>
        <v/>
      </c>
      <c r="P731" s="9"/>
      <c r="Q731" s="9"/>
      <c r="R731" s="9"/>
      <c r="S731" s="12"/>
      <c r="T731" s="9"/>
      <c r="U731" s="9"/>
      <c r="V731" s="9"/>
      <c r="W731" s="10" t="str">
        <f aca="false">IF(C731="","",IF(OR(G731="training",G731="full"),"Yes",IF(G731="none","No","?")))</f>
        <v/>
      </c>
      <c r="X731" s="10" t="str">
        <f aca="false">IF(C731="","",IF(OR(E731="",E731="unknown"),D731,E731))</f>
        <v/>
      </c>
      <c r="Y731" s="10" t="str">
        <f aca="false">IF(C731="","",IF(OR(T731="unsuitable",T731="retired",X731="no"),"—",IF(J731="","unrated",IF(AND(X731="full",J731&gt;=Settings!$C$5,OR(O731="untested",O731&gt;=Settings!$C$6)),"A",IF(AND(OR(X731="full",X731="reduced"),J731&gt;=Settings!$C$7,OR(O731="untested",O731&gt;=Settings!$C$8)),"B","C")))))</f>
        <v/>
      </c>
      <c r="Z731" s="11" t="str">
        <f aca="false">IF(C731="","",IF(P731&lt;&gt;"",P731,Y731))</f>
        <v/>
      </c>
    </row>
    <row r="732" customFormat="false" ht="15" hidden="false" customHeight="false" outlineLevel="0" collapsed="false">
      <c r="A732" s="9"/>
      <c r="B732" s="10" t="str">
        <f aca="false">IF(A732="","",IFERROR(INDEX(Parks!$A$2:$A$255,MATCH(A732,Parks!$B$2:$B$255,0)),"?"))</f>
        <v/>
      </c>
      <c r="C732" s="9"/>
      <c r="D732" s="10" t="str">
        <f aca="false">IF(C732="","",IF(SUMPRODUCT(--ISNUMBER(SEARCH({"Nets","Wicket","Diamond","Softball","T-ball","Baseball","Netball","Tennis","Bocce","Pentaque","Petanque","Skate","Car Park","Pond","Bridle","Amphitheatre","Perimeter","Passive"},C732)))&gt;0,"no",IF(SUMPRODUCT(--ISNUMBER(SEARCH({"Cricket","Junior","Mini","Summer Football","Small"},C732)))&gt;0,"reduced",IF(SUMPRODUCT(--ISNUMBER(SEARCH({"Rugby","Football","League","Touch","Gaelic","Australian","Lacrosse","General Sport","Training Area","Ultimate"},C732)))&gt;0,"full","unknown"))))</f>
        <v/>
      </c>
      <c r="E732" s="9"/>
      <c r="F732" s="9"/>
      <c r="G732" s="9"/>
      <c r="H732" s="9"/>
      <c r="I732" s="12"/>
      <c r="J732" s="9"/>
      <c r="K732" s="9"/>
      <c r="L732" s="9"/>
      <c r="M732" s="9"/>
      <c r="N732" s="9"/>
      <c r="O732" s="13" t="str">
        <f aca="false">IF(C732="","",IF(N(M732)+N(N732)&lt;Settings!$C$9,"untested",M732/(M732+N732)))</f>
        <v/>
      </c>
      <c r="P732" s="9"/>
      <c r="Q732" s="9"/>
      <c r="R732" s="9"/>
      <c r="S732" s="12"/>
      <c r="T732" s="9"/>
      <c r="U732" s="9"/>
      <c r="V732" s="9"/>
      <c r="W732" s="10" t="str">
        <f aca="false">IF(C732="","",IF(OR(G732="training",G732="full"),"Yes",IF(G732="none","No","?")))</f>
        <v/>
      </c>
      <c r="X732" s="10" t="str">
        <f aca="false">IF(C732="","",IF(OR(E732="",E732="unknown"),D732,E732))</f>
        <v/>
      </c>
      <c r="Y732" s="10" t="str">
        <f aca="false">IF(C732="","",IF(OR(T732="unsuitable",T732="retired",X732="no"),"—",IF(J732="","unrated",IF(AND(X732="full",J732&gt;=Settings!$C$5,OR(O732="untested",O732&gt;=Settings!$C$6)),"A",IF(AND(OR(X732="full",X732="reduced"),J732&gt;=Settings!$C$7,OR(O732="untested",O732&gt;=Settings!$C$8)),"B","C")))))</f>
        <v/>
      </c>
      <c r="Z732" s="11" t="str">
        <f aca="false">IF(C732="","",IF(P732&lt;&gt;"",P732,Y732))</f>
        <v/>
      </c>
    </row>
    <row r="733" customFormat="false" ht="15" hidden="false" customHeight="false" outlineLevel="0" collapsed="false">
      <c r="A733" s="9"/>
      <c r="B733" s="10" t="str">
        <f aca="false">IF(A733="","",IFERROR(INDEX(Parks!$A$2:$A$255,MATCH(A733,Parks!$B$2:$B$255,0)),"?"))</f>
        <v/>
      </c>
      <c r="C733" s="9"/>
      <c r="D733" s="10" t="str">
        <f aca="false">IF(C733="","",IF(SUMPRODUCT(--ISNUMBER(SEARCH({"Nets","Wicket","Diamond","Softball","T-ball","Baseball","Netball","Tennis","Bocce","Pentaque","Petanque","Skate","Car Park","Pond","Bridle","Amphitheatre","Perimeter","Passive"},C733)))&gt;0,"no",IF(SUMPRODUCT(--ISNUMBER(SEARCH({"Cricket","Junior","Mini","Summer Football","Small"},C733)))&gt;0,"reduced",IF(SUMPRODUCT(--ISNUMBER(SEARCH({"Rugby","Football","League","Touch","Gaelic","Australian","Lacrosse","General Sport","Training Area","Ultimate"},C733)))&gt;0,"full","unknown"))))</f>
        <v/>
      </c>
      <c r="E733" s="9"/>
      <c r="F733" s="9"/>
      <c r="G733" s="9"/>
      <c r="H733" s="9"/>
      <c r="I733" s="12"/>
      <c r="J733" s="9"/>
      <c r="K733" s="9"/>
      <c r="L733" s="9"/>
      <c r="M733" s="9"/>
      <c r="N733" s="9"/>
      <c r="O733" s="13" t="str">
        <f aca="false">IF(C733="","",IF(N(M733)+N(N733)&lt;Settings!$C$9,"untested",M733/(M733+N733)))</f>
        <v/>
      </c>
      <c r="P733" s="9"/>
      <c r="Q733" s="9"/>
      <c r="R733" s="9"/>
      <c r="S733" s="12"/>
      <c r="T733" s="9"/>
      <c r="U733" s="9"/>
      <c r="V733" s="9"/>
      <c r="W733" s="10" t="str">
        <f aca="false">IF(C733="","",IF(OR(G733="training",G733="full"),"Yes",IF(G733="none","No","?")))</f>
        <v/>
      </c>
      <c r="X733" s="10" t="str">
        <f aca="false">IF(C733="","",IF(OR(E733="",E733="unknown"),D733,E733))</f>
        <v/>
      </c>
      <c r="Y733" s="10" t="str">
        <f aca="false">IF(C733="","",IF(OR(T733="unsuitable",T733="retired",X733="no"),"—",IF(J733="","unrated",IF(AND(X733="full",J733&gt;=Settings!$C$5,OR(O733="untested",O733&gt;=Settings!$C$6)),"A",IF(AND(OR(X733="full",X733="reduced"),J733&gt;=Settings!$C$7,OR(O733="untested",O733&gt;=Settings!$C$8)),"B","C")))))</f>
        <v/>
      </c>
      <c r="Z733" s="11" t="str">
        <f aca="false">IF(C733="","",IF(P733&lt;&gt;"",P733,Y733))</f>
        <v/>
      </c>
    </row>
    <row r="734" customFormat="false" ht="15" hidden="false" customHeight="false" outlineLevel="0" collapsed="false">
      <c r="A734" s="9"/>
      <c r="B734" s="10" t="str">
        <f aca="false">IF(A734="","",IFERROR(INDEX(Parks!$A$2:$A$255,MATCH(A734,Parks!$B$2:$B$255,0)),"?"))</f>
        <v/>
      </c>
      <c r="C734" s="9"/>
      <c r="D734" s="10" t="str">
        <f aca="false">IF(C734="","",IF(SUMPRODUCT(--ISNUMBER(SEARCH({"Nets","Wicket","Diamond","Softball","T-ball","Baseball","Netball","Tennis","Bocce","Pentaque","Petanque","Skate","Car Park","Pond","Bridle","Amphitheatre","Perimeter","Passive"},C734)))&gt;0,"no",IF(SUMPRODUCT(--ISNUMBER(SEARCH({"Cricket","Junior","Mini","Summer Football","Small"},C734)))&gt;0,"reduced",IF(SUMPRODUCT(--ISNUMBER(SEARCH({"Rugby","Football","League","Touch","Gaelic","Australian","Lacrosse","General Sport","Training Area","Ultimate"},C734)))&gt;0,"full","unknown"))))</f>
        <v/>
      </c>
      <c r="E734" s="9"/>
      <c r="F734" s="9"/>
      <c r="G734" s="9"/>
      <c r="H734" s="9"/>
      <c r="I734" s="12"/>
      <c r="J734" s="9"/>
      <c r="K734" s="9"/>
      <c r="L734" s="9"/>
      <c r="M734" s="9"/>
      <c r="N734" s="9"/>
      <c r="O734" s="13" t="str">
        <f aca="false">IF(C734="","",IF(N(M734)+N(N734)&lt;Settings!$C$9,"untested",M734/(M734+N734)))</f>
        <v/>
      </c>
      <c r="P734" s="9"/>
      <c r="Q734" s="9"/>
      <c r="R734" s="9"/>
      <c r="S734" s="12"/>
      <c r="T734" s="9"/>
      <c r="U734" s="9"/>
      <c r="V734" s="9"/>
      <c r="W734" s="10" t="str">
        <f aca="false">IF(C734="","",IF(OR(G734="training",G734="full"),"Yes",IF(G734="none","No","?")))</f>
        <v/>
      </c>
      <c r="X734" s="10" t="str">
        <f aca="false">IF(C734="","",IF(OR(E734="",E734="unknown"),D734,E734))</f>
        <v/>
      </c>
      <c r="Y734" s="10" t="str">
        <f aca="false">IF(C734="","",IF(OR(T734="unsuitable",T734="retired",X734="no"),"—",IF(J734="","unrated",IF(AND(X734="full",J734&gt;=Settings!$C$5,OR(O734="untested",O734&gt;=Settings!$C$6)),"A",IF(AND(OR(X734="full",X734="reduced"),J734&gt;=Settings!$C$7,OR(O734="untested",O734&gt;=Settings!$C$8)),"B","C")))))</f>
        <v/>
      </c>
      <c r="Z734" s="11" t="str">
        <f aca="false">IF(C734="","",IF(P734&lt;&gt;"",P734,Y734))</f>
        <v/>
      </c>
    </row>
    <row r="735" customFormat="false" ht="15" hidden="false" customHeight="false" outlineLevel="0" collapsed="false">
      <c r="A735" s="9"/>
      <c r="B735" s="10" t="str">
        <f aca="false">IF(A735="","",IFERROR(INDEX(Parks!$A$2:$A$255,MATCH(A735,Parks!$B$2:$B$255,0)),"?"))</f>
        <v/>
      </c>
      <c r="C735" s="9"/>
      <c r="D735" s="10" t="str">
        <f aca="false">IF(C735="","",IF(SUMPRODUCT(--ISNUMBER(SEARCH({"Nets","Wicket","Diamond","Softball","T-ball","Baseball","Netball","Tennis","Bocce","Pentaque","Petanque","Skate","Car Park","Pond","Bridle","Amphitheatre","Perimeter","Passive"},C735)))&gt;0,"no",IF(SUMPRODUCT(--ISNUMBER(SEARCH({"Cricket","Junior","Mini","Summer Football","Small"},C735)))&gt;0,"reduced",IF(SUMPRODUCT(--ISNUMBER(SEARCH({"Rugby","Football","League","Touch","Gaelic","Australian","Lacrosse","General Sport","Training Area","Ultimate"},C735)))&gt;0,"full","unknown"))))</f>
        <v/>
      </c>
      <c r="E735" s="9"/>
      <c r="F735" s="9"/>
      <c r="G735" s="9"/>
      <c r="H735" s="9"/>
      <c r="I735" s="12"/>
      <c r="J735" s="9"/>
      <c r="K735" s="9"/>
      <c r="L735" s="9"/>
      <c r="M735" s="9"/>
      <c r="N735" s="9"/>
      <c r="O735" s="13" t="str">
        <f aca="false">IF(C735="","",IF(N(M735)+N(N735)&lt;Settings!$C$9,"untested",M735/(M735+N735)))</f>
        <v/>
      </c>
      <c r="P735" s="9"/>
      <c r="Q735" s="9"/>
      <c r="R735" s="9"/>
      <c r="S735" s="12"/>
      <c r="T735" s="9"/>
      <c r="U735" s="9"/>
      <c r="V735" s="9"/>
      <c r="W735" s="10" t="str">
        <f aca="false">IF(C735="","",IF(OR(G735="training",G735="full"),"Yes",IF(G735="none","No","?")))</f>
        <v/>
      </c>
      <c r="X735" s="10" t="str">
        <f aca="false">IF(C735="","",IF(OR(E735="",E735="unknown"),D735,E735))</f>
        <v/>
      </c>
      <c r="Y735" s="10" t="str">
        <f aca="false">IF(C735="","",IF(OR(T735="unsuitable",T735="retired",X735="no"),"—",IF(J735="","unrated",IF(AND(X735="full",J735&gt;=Settings!$C$5,OR(O735="untested",O735&gt;=Settings!$C$6)),"A",IF(AND(OR(X735="full",X735="reduced"),J735&gt;=Settings!$C$7,OR(O735="untested",O735&gt;=Settings!$C$8)),"B","C")))))</f>
        <v/>
      </c>
      <c r="Z735" s="11" t="str">
        <f aca="false">IF(C735="","",IF(P735&lt;&gt;"",P735,Y735))</f>
        <v/>
      </c>
    </row>
    <row r="736" customFormat="false" ht="15" hidden="false" customHeight="false" outlineLevel="0" collapsed="false">
      <c r="A736" s="9"/>
      <c r="B736" s="10" t="str">
        <f aca="false">IF(A736="","",IFERROR(INDEX(Parks!$A$2:$A$255,MATCH(A736,Parks!$B$2:$B$255,0)),"?"))</f>
        <v/>
      </c>
      <c r="C736" s="9"/>
      <c r="D736" s="10" t="str">
        <f aca="false">IF(C736="","",IF(SUMPRODUCT(--ISNUMBER(SEARCH({"Nets","Wicket","Diamond","Softball","T-ball","Baseball","Netball","Tennis","Bocce","Pentaque","Petanque","Skate","Car Park","Pond","Bridle","Amphitheatre","Perimeter","Passive"},C736)))&gt;0,"no",IF(SUMPRODUCT(--ISNUMBER(SEARCH({"Cricket","Junior","Mini","Summer Football","Small"},C736)))&gt;0,"reduced",IF(SUMPRODUCT(--ISNUMBER(SEARCH({"Rugby","Football","League","Touch","Gaelic","Australian","Lacrosse","General Sport","Training Area","Ultimate"},C736)))&gt;0,"full","unknown"))))</f>
        <v/>
      </c>
      <c r="E736" s="9"/>
      <c r="F736" s="9"/>
      <c r="G736" s="9"/>
      <c r="H736" s="9"/>
      <c r="I736" s="12"/>
      <c r="J736" s="9"/>
      <c r="K736" s="9"/>
      <c r="L736" s="9"/>
      <c r="M736" s="9"/>
      <c r="N736" s="9"/>
      <c r="O736" s="13" t="str">
        <f aca="false">IF(C736="","",IF(N(M736)+N(N736)&lt;Settings!$C$9,"untested",M736/(M736+N736)))</f>
        <v/>
      </c>
      <c r="P736" s="9"/>
      <c r="Q736" s="9"/>
      <c r="R736" s="9"/>
      <c r="S736" s="12"/>
      <c r="T736" s="9"/>
      <c r="U736" s="9"/>
      <c r="V736" s="9"/>
      <c r="W736" s="10" t="str">
        <f aca="false">IF(C736="","",IF(OR(G736="training",G736="full"),"Yes",IF(G736="none","No","?")))</f>
        <v/>
      </c>
      <c r="X736" s="10" t="str">
        <f aca="false">IF(C736="","",IF(OR(E736="",E736="unknown"),D736,E736))</f>
        <v/>
      </c>
      <c r="Y736" s="10" t="str">
        <f aca="false">IF(C736="","",IF(OR(T736="unsuitable",T736="retired",X736="no"),"—",IF(J736="","unrated",IF(AND(X736="full",J736&gt;=Settings!$C$5,OR(O736="untested",O736&gt;=Settings!$C$6)),"A",IF(AND(OR(X736="full",X736="reduced"),J736&gt;=Settings!$C$7,OR(O736="untested",O736&gt;=Settings!$C$8)),"B","C")))))</f>
        <v/>
      </c>
      <c r="Z736" s="11" t="str">
        <f aca="false">IF(C736="","",IF(P736&lt;&gt;"",P736,Y736))</f>
        <v/>
      </c>
    </row>
    <row r="737" customFormat="false" ht="15" hidden="false" customHeight="false" outlineLevel="0" collapsed="false">
      <c r="A737" s="9"/>
      <c r="B737" s="10" t="str">
        <f aca="false">IF(A737="","",IFERROR(INDEX(Parks!$A$2:$A$255,MATCH(A737,Parks!$B$2:$B$255,0)),"?"))</f>
        <v/>
      </c>
      <c r="C737" s="9"/>
      <c r="D737" s="10" t="str">
        <f aca="false">IF(C737="","",IF(SUMPRODUCT(--ISNUMBER(SEARCH({"Nets","Wicket","Diamond","Softball","T-ball","Baseball","Netball","Tennis","Bocce","Pentaque","Petanque","Skate","Car Park","Pond","Bridle","Amphitheatre","Perimeter","Passive"},C737)))&gt;0,"no",IF(SUMPRODUCT(--ISNUMBER(SEARCH({"Cricket","Junior","Mini","Summer Football","Small"},C737)))&gt;0,"reduced",IF(SUMPRODUCT(--ISNUMBER(SEARCH({"Rugby","Football","League","Touch","Gaelic","Australian","Lacrosse","General Sport","Training Area","Ultimate"},C737)))&gt;0,"full","unknown"))))</f>
        <v/>
      </c>
      <c r="E737" s="9"/>
      <c r="F737" s="9"/>
      <c r="G737" s="9"/>
      <c r="H737" s="9"/>
      <c r="I737" s="12"/>
      <c r="J737" s="9"/>
      <c r="K737" s="9"/>
      <c r="L737" s="9"/>
      <c r="M737" s="9"/>
      <c r="N737" s="9"/>
      <c r="O737" s="13" t="str">
        <f aca="false">IF(C737="","",IF(N(M737)+N(N737)&lt;Settings!$C$9,"untested",M737/(M737+N737)))</f>
        <v/>
      </c>
      <c r="P737" s="9"/>
      <c r="Q737" s="9"/>
      <c r="R737" s="9"/>
      <c r="S737" s="12"/>
      <c r="T737" s="9"/>
      <c r="U737" s="9"/>
      <c r="V737" s="9"/>
      <c r="W737" s="10" t="str">
        <f aca="false">IF(C737="","",IF(OR(G737="training",G737="full"),"Yes",IF(G737="none","No","?")))</f>
        <v/>
      </c>
      <c r="X737" s="10" t="str">
        <f aca="false">IF(C737="","",IF(OR(E737="",E737="unknown"),D737,E737))</f>
        <v/>
      </c>
      <c r="Y737" s="10" t="str">
        <f aca="false">IF(C737="","",IF(OR(T737="unsuitable",T737="retired",X737="no"),"—",IF(J737="","unrated",IF(AND(X737="full",J737&gt;=Settings!$C$5,OR(O737="untested",O737&gt;=Settings!$C$6)),"A",IF(AND(OR(X737="full",X737="reduced"),J737&gt;=Settings!$C$7,OR(O737="untested",O737&gt;=Settings!$C$8)),"B","C")))))</f>
        <v/>
      </c>
      <c r="Z737" s="11" t="str">
        <f aca="false">IF(C737="","",IF(P737&lt;&gt;"",P737,Y737))</f>
        <v/>
      </c>
    </row>
    <row r="738" customFormat="false" ht="15" hidden="false" customHeight="false" outlineLevel="0" collapsed="false">
      <c r="A738" s="9"/>
      <c r="B738" s="10" t="str">
        <f aca="false">IF(A738="","",IFERROR(INDEX(Parks!$A$2:$A$255,MATCH(A738,Parks!$B$2:$B$255,0)),"?"))</f>
        <v/>
      </c>
      <c r="C738" s="9"/>
      <c r="D738" s="10" t="str">
        <f aca="false">IF(C738="","",IF(SUMPRODUCT(--ISNUMBER(SEARCH({"Nets","Wicket","Diamond","Softball","T-ball","Baseball","Netball","Tennis","Bocce","Pentaque","Petanque","Skate","Car Park","Pond","Bridle","Amphitheatre","Perimeter","Passive"},C738)))&gt;0,"no",IF(SUMPRODUCT(--ISNUMBER(SEARCH({"Cricket","Junior","Mini","Summer Football","Small"},C738)))&gt;0,"reduced",IF(SUMPRODUCT(--ISNUMBER(SEARCH({"Rugby","Football","League","Touch","Gaelic","Australian","Lacrosse","General Sport","Training Area","Ultimate"},C738)))&gt;0,"full","unknown"))))</f>
        <v/>
      </c>
      <c r="E738" s="9"/>
      <c r="F738" s="9"/>
      <c r="G738" s="9"/>
      <c r="H738" s="9"/>
      <c r="I738" s="12"/>
      <c r="J738" s="9"/>
      <c r="K738" s="9"/>
      <c r="L738" s="9"/>
      <c r="M738" s="9"/>
      <c r="N738" s="9"/>
      <c r="O738" s="13" t="str">
        <f aca="false">IF(C738="","",IF(N(M738)+N(N738)&lt;Settings!$C$9,"untested",M738/(M738+N738)))</f>
        <v/>
      </c>
      <c r="P738" s="9"/>
      <c r="Q738" s="9"/>
      <c r="R738" s="9"/>
      <c r="S738" s="12"/>
      <c r="T738" s="9"/>
      <c r="U738" s="9"/>
      <c r="V738" s="9"/>
      <c r="W738" s="10" t="str">
        <f aca="false">IF(C738="","",IF(OR(G738="training",G738="full"),"Yes",IF(G738="none","No","?")))</f>
        <v/>
      </c>
      <c r="X738" s="10" t="str">
        <f aca="false">IF(C738="","",IF(OR(E738="",E738="unknown"),D738,E738))</f>
        <v/>
      </c>
      <c r="Y738" s="10" t="str">
        <f aca="false">IF(C738="","",IF(OR(T738="unsuitable",T738="retired",X738="no"),"—",IF(J738="","unrated",IF(AND(X738="full",J738&gt;=Settings!$C$5,OR(O738="untested",O738&gt;=Settings!$C$6)),"A",IF(AND(OR(X738="full",X738="reduced"),J738&gt;=Settings!$C$7,OR(O738="untested",O738&gt;=Settings!$C$8)),"B","C")))))</f>
        <v/>
      </c>
      <c r="Z738" s="11" t="str">
        <f aca="false">IF(C738="","",IF(P738&lt;&gt;"",P738,Y738))</f>
        <v/>
      </c>
    </row>
    <row r="739" customFormat="false" ht="15" hidden="false" customHeight="false" outlineLevel="0" collapsed="false">
      <c r="A739" s="9"/>
      <c r="B739" s="10" t="str">
        <f aca="false">IF(A739="","",IFERROR(INDEX(Parks!$A$2:$A$255,MATCH(A739,Parks!$B$2:$B$255,0)),"?"))</f>
        <v/>
      </c>
      <c r="C739" s="9"/>
      <c r="D739" s="10" t="str">
        <f aca="false">IF(C739="","",IF(SUMPRODUCT(--ISNUMBER(SEARCH({"Nets","Wicket","Diamond","Softball","T-ball","Baseball","Netball","Tennis","Bocce","Pentaque","Petanque","Skate","Car Park","Pond","Bridle","Amphitheatre","Perimeter","Passive"},C739)))&gt;0,"no",IF(SUMPRODUCT(--ISNUMBER(SEARCH({"Cricket","Junior","Mini","Summer Football","Small"},C739)))&gt;0,"reduced",IF(SUMPRODUCT(--ISNUMBER(SEARCH({"Rugby","Football","League","Touch","Gaelic","Australian","Lacrosse","General Sport","Training Area","Ultimate"},C739)))&gt;0,"full","unknown"))))</f>
        <v/>
      </c>
      <c r="E739" s="9"/>
      <c r="F739" s="9"/>
      <c r="G739" s="9"/>
      <c r="H739" s="9"/>
      <c r="I739" s="12"/>
      <c r="J739" s="9"/>
      <c r="K739" s="9"/>
      <c r="L739" s="9"/>
      <c r="M739" s="9"/>
      <c r="N739" s="9"/>
      <c r="O739" s="13" t="str">
        <f aca="false">IF(C739="","",IF(N(M739)+N(N739)&lt;Settings!$C$9,"untested",M739/(M739+N739)))</f>
        <v/>
      </c>
      <c r="P739" s="9"/>
      <c r="Q739" s="9"/>
      <c r="R739" s="9"/>
      <c r="S739" s="12"/>
      <c r="T739" s="9"/>
      <c r="U739" s="9"/>
      <c r="V739" s="9"/>
      <c r="W739" s="10" t="str">
        <f aca="false">IF(C739="","",IF(OR(G739="training",G739="full"),"Yes",IF(G739="none","No","?")))</f>
        <v/>
      </c>
      <c r="X739" s="10" t="str">
        <f aca="false">IF(C739="","",IF(OR(E739="",E739="unknown"),D739,E739))</f>
        <v/>
      </c>
      <c r="Y739" s="10" t="str">
        <f aca="false">IF(C739="","",IF(OR(T739="unsuitable",T739="retired",X739="no"),"—",IF(J739="","unrated",IF(AND(X739="full",J739&gt;=Settings!$C$5,OR(O739="untested",O739&gt;=Settings!$C$6)),"A",IF(AND(OR(X739="full",X739="reduced"),J739&gt;=Settings!$C$7,OR(O739="untested",O739&gt;=Settings!$C$8)),"B","C")))))</f>
        <v/>
      </c>
      <c r="Z739" s="11" t="str">
        <f aca="false">IF(C739="","",IF(P739&lt;&gt;"",P739,Y739))</f>
        <v/>
      </c>
    </row>
    <row r="740" customFormat="false" ht="15" hidden="false" customHeight="false" outlineLevel="0" collapsed="false">
      <c r="A740" s="9"/>
      <c r="B740" s="10" t="str">
        <f aca="false">IF(A740="","",IFERROR(INDEX(Parks!$A$2:$A$255,MATCH(A740,Parks!$B$2:$B$255,0)),"?"))</f>
        <v/>
      </c>
      <c r="C740" s="9"/>
      <c r="D740" s="10" t="str">
        <f aca="false">IF(C740="","",IF(SUMPRODUCT(--ISNUMBER(SEARCH({"Nets","Wicket","Diamond","Softball","T-ball","Baseball","Netball","Tennis","Bocce","Pentaque","Petanque","Skate","Car Park","Pond","Bridle","Amphitheatre","Perimeter","Passive"},C740)))&gt;0,"no",IF(SUMPRODUCT(--ISNUMBER(SEARCH({"Cricket","Junior","Mini","Summer Football","Small"},C740)))&gt;0,"reduced",IF(SUMPRODUCT(--ISNUMBER(SEARCH({"Rugby","Football","League","Touch","Gaelic","Australian","Lacrosse","General Sport","Training Area","Ultimate"},C740)))&gt;0,"full","unknown"))))</f>
        <v/>
      </c>
      <c r="E740" s="9"/>
      <c r="F740" s="9"/>
      <c r="G740" s="9"/>
      <c r="H740" s="9"/>
      <c r="I740" s="12"/>
      <c r="J740" s="9"/>
      <c r="K740" s="9"/>
      <c r="L740" s="9"/>
      <c r="M740" s="9"/>
      <c r="N740" s="9"/>
      <c r="O740" s="13" t="str">
        <f aca="false">IF(C740="","",IF(N(M740)+N(N740)&lt;Settings!$C$9,"untested",M740/(M740+N740)))</f>
        <v/>
      </c>
      <c r="P740" s="9"/>
      <c r="Q740" s="9"/>
      <c r="R740" s="9"/>
      <c r="S740" s="12"/>
      <c r="T740" s="9"/>
      <c r="U740" s="9"/>
      <c r="V740" s="9"/>
      <c r="W740" s="10" t="str">
        <f aca="false">IF(C740="","",IF(OR(G740="training",G740="full"),"Yes",IF(G740="none","No","?")))</f>
        <v/>
      </c>
      <c r="X740" s="10" t="str">
        <f aca="false">IF(C740="","",IF(OR(E740="",E740="unknown"),D740,E740))</f>
        <v/>
      </c>
      <c r="Y740" s="10" t="str">
        <f aca="false">IF(C740="","",IF(OR(T740="unsuitable",T740="retired",X740="no"),"—",IF(J740="","unrated",IF(AND(X740="full",J740&gt;=Settings!$C$5,OR(O740="untested",O740&gt;=Settings!$C$6)),"A",IF(AND(OR(X740="full",X740="reduced"),J740&gt;=Settings!$C$7,OR(O740="untested",O740&gt;=Settings!$C$8)),"B","C")))))</f>
        <v/>
      </c>
      <c r="Z740" s="11" t="str">
        <f aca="false">IF(C740="","",IF(P740&lt;&gt;"",P740,Y740))</f>
        <v/>
      </c>
    </row>
    <row r="741" customFormat="false" ht="15" hidden="false" customHeight="false" outlineLevel="0" collapsed="false">
      <c r="A741" s="9"/>
      <c r="B741" s="10" t="str">
        <f aca="false">IF(A741="","",IFERROR(INDEX(Parks!$A$2:$A$255,MATCH(A741,Parks!$B$2:$B$255,0)),"?"))</f>
        <v/>
      </c>
      <c r="C741" s="9"/>
      <c r="D741" s="10" t="str">
        <f aca="false">IF(C741="","",IF(SUMPRODUCT(--ISNUMBER(SEARCH({"Nets","Wicket","Diamond","Softball","T-ball","Baseball","Netball","Tennis","Bocce","Pentaque","Petanque","Skate","Car Park","Pond","Bridle","Amphitheatre","Perimeter","Passive"},C741)))&gt;0,"no",IF(SUMPRODUCT(--ISNUMBER(SEARCH({"Cricket","Junior","Mini","Summer Football","Small"},C741)))&gt;0,"reduced",IF(SUMPRODUCT(--ISNUMBER(SEARCH({"Rugby","Football","League","Touch","Gaelic","Australian","Lacrosse","General Sport","Training Area","Ultimate"},C741)))&gt;0,"full","unknown"))))</f>
        <v/>
      </c>
      <c r="E741" s="9"/>
      <c r="F741" s="9"/>
      <c r="G741" s="9"/>
      <c r="H741" s="9"/>
      <c r="I741" s="12"/>
      <c r="J741" s="9"/>
      <c r="K741" s="9"/>
      <c r="L741" s="9"/>
      <c r="M741" s="9"/>
      <c r="N741" s="9"/>
      <c r="O741" s="13" t="str">
        <f aca="false">IF(C741="","",IF(N(M741)+N(N741)&lt;Settings!$C$9,"untested",M741/(M741+N741)))</f>
        <v/>
      </c>
      <c r="P741" s="9"/>
      <c r="Q741" s="9"/>
      <c r="R741" s="9"/>
      <c r="S741" s="12"/>
      <c r="T741" s="9"/>
      <c r="U741" s="9"/>
      <c r="V741" s="9"/>
      <c r="W741" s="10" t="str">
        <f aca="false">IF(C741="","",IF(OR(G741="training",G741="full"),"Yes",IF(G741="none","No","?")))</f>
        <v/>
      </c>
      <c r="X741" s="10" t="str">
        <f aca="false">IF(C741="","",IF(OR(E741="",E741="unknown"),D741,E741))</f>
        <v/>
      </c>
      <c r="Y741" s="10" t="str">
        <f aca="false">IF(C741="","",IF(OR(T741="unsuitable",T741="retired",X741="no"),"—",IF(J741="","unrated",IF(AND(X741="full",J741&gt;=Settings!$C$5,OR(O741="untested",O741&gt;=Settings!$C$6)),"A",IF(AND(OR(X741="full",X741="reduced"),J741&gt;=Settings!$C$7,OR(O741="untested",O741&gt;=Settings!$C$8)),"B","C")))))</f>
        <v/>
      </c>
      <c r="Z741" s="11" t="str">
        <f aca="false">IF(C741="","",IF(P741&lt;&gt;"",P741,Y741))</f>
        <v/>
      </c>
    </row>
    <row r="742" customFormat="false" ht="15" hidden="false" customHeight="false" outlineLevel="0" collapsed="false">
      <c r="A742" s="9"/>
      <c r="B742" s="10" t="str">
        <f aca="false">IF(A742="","",IFERROR(INDEX(Parks!$A$2:$A$255,MATCH(A742,Parks!$B$2:$B$255,0)),"?"))</f>
        <v/>
      </c>
      <c r="C742" s="9"/>
      <c r="D742" s="10" t="str">
        <f aca="false">IF(C742="","",IF(SUMPRODUCT(--ISNUMBER(SEARCH({"Nets","Wicket","Diamond","Softball","T-ball","Baseball","Netball","Tennis","Bocce","Pentaque","Petanque","Skate","Car Park","Pond","Bridle","Amphitheatre","Perimeter","Passive"},C742)))&gt;0,"no",IF(SUMPRODUCT(--ISNUMBER(SEARCH({"Cricket","Junior","Mini","Summer Football","Small"},C742)))&gt;0,"reduced",IF(SUMPRODUCT(--ISNUMBER(SEARCH({"Rugby","Football","League","Touch","Gaelic","Australian","Lacrosse","General Sport","Training Area","Ultimate"},C742)))&gt;0,"full","unknown"))))</f>
        <v/>
      </c>
      <c r="E742" s="9"/>
      <c r="F742" s="9"/>
      <c r="G742" s="9"/>
      <c r="H742" s="9"/>
      <c r="I742" s="12"/>
      <c r="J742" s="9"/>
      <c r="K742" s="9"/>
      <c r="L742" s="9"/>
      <c r="M742" s="9"/>
      <c r="N742" s="9"/>
      <c r="O742" s="13" t="str">
        <f aca="false">IF(C742="","",IF(N(M742)+N(N742)&lt;Settings!$C$9,"untested",M742/(M742+N742)))</f>
        <v/>
      </c>
      <c r="P742" s="9"/>
      <c r="Q742" s="9"/>
      <c r="R742" s="9"/>
      <c r="S742" s="12"/>
      <c r="T742" s="9"/>
      <c r="U742" s="9"/>
      <c r="V742" s="9"/>
      <c r="W742" s="10" t="str">
        <f aca="false">IF(C742="","",IF(OR(G742="training",G742="full"),"Yes",IF(G742="none","No","?")))</f>
        <v/>
      </c>
      <c r="X742" s="10" t="str">
        <f aca="false">IF(C742="","",IF(OR(E742="",E742="unknown"),D742,E742))</f>
        <v/>
      </c>
      <c r="Y742" s="10" t="str">
        <f aca="false">IF(C742="","",IF(OR(T742="unsuitable",T742="retired",X742="no"),"—",IF(J742="","unrated",IF(AND(X742="full",J742&gt;=Settings!$C$5,OR(O742="untested",O742&gt;=Settings!$C$6)),"A",IF(AND(OR(X742="full",X742="reduced"),J742&gt;=Settings!$C$7,OR(O742="untested",O742&gt;=Settings!$C$8)),"B","C")))))</f>
        <v/>
      </c>
      <c r="Z742" s="11" t="str">
        <f aca="false">IF(C742="","",IF(P742&lt;&gt;"",P742,Y742))</f>
        <v/>
      </c>
    </row>
    <row r="743" customFormat="false" ht="15" hidden="false" customHeight="false" outlineLevel="0" collapsed="false">
      <c r="A743" s="9"/>
      <c r="B743" s="10" t="str">
        <f aca="false">IF(A743="","",IFERROR(INDEX(Parks!$A$2:$A$255,MATCH(A743,Parks!$B$2:$B$255,0)),"?"))</f>
        <v/>
      </c>
      <c r="C743" s="9"/>
      <c r="D743" s="10" t="str">
        <f aca="false">IF(C743="","",IF(SUMPRODUCT(--ISNUMBER(SEARCH({"Nets","Wicket","Diamond","Softball","T-ball","Baseball","Netball","Tennis","Bocce","Pentaque","Petanque","Skate","Car Park","Pond","Bridle","Amphitheatre","Perimeter","Passive"},C743)))&gt;0,"no",IF(SUMPRODUCT(--ISNUMBER(SEARCH({"Cricket","Junior","Mini","Summer Football","Small"},C743)))&gt;0,"reduced",IF(SUMPRODUCT(--ISNUMBER(SEARCH({"Rugby","Football","League","Touch","Gaelic","Australian","Lacrosse","General Sport","Training Area","Ultimate"},C743)))&gt;0,"full","unknown"))))</f>
        <v/>
      </c>
      <c r="E743" s="9"/>
      <c r="F743" s="9"/>
      <c r="G743" s="9"/>
      <c r="H743" s="9"/>
      <c r="I743" s="12"/>
      <c r="J743" s="9"/>
      <c r="K743" s="9"/>
      <c r="L743" s="9"/>
      <c r="M743" s="9"/>
      <c r="N743" s="9"/>
      <c r="O743" s="13" t="str">
        <f aca="false">IF(C743="","",IF(N(M743)+N(N743)&lt;Settings!$C$9,"untested",M743/(M743+N743)))</f>
        <v/>
      </c>
      <c r="P743" s="9"/>
      <c r="Q743" s="9"/>
      <c r="R743" s="9"/>
      <c r="S743" s="12"/>
      <c r="T743" s="9"/>
      <c r="U743" s="9"/>
      <c r="V743" s="9"/>
      <c r="W743" s="10" t="str">
        <f aca="false">IF(C743="","",IF(OR(G743="training",G743="full"),"Yes",IF(G743="none","No","?")))</f>
        <v/>
      </c>
      <c r="X743" s="10" t="str">
        <f aca="false">IF(C743="","",IF(OR(E743="",E743="unknown"),D743,E743))</f>
        <v/>
      </c>
      <c r="Y743" s="10" t="str">
        <f aca="false">IF(C743="","",IF(OR(T743="unsuitable",T743="retired",X743="no"),"—",IF(J743="","unrated",IF(AND(X743="full",J743&gt;=Settings!$C$5,OR(O743="untested",O743&gt;=Settings!$C$6)),"A",IF(AND(OR(X743="full",X743="reduced"),J743&gt;=Settings!$C$7,OR(O743="untested",O743&gt;=Settings!$C$8)),"B","C")))))</f>
        <v/>
      </c>
      <c r="Z743" s="11" t="str">
        <f aca="false">IF(C743="","",IF(P743&lt;&gt;"",P743,Y743))</f>
        <v/>
      </c>
    </row>
    <row r="744" customFormat="false" ht="15" hidden="false" customHeight="false" outlineLevel="0" collapsed="false">
      <c r="A744" s="9"/>
      <c r="B744" s="10" t="str">
        <f aca="false">IF(A744="","",IFERROR(INDEX(Parks!$A$2:$A$255,MATCH(A744,Parks!$B$2:$B$255,0)),"?"))</f>
        <v/>
      </c>
      <c r="C744" s="9"/>
      <c r="D744" s="10" t="str">
        <f aca="false">IF(C744="","",IF(SUMPRODUCT(--ISNUMBER(SEARCH({"Nets","Wicket","Diamond","Softball","T-ball","Baseball","Netball","Tennis","Bocce","Pentaque","Petanque","Skate","Car Park","Pond","Bridle","Amphitheatre","Perimeter","Passive"},C744)))&gt;0,"no",IF(SUMPRODUCT(--ISNUMBER(SEARCH({"Cricket","Junior","Mini","Summer Football","Small"},C744)))&gt;0,"reduced",IF(SUMPRODUCT(--ISNUMBER(SEARCH({"Rugby","Football","League","Touch","Gaelic","Australian","Lacrosse","General Sport","Training Area","Ultimate"},C744)))&gt;0,"full","unknown"))))</f>
        <v/>
      </c>
      <c r="E744" s="9"/>
      <c r="F744" s="9"/>
      <c r="G744" s="9"/>
      <c r="H744" s="9"/>
      <c r="I744" s="12"/>
      <c r="J744" s="9"/>
      <c r="K744" s="9"/>
      <c r="L744" s="9"/>
      <c r="M744" s="9"/>
      <c r="N744" s="9"/>
      <c r="O744" s="13" t="str">
        <f aca="false">IF(C744="","",IF(N(M744)+N(N744)&lt;Settings!$C$9,"untested",M744/(M744+N744)))</f>
        <v/>
      </c>
      <c r="P744" s="9"/>
      <c r="Q744" s="9"/>
      <c r="R744" s="9"/>
      <c r="S744" s="12"/>
      <c r="T744" s="9"/>
      <c r="U744" s="9"/>
      <c r="V744" s="9"/>
      <c r="W744" s="10" t="str">
        <f aca="false">IF(C744="","",IF(OR(G744="training",G744="full"),"Yes",IF(G744="none","No","?")))</f>
        <v/>
      </c>
      <c r="X744" s="10" t="str">
        <f aca="false">IF(C744="","",IF(OR(E744="",E744="unknown"),D744,E744))</f>
        <v/>
      </c>
      <c r="Y744" s="10" t="str">
        <f aca="false">IF(C744="","",IF(OR(T744="unsuitable",T744="retired",X744="no"),"—",IF(J744="","unrated",IF(AND(X744="full",J744&gt;=Settings!$C$5,OR(O744="untested",O744&gt;=Settings!$C$6)),"A",IF(AND(OR(X744="full",X744="reduced"),J744&gt;=Settings!$C$7,OR(O744="untested",O744&gt;=Settings!$C$8)),"B","C")))))</f>
        <v/>
      </c>
      <c r="Z744" s="11" t="str">
        <f aca="false">IF(C744="","",IF(P744&lt;&gt;"",P744,Y744))</f>
        <v/>
      </c>
    </row>
    <row r="745" customFormat="false" ht="15" hidden="false" customHeight="false" outlineLevel="0" collapsed="false">
      <c r="A745" s="9"/>
      <c r="B745" s="10" t="str">
        <f aca="false">IF(A745="","",IFERROR(INDEX(Parks!$A$2:$A$255,MATCH(A745,Parks!$B$2:$B$255,0)),"?"))</f>
        <v/>
      </c>
      <c r="C745" s="9"/>
      <c r="D745" s="10" t="str">
        <f aca="false">IF(C745="","",IF(SUMPRODUCT(--ISNUMBER(SEARCH({"Nets","Wicket","Diamond","Softball","T-ball","Baseball","Netball","Tennis","Bocce","Pentaque","Petanque","Skate","Car Park","Pond","Bridle","Amphitheatre","Perimeter","Passive"},C745)))&gt;0,"no",IF(SUMPRODUCT(--ISNUMBER(SEARCH({"Cricket","Junior","Mini","Summer Football","Small"},C745)))&gt;0,"reduced",IF(SUMPRODUCT(--ISNUMBER(SEARCH({"Rugby","Football","League","Touch","Gaelic","Australian","Lacrosse","General Sport","Training Area","Ultimate"},C745)))&gt;0,"full","unknown"))))</f>
        <v/>
      </c>
      <c r="E745" s="9"/>
      <c r="F745" s="9"/>
      <c r="G745" s="9"/>
      <c r="H745" s="9"/>
      <c r="I745" s="12"/>
      <c r="J745" s="9"/>
      <c r="K745" s="9"/>
      <c r="L745" s="9"/>
      <c r="M745" s="9"/>
      <c r="N745" s="9"/>
      <c r="O745" s="13" t="str">
        <f aca="false">IF(C745="","",IF(N(M745)+N(N745)&lt;Settings!$C$9,"untested",M745/(M745+N745)))</f>
        <v/>
      </c>
      <c r="P745" s="9"/>
      <c r="Q745" s="9"/>
      <c r="R745" s="9"/>
      <c r="S745" s="12"/>
      <c r="T745" s="9"/>
      <c r="U745" s="9"/>
      <c r="V745" s="9"/>
      <c r="W745" s="10" t="str">
        <f aca="false">IF(C745="","",IF(OR(G745="training",G745="full"),"Yes",IF(G745="none","No","?")))</f>
        <v/>
      </c>
      <c r="X745" s="10" t="str">
        <f aca="false">IF(C745="","",IF(OR(E745="",E745="unknown"),D745,E745))</f>
        <v/>
      </c>
      <c r="Y745" s="10" t="str">
        <f aca="false">IF(C745="","",IF(OR(T745="unsuitable",T745="retired",X745="no"),"—",IF(J745="","unrated",IF(AND(X745="full",J745&gt;=Settings!$C$5,OR(O745="untested",O745&gt;=Settings!$C$6)),"A",IF(AND(OR(X745="full",X745="reduced"),J745&gt;=Settings!$C$7,OR(O745="untested",O745&gt;=Settings!$C$8)),"B","C")))))</f>
        <v/>
      </c>
      <c r="Z745" s="11" t="str">
        <f aca="false">IF(C745="","",IF(P745&lt;&gt;"",P745,Y745))</f>
        <v/>
      </c>
    </row>
    <row r="746" customFormat="false" ht="15" hidden="false" customHeight="false" outlineLevel="0" collapsed="false">
      <c r="A746" s="9"/>
      <c r="B746" s="10" t="str">
        <f aca="false">IF(A746="","",IFERROR(INDEX(Parks!$A$2:$A$255,MATCH(A746,Parks!$B$2:$B$255,0)),"?"))</f>
        <v/>
      </c>
      <c r="C746" s="9"/>
      <c r="D746" s="10" t="str">
        <f aca="false">IF(C746="","",IF(SUMPRODUCT(--ISNUMBER(SEARCH({"Nets","Wicket","Diamond","Softball","T-ball","Baseball","Netball","Tennis","Bocce","Pentaque","Petanque","Skate","Car Park","Pond","Bridle","Amphitheatre","Perimeter","Passive"},C746)))&gt;0,"no",IF(SUMPRODUCT(--ISNUMBER(SEARCH({"Cricket","Junior","Mini","Summer Football","Small"},C746)))&gt;0,"reduced",IF(SUMPRODUCT(--ISNUMBER(SEARCH({"Rugby","Football","League","Touch","Gaelic","Australian","Lacrosse","General Sport","Training Area","Ultimate"},C746)))&gt;0,"full","unknown"))))</f>
        <v/>
      </c>
      <c r="E746" s="9"/>
      <c r="F746" s="9"/>
      <c r="G746" s="9"/>
      <c r="H746" s="9"/>
      <c r="I746" s="12"/>
      <c r="J746" s="9"/>
      <c r="K746" s="9"/>
      <c r="L746" s="9"/>
      <c r="M746" s="9"/>
      <c r="N746" s="9"/>
      <c r="O746" s="13" t="str">
        <f aca="false">IF(C746="","",IF(N(M746)+N(N746)&lt;Settings!$C$9,"untested",M746/(M746+N746)))</f>
        <v/>
      </c>
      <c r="P746" s="9"/>
      <c r="Q746" s="9"/>
      <c r="R746" s="9"/>
      <c r="S746" s="12"/>
      <c r="T746" s="9"/>
      <c r="U746" s="9"/>
      <c r="V746" s="9"/>
      <c r="W746" s="10" t="str">
        <f aca="false">IF(C746="","",IF(OR(G746="training",G746="full"),"Yes",IF(G746="none","No","?")))</f>
        <v/>
      </c>
      <c r="X746" s="10" t="str">
        <f aca="false">IF(C746="","",IF(OR(E746="",E746="unknown"),D746,E746))</f>
        <v/>
      </c>
      <c r="Y746" s="10" t="str">
        <f aca="false">IF(C746="","",IF(OR(T746="unsuitable",T746="retired",X746="no"),"—",IF(J746="","unrated",IF(AND(X746="full",J746&gt;=Settings!$C$5,OR(O746="untested",O746&gt;=Settings!$C$6)),"A",IF(AND(OR(X746="full",X746="reduced"),J746&gt;=Settings!$C$7,OR(O746="untested",O746&gt;=Settings!$C$8)),"B","C")))))</f>
        <v/>
      </c>
      <c r="Z746" s="11" t="str">
        <f aca="false">IF(C746="","",IF(P746&lt;&gt;"",P746,Y746))</f>
        <v/>
      </c>
    </row>
    <row r="747" customFormat="false" ht="15" hidden="false" customHeight="false" outlineLevel="0" collapsed="false">
      <c r="A747" s="9"/>
      <c r="B747" s="10" t="str">
        <f aca="false">IF(A747="","",IFERROR(INDEX(Parks!$A$2:$A$255,MATCH(A747,Parks!$B$2:$B$255,0)),"?"))</f>
        <v/>
      </c>
      <c r="C747" s="9"/>
      <c r="D747" s="10" t="str">
        <f aca="false">IF(C747="","",IF(SUMPRODUCT(--ISNUMBER(SEARCH({"Nets","Wicket","Diamond","Softball","T-ball","Baseball","Netball","Tennis","Bocce","Pentaque","Petanque","Skate","Car Park","Pond","Bridle","Amphitheatre","Perimeter","Passive"},C747)))&gt;0,"no",IF(SUMPRODUCT(--ISNUMBER(SEARCH({"Cricket","Junior","Mini","Summer Football","Small"},C747)))&gt;0,"reduced",IF(SUMPRODUCT(--ISNUMBER(SEARCH({"Rugby","Football","League","Touch","Gaelic","Australian","Lacrosse","General Sport","Training Area","Ultimate"},C747)))&gt;0,"full","unknown"))))</f>
        <v/>
      </c>
      <c r="E747" s="9"/>
      <c r="F747" s="9"/>
      <c r="G747" s="9"/>
      <c r="H747" s="9"/>
      <c r="I747" s="12"/>
      <c r="J747" s="9"/>
      <c r="K747" s="9"/>
      <c r="L747" s="9"/>
      <c r="M747" s="9"/>
      <c r="N747" s="9"/>
      <c r="O747" s="13" t="str">
        <f aca="false">IF(C747="","",IF(N(M747)+N(N747)&lt;Settings!$C$9,"untested",M747/(M747+N747)))</f>
        <v/>
      </c>
      <c r="P747" s="9"/>
      <c r="Q747" s="9"/>
      <c r="R747" s="9"/>
      <c r="S747" s="12"/>
      <c r="T747" s="9"/>
      <c r="U747" s="9"/>
      <c r="V747" s="9"/>
      <c r="W747" s="10" t="str">
        <f aca="false">IF(C747="","",IF(OR(G747="training",G747="full"),"Yes",IF(G747="none","No","?")))</f>
        <v/>
      </c>
      <c r="X747" s="10" t="str">
        <f aca="false">IF(C747="","",IF(OR(E747="",E747="unknown"),D747,E747))</f>
        <v/>
      </c>
      <c r="Y747" s="10" t="str">
        <f aca="false">IF(C747="","",IF(OR(T747="unsuitable",T747="retired",X747="no"),"—",IF(J747="","unrated",IF(AND(X747="full",J747&gt;=Settings!$C$5,OR(O747="untested",O747&gt;=Settings!$C$6)),"A",IF(AND(OR(X747="full",X747="reduced"),J747&gt;=Settings!$C$7,OR(O747="untested",O747&gt;=Settings!$C$8)),"B","C")))))</f>
        <v/>
      </c>
      <c r="Z747" s="11" t="str">
        <f aca="false">IF(C747="","",IF(P747&lt;&gt;"",P747,Y747))</f>
        <v/>
      </c>
    </row>
    <row r="748" customFormat="false" ht="15" hidden="false" customHeight="false" outlineLevel="0" collapsed="false">
      <c r="A748" s="9"/>
      <c r="B748" s="10" t="str">
        <f aca="false">IF(A748="","",IFERROR(INDEX(Parks!$A$2:$A$255,MATCH(A748,Parks!$B$2:$B$255,0)),"?"))</f>
        <v/>
      </c>
      <c r="C748" s="9"/>
      <c r="D748" s="10" t="str">
        <f aca="false">IF(C748="","",IF(SUMPRODUCT(--ISNUMBER(SEARCH({"Nets","Wicket","Diamond","Softball","T-ball","Baseball","Netball","Tennis","Bocce","Pentaque","Petanque","Skate","Car Park","Pond","Bridle","Amphitheatre","Perimeter","Passive"},C748)))&gt;0,"no",IF(SUMPRODUCT(--ISNUMBER(SEARCH({"Cricket","Junior","Mini","Summer Football","Small"},C748)))&gt;0,"reduced",IF(SUMPRODUCT(--ISNUMBER(SEARCH({"Rugby","Football","League","Touch","Gaelic","Australian","Lacrosse","General Sport","Training Area","Ultimate"},C748)))&gt;0,"full","unknown"))))</f>
        <v/>
      </c>
      <c r="E748" s="9"/>
      <c r="F748" s="9"/>
      <c r="G748" s="9"/>
      <c r="H748" s="9"/>
      <c r="I748" s="12"/>
      <c r="J748" s="9"/>
      <c r="K748" s="9"/>
      <c r="L748" s="9"/>
      <c r="M748" s="9"/>
      <c r="N748" s="9"/>
      <c r="O748" s="13" t="str">
        <f aca="false">IF(C748="","",IF(N(M748)+N(N748)&lt;Settings!$C$9,"untested",M748/(M748+N748)))</f>
        <v/>
      </c>
      <c r="P748" s="9"/>
      <c r="Q748" s="9"/>
      <c r="R748" s="9"/>
      <c r="S748" s="12"/>
      <c r="T748" s="9"/>
      <c r="U748" s="9"/>
      <c r="V748" s="9"/>
      <c r="W748" s="10" t="str">
        <f aca="false">IF(C748="","",IF(OR(G748="training",G748="full"),"Yes",IF(G748="none","No","?")))</f>
        <v/>
      </c>
      <c r="X748" s="10" t="str">
        <f aca="false">IF(C748="","",IF(OR(E748="",E748="unknown"),D748,E748))</f>
        <v/>
      </c>
      <c r="Y748" s="10" t="str">
        <f aca="false">IF(C748="","",IF(OR(T748="unsuitable",T748="retired",X748="no"),"—",IF(J748="","unrated",IF(AND(X748="full",J748&gt;=Settings!$C$5,OR(O748="untested",O748&gt;=Settings!$C$6)),"A",IF(AND(OR(X748="full",X748="reduced"),J748&gt;=Settings!$C$7,OR(O748="untested",O748&gt;=Settings!$C$8)),"B","C")))))</f>
        <v/>
      </c>
      <c r="Z748" s="11" t="str">
        <f aca="false">IF(C748="","",IF(P748&lt;&gt;"",P748,Y748))</f>
        <v/>
      </c>
    </row>
    <row r="749" customFormat="false" ht="15" hidden="false" customHeight="false" outlineLevel="0" collapsed="false">
      <c r="A749" s="9"/>
      <c r="B749" s="10" t="str">
        <f aca="false">IF(A749="","",IFERROR(INDEX(Parks!$A$2:$A$255,MATCH(A749,Parks!$B$2:$B$255,0)),"?"))</f>
        <v/>
      </c>
      <c r="C749" s="9"/>
      <c r="D749" s="10" t="str">
        <f aca="false">IF(C749="","",IF(SUMPRODUCT(--ISNUMBER(SEARCH({"Nets","Wicket","Diamond","Softball","T-ball","Baseball","Netball","Tennis","Bocce","Pentaque","Petanque","Skate","Car Park","Pond","Bridle","Amphitheatre","Perimeter","Passive"},C749)))&gt;0,"no",IF(SUMPRODUCT(--ISNUMBER(SEARCH({"Cricket","Junior","Mini","Summer Football","Small"},C749)))&gt;0,"reduced",IF(SUMPRODUCT(--ISNUMBER(SEARCH({"Rugby","Football","League","Touch","Gaelic","Australian","Lacrosse","General Sport","Training Area","Ultimate"},C749)))&gt;0,"full","unknown"))))</f>
        <v/>
      </c>
      <c r="E749" s="9"/>
      <c r="F749" s="9"/>
      <c r="G749" s="9"/>
      <c r="H749" s="9"/>
      <c r="I749" s="12"/>
      <c r="J749" s="9"/>
      <c r="K749" s="9"/>
      <c r="L749" s="9"/>
      <c r="M749" s="9"/>
      <c r="N749" s="9"/>
      <c r="O749" s="13" t="str">
        <f aca="false">IF(C749="","",IF(N(M749)+N(N749)&lt;Settings!$C$9,"untested",M749/(M749+N749)))</f>
        <v/>
      </c>
      <c r="P749" s="9"/>
      <c r="Q749" s="9"/>
      <c r="R749" s="9"/>
      <c r="S749" s="12"/>
      <c r="T749" s="9"/>
      <c r="U749" s="9"/>
      <c r="V749" s="9"/>
      <c r="W749" s="10" t="str">
        <f aca="false">IF(C749="","",IF(OR(G749="training",G749="full"),"Yes",IF(G749="none","No","?")))</f>
        <v/>
      </c>
      <c r="X749" s="10" t="str">
        <f aca="false">IF(C749="","",IF(OR(E749="",E749="unknown"),D749,E749))</f>
        <v/>
      </c>
      <c r="Y749" s="10" t="str">
        <f aca="false">IF(C749="","",IF(OR(T749="unsuitable",T749="retired",X749="no"),"—",IF(J749="","unrated",IF(AND(X749="full",J749&gt;=Settings!$C$5,OR(O749="untested",O749&gt;=Settings!$C$6)),"A",IF(AND(OR(X749="full",X749="reduced"),J749&gt;=Settings!$C$7,OR(O749="untested",O749&gt;=Settings!$C$8)),"B","C")))))</f>
        <v/>
      </c>
      <c r="Z749" s="11" t="str">
        <f aca="false">IF(C749="","",IF(P749&lt;&gt;"",P749,Y749))</f>
        <v/>
      </c>
    </row>
    <row r="750" customFormat="false" ht="15" hidden="false" customHeight="false" outlineLevel="0" collapsed="false">
      <c r="A750" s="9"/>
      <c r="B750" s="10" t="str">
        <f aca="false">IF(A750="","",IFERROR(INDEX(Parks!$A$2:$A$255,MATCH(A750,Parks!$B$2:$B$255,0)),"?"))</f>
        <v/>
      </c>
      <c r="C750" s="9"/>
      <c r="D750" s="10" t="str">
        <f aca="false">IF(C750="","",IF(SUMPRODUCT(--ISNUMBER(SEARCH({"Nets","Wicket","Diamond","Softball","T-ball","Baseball","Netball","Tennis","Bocce","Pentaque","Petanque","Skate","Car Park","Pond","Bridle","Amphitheatre","Perimeter","Passive"},C750)))&gt;0,"no",IF(SUMPRODUCT(--ISNUMBER(SEARCH({"Cricket","Junior","Mini","Summer Football","Small"},C750)))&gt;0,"reduced",IF(SUMPRODUCT(--ISNUMBER(SEARCH({"Rugby","Football","League","Touch","Gaelic","Australian","Lacrosse","General Sport","Training Area","Ultimate"},C750)))&gt;0,"full","unknown"))))</f>
        <v/>
      </c>
      <c r="E750" s="9"/>
      <c r="F750" s="9"/>
      <c r="G750" s="9"/>
      <c r="H750" s="9"/>
      <c r="I750" s="12"/>
      <c r="J750" s="9"/>
      <c r="K750" s="9"/>
      <c r="L750" s="9"/>
      <c r="M750" s="9"/>
      <c r="N750" s="9"/>
      <c r="O750" s="13" t="str">
        <f aca="false">IF(C750="","",IF(N(M750)+N(N750)&lt;Settings!$C$9,"untested",M750/(M750+N750)))</f>
        <v/>
      </c>
      <c r="P750" s="9"/>
      <c r="Q750" s="9"/>
      <c r="R750" s="9"/>
      <c r="S750" s="12"/>
      <c r="T750" s="9"/>
      <c r="U750" s="9"/>
      <c r="V750" s="9"/>
      <c r="W750" s="10" t="str">
        <f aca="false">IF(C750="","",IF(OR(G750="training",G750="full"),"Yes",IF(G750="none","No","?")))</f>
        <v/>
      </c>
      <c r="X750" s="10" t="str">
        <f aca="false">IF(C750="","",IF(OR(E750="",E750="unknown"),D750,E750))</f>
        <v/>
      </c>
      <c r="Y750" s="10" t="str">
        <f aca="false">IF(C750="","",IF(OR(T750="unsuitable",T750="retired",X750="no"),"—",IF(J750="","unrated",IF(AND(X750="full",J750&gt;=Settings!$C$5,OR(O750="untested",O750&gt;=Settings!$C$6)),"A",IF(AND(OR(X750="full",X750="reduced"),J750&gt;=Settings!$C$7,OR(O750="untested",O750&gt;=Settings!$C$8)),"B","C")))))</f>
        <v/>
      </c>
      <c r="Z750" s="11" t="str">
        <f aca="false">IF(C750="","",IF(P750&lt;&gt;"",P750,Y750))</f>
        <v/>
      </c>
    </row>
    <row r="751" customFormat="false" ht="15" hidden="false" customHeight="false" outlineLevel="0" collapsed="false">
      <c r="A751" s="9"/>
      <c r="B751" s="10" t="str">
        <f aca="false">IF(A751="","",IFERROR(INDEX(Parks!$A$2:$A$255,MATCH(A751,Parks!$B$2:$B$255,0)),"?"))</f>
        <v/>
      </c>
      <c r="C751" s="9"/>
      <c r="D751" s="10" t="str">
        <f aca="false">IF(C751="","",IF(SUMPRODUCT(--ISNUMBER(SEARCH({"Nets","Wicket","Diamond","Softball","T-ball","Baseball","Netball","Tennis","Bocce","Pentaque","Petanque","Skate","Car Park","Pond","Bridle","Amphitheatre","Perimeter","Passive"},C751)))&gt;0,"no",IF(SUMPRODUCT(--ISNUMBER(SEARCH({"Cricket","Junior","Mini","Summer Football","Small"},C751)))&gt;0,"reduced",IF(SUMPRODUCT(--ISNUMBER(SEARCH({"Rugby","Football","League","Touch","Gaelic","Australian","Lacrosse","General Sport","Training Area","Ultimate"},C751)))&gt;0,"full","unknown"))))</f>
        <v/>
      </c>
      <c r="E751" s="9"/>
      <c r="F751" s="9"/>
      <c r="G751" s="9"/>
      <c r="H751" s="9"/>
      <c r="I751" s="12"/>
      <c r="J751" s="9"/>
      <c r="K751" s="9"/>
      <c r="L751" s="9"/>
      <c r="M751" s="9"/>
      <c r="N751" s="9"/>
      <c r="O751" s="13" t="str">
        <f aca="false">IF(C751="","",IF(N(M751)+N(N751)&lt;Settings!$C$9,"untested",M751/(M751+N751)))</f>
        <v/>
      </c>
      <c r="P751" s="9"/>
      <c r="Q751" s="9"/>
      <c r="R751" s="9"/>
      <c r="S751" s="12"/>
      <c r="T751" s="9"/>
      <c r="U751" s="9"/>
      <c r="V751" s="9"/>
      <c r="W751" s="10" t="str">
        <f aca="false">IF(C751="","",IF(OR(G751="training",G751="full"),"Yes",IF(G751="none","No","?")))</f>
        <v/>
      </c>
      <c r="X751" s="10" t="str">
        <f aca="false">IF(C751="","",IF(OR(E751="",E751="unknown"),D751,E751))</f>
        <v/>
      </c>
      <c r="Y751" s="10" t="str">
        <f aca="false">IF(C751="","",IF(OR(T751="unsuitable",T751="retired",X751="no"),"—",IF(J751="","unrated",IF(AND(X751="full",J751&gt;=Settings!$C$5,OR(O751="untested",O751&gt;=Settings!$C$6)),"A",IF(AND(OR(X751="full",X751="reduced"),J751&gt;=Settings!$C$7,OR(O751="untested",O751&gt;=Settings!$C$8)),"B","C")))))</f>
        <v/>
      </c>
      <c r="Z751" s="11" t="str">
        <f aca="false">IF(C751="","",IF(P751&lt;&gt;"",P751,Y751))</f>
        <v/>
      </c>
    </row>
    <row r="752" customFormat="false" ht="15" hidden="false" customHeight="false" outlineLevel="0" collapsed="false">
      <c r="A752" s="9"/>
      <c r="B752" s="10" t="str">
        <f aca="false">IF(A752="","",IFERROR(INDEX(Parks!$A$2:$A$255,MATCH(A752,Parks!$B$2:$B$255,0)),"?"))</f>
        <v/>
      </c>
      <c r="C752" s="9"/>
      <c r="D752" s="10" t="str">
        <f aca="false">IF(C752="","",IF(SUMPRODUCT(--ISNUMBER(SEARCH({"Nets","Wicket","Diamond","Softball","T-ball","Baseball","Netball","Tennis","Bocce","Pentaque","Petanque","Skate","Car Park","Pond","Bridle","Amphitheatre","Perimeter","Passive"},C752)))&gt;0,"no",IF(SUMPRODUCT(--ISNUMBER(SEARCH({"Cricket","Junior","Mini","Summer Football","Small"},C752)))&gt;0,"reduced",IF(SUMPRODUCT(--ISNUMBER(SEARCH({"Rugby","Football","League","Touch","Gaelic","Australian","Lacrosse","General Sport","Training Area","Ultimate"},C752)))&gt;0,"full","unknown"))))</f>
        <v/>
      </c>
      <c r="E752" s="9"/>
      <c r="F752" s="9"/>
      <c r="G752" s="9"/>
      <c r="H752" s="9"/>
      <c r="I752" s="12"/>
      <c r="J752" s="9"/>
      <c r="K752" s="9"/>
      <c r="L752" s="9"/>
      <c r="M752" s="9"/>
      <c r="N752" s="9"/>
      <c r="O752" s="13" t="str">
        <f aca="false">IF(C752="","",IF(N(M752)+N(N752)&lt;Settings!$C$9,"untested",M752/(M752+N752)))</f>
        <v/>
      </c>
      <c r="P752" s="9"/>
      <c r="Q752" s="9"/>
      <c r="R752" s="9"/>
      <c r="S752" s="12"/>
      <c r="T752" s="9"/>
      <c r="U752" s="9"/>
      <c r="V752" s="9"/>
      <c r="W752" s="10" t="str">
        <f aca="false">IF(C752="","",IF(OR(G752="training",G752="full"),"Yes",IF(G752="none","No","?")))</f>
        <v/>
      </c>
      <c r="X752" s="10" t="str">
        <f aca="false">IF(C752="","",IF(OR(E752="",E752="unknown"),D752,E752))</f>
        <v/>
      </c>
      <c r="Y752" s="10" t="str">
        <f aca="false">IF(C752="","",IF(OR(T752="unsuitable",T752="retired",X752="no"),"—",IF(J752="","unrated",IF(AND(X752="full",J752&gt;=Settings!$C$5,OR(O752="untested",O752&gt;=Settings!$C$6)),"A",IF(AND(OR(X752="full",X752="reduced"),J752&gt;=Settings!$C$7,OR(O752="untested",O752&gt;=Settings!$C$8)),"B","C")))))</f>
        <v/>
      </c>
      <c r="Z752" s="11" t="str">
        <f aca="false">IF(C752="","",IF(P752&lt;&gt;"",P752,Y752))</f>
        <v/>
      </c>
    </row>
    <row r="753" customFormat="false" ht="15" hidden="false" customHeight="false" outlineLevel="0" collapsed="false">
      <c r="A753" s="9"/>
      <c r="B753" s="10" t="str">
        <f aca="false">IF(A753="","",IFERROR(INDEX(Parks!$A$2:$A$255,MATCH(A753,Parks!$B$2:$B$255,0)),"?"))</f>
        <v/>
      </c>
      <c r="C753" s="9"/>
      <c r="D753" s="10" t="str">
        <f aca="false">IF(C753="","",IF(SUMPRODUCT(--ISNUMBER(SEARCH({"Nets","Wicket","Diamond","Softball","T-ball","Baseball","Netball","Tennis","Bocce","Pentaque","Petanque","Skate","Car Park","Pond","Bridle","Amphitheatre","Perimeter","Passive"},C753)))&gt;0,"no",IF(SUMPRODUCT(--ISNUMBER(SEARCH({"Cricket","Junior","Mini","Summer Football","Small"},C753)))&gt;0,"reduced",IF(SUMPRODUCT(--ISNUMBER(SEARCH({"Rugby","Football","League","Touch","Gaelic","Australian","Lacrosse","General Sport","Training Area","Ultimate"},C753)))&gt;0,"full","unknown"))))</f>
        <v/>
      </c>
      <c r="E753" s="9"/>
      <c r="F753" s="9"/>
      <c r="G753" s="9"/>
      <c r="H753" s="9"/>
      <c r="I753" s="12"/>
      <c r="J753" s="9"/>
      <c r="K753" s="9"/>
      <c r="L753" s="9"/>
      <c r="M753" s="9"/>
      <c r="N753" s="9"/>
      <c r="O753" s="13" t="str">
        <f aca="false">IF(C753="","",IF(N(M753)+N(N753)&lt;Settings!$C$9,"untested",M753/(M753+N753)))</f>
        <v/>
      </c>
      <c r="P753" s="9"/>
      <c r="Q753" s="9"/>
      <c r="R753" s="9"/>
      <c r="S753" s="12"/>
      <c r="T753" s="9"/>
      <c r="U753" s="9"/>
      <c r="V753" s="9"/>
      <c r="W753" s="10" t="str">
        <f aca="false">IF(C753="","",IF(OR(G753="training",G753="full"),"Yes",IF(G753="none","No","?")))</f>
        <v/>
      </c>
      <c r="X753" s="10" t="str">
        <f aca="false">IF(C753="","",IF(OR(E753="",E753="unknown"),D753,E753))</f>
        <v/>
      </c>
      <c r="Y753" s="10" t="str">
        <f aca="false">IF(C753="","",IF(OR(T753="unsuitable",T753="retired",X753="no"),"—",IF(J753="","unrated",IF(AND(X753="full",J753&gt;=Settings!$C$5,OR(O753="untested",O753&gt;=Settings!$C$6)),"A",IF(AND(OR(X753="full",X753="reduced"),J753&gt;=Settings!$C$7,OR(O753="untested",O753&gt;=Settings!$C$8)),"B","C")))))</f>
        <v/>
      </c>
      <c r="Z753" s="11" t="str">
        <f aca="false">IF(C753="","",IF(P753&lt;&gt;"",P753,Y753))</f>
        <v/>
      </c>
    </row>
    <row r="754" customFormat="false" ht="15" hidden="false" customHeight="false" outlineLevel="0" collapsed="false">
      <c r="A754" s="9"/>
      <c r="B754" s="10" t="str">
        <f aca="false">IF(A754="","",IFERROR(INDEX(Parks!$A$2:$A$255,MATCH(A754,Parks!$B$2:$B$255,0)),"?"))</f>
        <v/>
      </c>
      <c r="C754" s="9"/>
      <c r="D754" s="10" t="str">
        <f aca="false">IF(C754="","",IF(SUMPRODUCT(--ISNUMBER(SEARCH({"Nets","Wicket","Diamond","Softball","T-ball","Baseball","Netball","Tennis","Bocce","Pentaque","Petanque","Skate","Car Park","Pond","Bridle","Amphitheatre","Perimeter","Passive"},C754)))&gt;0,"no",IF(SUMPRODUCT(--ISNUMBER(SEARCH({"Cricket","Junior","Mini","Summer Football","Small"},C754)))&gt;0,"reduced",IF(SUMPRODUCT(--ISNUMBER(SEARCH({"Rugby","Football","League","Touch","Gaelic","Australian","Lacrosse","General Sport","Training Area","Ultimate"},C754)))&gt;0,"full","unknown"))))</f>
        <v/>
      </c>
      <c r="E754" s="9"/>
      <c r="F754" s="9"/>
      <c r="G754" s="9"/>
      <c r="H754" s="9"/>
      <c r="I754" s="12"/>
      <c r="J754" s="9"/>
      <c r="K754" s="9"/>
      <c r="L754" s="9"/>
      <c r="M754" s="9"/>
      <c r="N754" s="9"/>
      <c r="O754" s="13" t="str">
        <f aca="false">IF(C754="","",IF(N(M754)+N(N754)&lt;Settings!$C$9,"untested",M754/(M754+N754)))</f>
        <v/>
      </c>
      <c r="P754" s="9"/>
      <c r="Q754" s="9"/>
      <c r="R754" s="9"/>
      <c r="S754" s="12"/>
      <c r="T754" s="9"/>
      <c r="U754" s="9"/>
      <c r="V754" s="9"/>
      <c r="W754" s="10" t="str">
        <f aca="false">IF(C754="","",IF(OR(G754="training",G754="full"),"Yes",IF(G754="none","No","?")))</f>
        <v/>
      </c>
      <c r="X754" s="10" t="str">
        <f aca="false">IF(C754="","",IF(OR(E754="",E754="unknown"),D754,E754))</f>
        <v/>
      </c>
      <c r="Y754" s="10" t="str">
        <f aca="false">IF(C754="","",IF(OR(T754="unsuitable",T754="retired",X754="no"),"—",IF(J754="","unrated",IF(AND(X754="full",J754&gt;=Settings!$C$5,OR(O754="untested",O754&gt;=Settings!$C$6)),"A",IF(AND(OR(X754="full",X754="reduced"),J754&gt;=Settings!$C$7,OR(O754="untested",O754&gt;=Settings!$C$8)),"B","C")))))</f>
        <v/>
      </c>
      <c r="Z754" s="11" t="str">
        <f aca="false">IF(C754="","",IF(P754&lt;&gt;"",P754,Y754))</f>
        <v/>
      </c>
    </row>
    <row r="755" customFormat="false" ht="15" hidden="false" customHeight="false" outlineLevel="0" collapsed="false">
      <c r="A755" s="9"/>
      <c r="B755" s="10" t="str">
        <f aca="false">IF(A755="","",IFERROR(INDEX(Parks!$A$2:$A$255,MATCH(A755,Parks!$B$2:$B$255,0)),"?"))</f>
        <v/>
      </c>
      <c r="C755" s="9"/>
      <c r="D755" s="10" t="str">
        <f aca="false">IF(C755="","",IF(SUMPRODUCT(--ISNUMBER(SEARCH({"Nets","Wicket","Diamond","Softball","T-ball","Baseball","Netball","Tennis","Bocce","Pentaque","Petanque","Skate","Car Park","Pond","Bridle","Amphitheatre","Perimeter","Passive"},C755)))&gt;0,"no",IF(SUMPRODUCT(--ISNUMBER(SEARCH({"Cricket","Junior","Mini","Summer Football","Small"},C755)))&gt;0,"reduced",IF(SUMPRODUCT(--ISNUMBER(SEARCH({"Rugby","Football","League","Touch","Gaelic","Australian","Lacrosse","General Sport","Training Area","Ultimate"},C755)))&gt;0,"full","unknown"))))</f>
        <v/>
      </c>
      <c r="E755" s="9"/>
      <c r="F755" s="9"/>
      <c r="G755" s="9"/>
      <c r="H755" s="9"/>
      <c r="I755" s="12"/>
      <c r="J755" s="9"/>
      <c r="K755" s="9"/>
      <c r="L755" s="9"/>
      <c r="M755" s="9"/>
      <c r="N755" s="9"/>
      <c r="O755" s="13" t="str">
        <f aca="false">IF(C755="","",IF(N(M755)+N(N755)&lt;Settings!$C$9,"untested",M755/(M755+N755)))</f>
        <v/>
      </c>
      <c r="P755" s="9"/>
      <c r="Q755" s="9"/>
      <c r="R755" s="9"/>
      <c r="S755" s="12"/>
      <c r="T755" s="9"/>
      <c r="U755" s="9"/>
      <c r="V755" s="9"/>
      <c r="W755" s="10" t="str">
        <f aca="false">IF(C755="","",IF(OR(G755="training",G755="full"),"Yes",IF(G755="none","No","?")))</f>
        <v/>
      </c>
      <c r="X755" s="10" t="str">
        <f aca="false">IF(C755="","",IF(OR(E755="",E755="unknown"),D755,E755))</f>
        <v/>
      </c>
      <c r="Y755" s="10" t="str">
        <f aca="false">IF(C755="","",IF(OR(T755="unsuitable",T755="retired",X755="no"),"—",IF(J755="","unrated",IF(AND(X755="full",J755&gt;=Settings!$C$5,OR(O755="untested",O755&gt;=Settings!$C$6)),"A",IF(AND(OR(X755="full",X755="reduced"),J755&gt;=Settings!$C$7,OR(O755="untested",O755&gt;=Settings!$C$8)),"B","C")))))</f>
        <v/>
      </c>
      <c r="Z755" s="11" t="str">
        <f aca="false">IF(C755="","",IF(P755&lt;&gt;"",P755,Y755))</f>
        <v/>
      </c>
    </row>
    <row r="756" customFormat="false" ht="15" hidden="false" customHeight="false" outlineLevel="0" collapsed="false">
      <c r="A756" s="9"/>
      <c r="B756" s="10" t="str">
        <f aca="false">IF(A756="","",IFERROR(INDEX(Parks!$A$2:$A$255,MATCH(A756,Parks!$B$2:$B$255,0)),"?"))</f>
        <v/>
      </c>
      <c r="C756" s="9"/>
      <c r="D756" s="10" t="str">
        <f aca="false">IF(C756="","",IF(SUMPRODUCT(--ISNUMBER(SEARCH({"Nets","Wicket","Diamond","Softball","T-ball","Baseball","Netball","Tennis","Bocce","Pentaque","Petanque","Skate","Car Park","Pond","Bridle","Amphitheatre","Perimeter","Passive"},C756)))&gt;0,"no",IF(SUMPRODUCT(--ISNUMBER(SEARCH({"Cricket","Junior","Mini","Summer Football","Small"},C756)))&gt;0,"reduced",IF(SUMPRODUCT(--ISNUMBER(SEARCH({"Rugby","Football","League","Touch","Gaelic","Australian","Lacrosse","General Sport","Training Area","Ultimate"},C756)))&gt;0,"full","unknown"))))</f>
        <v/>
      </c>
      <c r="E756" s="9"/>
      <c r="F756" s="9"/>
      <c r="G756" s="9"/>
      <c r="H756" s="9"/>
      <c r="I756" s="12"/>
      <c r="J756" s="9"/>
      <c r="K756" s="9"/>
      <c r="L756" s="9"/>
      <c r="M756" s="9"/>
      <c r="N756" s="9"/>
      <c r="O756" s="13" t="str">
        <f aca="false">IF(C756="","",IF(N(M756)+N(N756)&lt;Settings!$C$9,"untested",M756/(M756+N756)))</f>
        <v/>
      </c>
      <c r="P756" s="9"/>
      <c r="Q756" s="9"/>
      <c r="R756" s="9"/>
      <c r="S756" s="12"/>
      <c r="T756" s="9"/>
      <c r="U756" s="9"/>
      <c r="V756" s="9"/>
      <c r="W756" s="10" t="str">
        <f aca="false">IF(C756="","",IF(OR(G756="training",G756="full"),"Yes",IF(G756="none","No","?")))</f>
        <v/>
      </c>
      <c r="X756" s="10" t="str">
        <f aca="false">IF(C756="","",IF(OR(E756="",E756="unknown"),D756,E756))</f>
        <v/>
      </c>
      <c r="Y756" s="10" t="str">
        <f aca="false">IF(C756="","",IF(OR(T756="unsuitable",T756="retired",X756="no"),"—",IF(J756="","unrated",IF(AND(X756="full",J756&gt;=Settings!$C$5,OR(O756="untested",O756&gt;=Settings!$C$6)),"A",IF(AND(OR(X756="full",X756="reduced"),J756&gt;=Settings!$C$7,OR(O756="untested",O756&gt;=Settings!$C$8)),"B","C")))))</f>
        <v/>
      </c>
      <c r="Z756" s="11" t="str">
        <f aca="false">IF(C756="","",IF(P756&lt;&gt;"",P756,Y756))</f>
        <v/>
      </c>
    </row>
    <row r="757" customFormat="false" ht="15" hidden="false" customHeight="false" outlineLevel="0" collapsed="false">
      <c r="A757" s="9"/>
      <c r="B757" s="10" t="str">
        <f aca="false">IF(A757="","",IFERROR(INDEX(Parks!$A$2:$A$255,MATCH(A757,Parks!$B$2:$B$255,0)),"?"))</f>
        <v/>
      </c>
      <c r="C757" s="9"/>
      <c r="D757" s="10" t="str">
        <f aca="false">IF(C757="","",IF(SUMPRODUCT(--ISNUMBER(SEARCH({"Nets","Wicket","Diamond","Softball","T-ball","Baseball","Netball","Tennis","Bocce","Pentaque","Petanque","Skate","Car Park","Pond","Bridle","Amphitheatre","Perimeter","Passive"},C757)))&gt;0,"no",IF(SUMPRODUCT(--ISNUMBER(SEARCH({"Cricket","Junior","Mini","Summer Football","Small"},C757)))&gt;0,"reduced",IF(SUMPRODUCT(--ISNUMBER(SEARCH({"Rugby","Football","League","Touch","Gaelic","Australian","Lacrosse","General Sport","Training Area","Ultimate"},C757)))&gt;0,"full","unknown"))))</f>
        <v/>
      </c>
      <c r="E757" s="9"/>
      <c r="F757" s="9"/>
      <c r="G757" s="9"/>
      <c r="H757" s="9"/>
      <c r="I757" s="12"/>
      <c r="J757" s="9"/>
      <c r="K757" s="9"/>
      <c r="L757" s="9"/>
      <c r="M757" s="9"/>
      <c r="N757" s="9"/>
      <c r="O757" s="13" t="str">
        <f aca="false">IF(C757="","",IF(N(M757)+N(N757)&lt;Settings!$C$9,"untested",M757/(M757+N757)))</f>
        <v/>
      </c>
      <c r="P757" s="9"/>
      <c r="Q757" s="9"/>
      <c r="R757" s="9"/>
      <c r="S757" s="12"/>
      <c r="T757" s="9"/>
      <c r="U757" s="9"/>
      <c r="V757" s="9"/>
      <c r="W757" s="10" t="str">
        <f aca="false">IF(C757="","",IF(OR(G757="training",G757="full"),"Yes",IF(G757="none","No","?")))</f>
        <v/>
      </c>
      <c r="X757" s="10" t="str">
        <f aca="false">IF(C757="","",IF(OR(E757="",E757="unknown"),D757,E757))</f>
        <v/>
      </c>
      <c r="Y757" s="10" t="str">
        <f aca="false">IF(C757="","",IF(OR(T757="unsuitable",T757="retired",X757="no"),"—",IF(J757="","unrated",IF(AND(X757="full",J757&gt;=Settings!$C$5,OR(O757="untested",O757&gt;=Settings!$C$6)),"A",IF(AND(OR(X757="full",X757="reduced"),J757&gt;=Settings!$C$7,OR(O757="untested",O757&gt;=Settings!$C$8)),"B","C")))))</f>
        <v/>
      </c>
      <c r="Z757" s="11" t="str">
        <f aca="false">IF(C757="","",IF(P757&lt;&gt;"",P757,Y757))</f>
        <v/>
      </c>
    </row>
    <row r="758" customFormat="false" ht="15" hidden="false" customHeight="false" outlineLevel="0" collapsed="false">
      <c r="A758" s="9"/>
      <c r="B758" s="10" t="str">
        <f aca="false">IF(A758="","",IFERROR(INDEX(Parks!$A$2:$A$255,MATCH(A758,Parks!$B$2:$B$255,0)),"?"))</f>
        <v/>
      </c>
      <c r="C758" s="9"/>
      <c r="D758" s="10" t="str">
        <f aca="false">IF(C758="","",IF(SUMPRODUCT(--ISNUMBER(SEARCH({"Nets","Wicket","Diamond","Softball","T-ball","Baseball","Netball","Tennis","Bocce","Pentaque","Petanque","Skate","Car Park","Pond","Bridle","Amphitheatre","Perimeter","Passive"},C758)))&gt;0,"no",IF(SUMPRODUCT(--ISNUMBER(SEARCH({"Cricket","Junior","Mini","Summer Football","Small"},C758)))&gt;0,"reduced",IF(SUMPRODUCT(--ISNUMBER(SEARCH({"Rugby","Football","League","Touch","Gaelic","Australian","Lacrosse","General Sport","Training Area","Ultimate"},C758)))&gt;0,"full","unknown"))))</f>
        <v/>
      </c>
      <c r="E758" s="9"/>
      <c r="F758" s="9"/>
      <c r="G758" s="9"/>
      <c r="H758" s="9"/>
      <c r="I758" s="12"/>
      <c r="J758" s="9"/>
      <c r="K758" s="9"/>
      <c r="L758" s="9"/>
      <c r="M758" s="9"/>
      <c r="N758" s="9"/>
      <c r="O758" s="13" t="str">
        <f aca="false">IF(C758="","",IF(N(M758)+N(N758)&lt;Settings!$C$9,"untested",M758/(M758+N758)))</f>
        <v/>
      </c>
      <c r="P758" s="9"/>
      <c r="Q758" s="9"/>
      <c r="R758" s="9"/>
      <c r="S758" s="12"/>
      <c r="T758" s="9"/>
      <c r="U758" s="9"/>
      <c r="V758" s="9"/>
      <c r="W758" s="10" t="str">
        <f aca="false">IF(C758="","",IF(OR(G758="training",G758="full"),"Yes",IF(G758="none","No","?")))</f>
        <v/>
      </c>
      <c r="X758" s="10" t="str">
        <f aca="false">IF(C758="","",IF(OR(E758="",E758="unknown"),D758,E758))</f>
        <v/>
      </c>
      <c r="Y758" s="10" t="str">
        <f aca="false">IF(C758="","",IF(OR(T758="unsuitable",T758="retired",X758="no"),"—",IF(J758="","unrated",IF(AND(X758="full",J758&gt;=Settings!$C$5,OR(O758="untested",O758&gt;=Settings!$C$6)),"A",IF(AND(OR(X758="full",X758="reduced"),J758&gt;=Settings!$C$7,OR(O758="untested",O758&gt;=Settings!$C$8)),"B","C")))))</f>
        <v/>
      </c>
      <c r="Z758" s="11" t="str">
        <f aca="false">IF(C758="","",IF(P758&lt;&gt;"",P758,Y758))</f>
        <v/>
      </c>
    </row>
    <row r="759" customFormat="false" ht="15" hidden="false" customHeight="false" outlineLevel="0" collapsed="false">
      <c r="A759" s="9"/>
      <c r="B759" s="10" t="str">
        <f aca="false">IF(A759="","",IFERROR(INDEX(Parks!$A$2:$A$255,MATCH(A759,Parks!$B$2:$B$255,0)),"?"))</f>
        <v/>
      </c>
      <c r="C759" s="9"/>
      <c r="D759" s="10" t="str">
        <f aca="false">IF(C759="","",IF(SUMPRODUCT(--ISNUMBER(SEARCH({"Nets","Wicket","Diamond","Softball","T-ball","Baseball","Netball","Tennis","Bocce","Pentaque","Petanque","Skate","Car Park","Pond","Bridle","Amphitheatre","Perimeter","Passive"},C759)))&gt;0,"no",IF(SUMPRODUCT(--ISNUMBER(SEARCH({"Cricket","Junior","Mini","Summer Football","Small"},C759)))&gt;0,"reduced",IF(SUMPRODUCT(--ISNUMBER(SEARCH({"Rugby","Football","League","Touch","Gaelic","Australian","Lacrosse","General Sport","Training Area","Ultimate"},C759)))&gt;0,"full","unknown"))))</f>
        <v/>
      </c>
      <c r="E759" s="9"/>
      <c r="F759" s="9"/>
      <c r="G759" s="9"/>
      <c r="H759" s="9"/>
      <c r="I759" s="12"/>
      <c r="J759" s="9"/>
      <c r="K759" s="9"/>
      <c r="L759" s="9"/>
      <c r="M759" s="9"/>
      <c r="N759" s="9"/>
      <c r="O759" s="13" t="str">
        <f aca="false">IF(C759="","",IF(N(M759)+N(N759)&lt;Settings!$C$9,"untested",M759/(M759+N759)))</f>
        <v/>
      </c>
      <c r="P759" s="9"/>
      <c r="Q759" s="9"/>
      <c r="R759" s="9"/>
      <c r="S759" s="12"/>
      <c r="T759" s="9"/>
      <c r="U759" s="9"/>
      <c r="V759" s="9"/>
      <c r="W759" s="10" t="str">
        <f aca="false">IF(C759="","",IF(OR(G759="training",G759="full"),"Yes",IF(G759="none","No","?")))</f>
        <v/>
      </c>
      <c r="X759" s="10" t="str">
        <f aca="false">IF(C759="","",IF(OR(E759="",E759="unknown"),D759,E759))</f>
        <v/>
      </c>
      <c r="Y759" s="10" t="str">
        <f aca="false">IF(C759="","",IF(OR(T759="unsuitable",T759="retired",X759="no"),"—",IF(J759="","unrated",IF(AND(X759="full",J759&gt;=Settings!$C$5,OR(O759="untested",O759&gt;=Settings!$C$6)),"A",IF(AND(OR(X759="full",X759="reduced"),J759&gt;=Settings!$C$7,OR(O759="untested",O759&gt;=Settings!$C$8)),"B","C")))))</f>
        <v/>
      </c>
      <c r="Z759" s="11" t="str">
        <f aca="false">IF(C759="","",IF(P759&lt;&gt;"",P759,Y759))</f>
        <v/>
      </c>
    </row>
    <row r="760" customFormat="false" ht="15" hidden="false" customHeight="false" outlineLevel="0" collapsed="false">
      <c r="A760" s="9"/>
      <c r="B760" s="10" t="str">
        <f aca="false">IF(A760="","",IFERROR(INDEX(Parks!$A$2:$A$255,MATCH(A760,Parks!$B$2:$B$255,0)),"?"))</f>
        <v/>
      </c>
      <c r="C760" s="9"/>
      <c r="D760" s="10" t="str">
        <f aca="false">IF(C760="","",IF(SUMPRODUCT(--ISNUMBER(SEARCH({"Nets","Wicket","Diamond","Softball","T-ball","Baseball","Netball","Tennis","Bocce","Pentaque","Petanque","Skate","Car Park","Pond","Bridle","Amphitheatre","Perimeter","Passive"},C760)))&gt;0,"no",IF(SUMPRODUCT(--ISNUMBER(SEARCH({"Cricket","Junior","Mini","Summer Football","Small"},C760)))&gt;0,"reduced",IF(SUMPRODUCT(--ISNUMBER(SEARCH({"Rugby","Football","League","Touch","Gaelic","Australian","Lacrosse","General Sport","Training Area","Ultimate"},C760)))&gt;0,"full","unknown"))))</f>
        <v/>
      </c>
      <c r="E760" s="9"/>
      <c r="F760" s="9"/>
      <c r="G760" s="9"/>
      <c r="H760" s="9"/>
      <c r="I760" s="12"/>
      <c r="J760" s="9"/>
      <c r="K760" s="9"/>
      <c r="L760" s="9"/>
      <c r="M760" s="9"/>
      <c r="N760" s="9"/>
      <c r="O760" s="13" t="str">
        <f aca="false">IF(C760="","",IF(N(M760)+N(N760)&lt;Settings!$C$9,"untested",M760/(M760+N760)))</f>
        <v/>
      </c>
      <c r="P760" s="9"/>
      <c r="Q760" s="9"/>
      <c r="R760" s="9"/>
      <c r="S760" s="12"/>
      <c r="T760" s="9"/>
      <c r="U760" s="9"/>
      <c r="V760" s="9"/>
      <c r="W760" s="10" t="str">
        <f aca="false">IF(C760="","",IF(OR(G760="training",G760="full"),"Yes",IF(G760="none","No","?")))</f>
        <v/>
      </c>
      <c r="X760" s="10" t="str">
        <f aca="false">IF(C760="","",IF(OR(E760="",E760="unknown"),D760,E760))</f>
        <v/>
      </c>
      <c r="Y760" s="10" t="str">
        <f aca="false">IF(C760="","",IF(OR(T760="unsuitable",T760="retired",X760="no"),"—",IF(J760="","unrated",IF(AND(X760="full",J760&gt;=Settings!$C$5,OR(O760="untested",O760&gt;=Settings!$C$6)),"A",IF(AND(OR(X760="full",X760="reduced"),J760&gt;=Settings!$C$7,OR(O760="untested",O760&gt;=Settings!$C$8)),"B","C")))))</f>
        <v/>
      </c>
      <c r="Z760" s="11" t="str">
        <f aca="false">IF(C760="","",IF(P760&lt;&gt;"",P760,Y760))</f>
        <v/>
      </c>
    </row>
    <row r="761" customFormat="false" ht="15" hidden="false" customHeight="false" outlineLevel="0" collapsed="false">
      <c r="A761" s="9"/>
      <c r="B761" s="10" t="str">
        <f aca="false">IF(A761="","",IFERROR(INDEX(Parks!$A$2:$A$255,MATCH(A761,Parks!$B$2:$B$255,0)),"?"))</f>
        <v/>
      </c>
      <c r="C761" s="9"/>
      <c r="D761" s="10" t="str">
        <f aca="false">IF(C761="","",IF(SUMPRODUCT(--ISNUMBER(SEARCH({"Nets","Wicket","Diamond","Softball","T-ball","Baseball","Netball","Tennis","Bocce","Pentaque","Petanque","Skate","Car Park","Pond","Bridle","Amphitheatre","Perimeter","Passive"},C761)))&gt;0,"no",IF(SUMPRODUCT(--ISNUMBER(SEARCH({"Cricket","Junior","Mini","Summer Football","Small"},C761)))&gt;0,"reduced",IF(SUMPRODUCT(--ISNUMBER(SEARCH({"Rugby","Football","League","Touch","Gaelic","Australian","Lacrosse","General Sport","Training Area","Ultimate"},C761)))&gt;0,"full","unknown"))))</f>
        <v/>
      </c>
      <c r="E761" s="9"/>
      <c r="F761" s="9"/>
      <c r="G761" s="9"/>
      <c r="H761" s="9"/>
      <c r="I761" s="12"/>
      <c r="J761" s="9"/>
      <c r="K761" s="9"/>
      <c r="L761" s="9"/>
      <c r="M761" s="9"/>
      <c r="N761" s="9"/>
      <c r="O761" s="13" t="str">
        <f aca="false">IF(C761="","",IF(N(M761)+N(N761)&lt;Settings!$C$9,"untested",M761/(M761+N761)))</f>
        <v/>
      </c>
      <c r="P761" s="9"/>
      <c r="Q761" s="9"/>
      <c r="R761" s="9"/>
      <c r="S761" s="12"/>
      <c r="T761" s="9"/>
      <c r="U761" s="9"/>
      <c r="V761" s="9"/>
      <c r="W761" s="10" t="str">
        <f aca="false">IF(C761="","",IF(OR(G761="training",G761="full"),"Yes",IF(G761="none","No","?")))</f>
        <v/>
      </c>
      <c r="X761" s="10" t="str">
        <f aca="false">IF(C761="","",IF(OR(E761="",E761="unknown"),D761,E761))</f>
        <v/>
      </c>
      <c r="Y761" s="10" t="str">
        <f aca="false">IF(C761="","",IF(OR(T761="unsuitable",T761="retired",X761="no"),"—",IF(J761="","unrated",IF(AND(X761="full",J761&gt;=Settings!$C$5,OR(O761="untested",O761&gt;=Settings!$C$6)),"A",IF(AND(OR(X761="full",X761="reduced"),J761&gt;=Settings!$C$7,OR(O761="untested",O761&gt;=Settings!$C$8)),"B","C")))))</f>
        <v/>
      </c>
      <c r="Z761" s="11" t="str">
        <f aca="false">IF(C761="","",IF(P761&lt;&gt;"",P761,Y761))</f>
        <v/>
      </c>
    </row>
    <row r="762" customFormat="false" ht="15" hidden="false" customHeight="false" outlineLevel="0" collapsed="false">
      <c r="A762" s="9"/>
      <c r="B762" s="10" t="str">
        <f aca="false">IF(A762="","",IFERROR(INDEX(Parks!$A$2:$A$255,MATCH(A762,Parks!$B$2:$B$255,0)),"?"))</f>
        <v/>
      </c>
      <c r="C762" s="9"/>
      <c r="D762" s="10" t="str">
        <f aca="false">IF(C762="","",IF(SUMPRODUCT(--ISNUMBER(SEARCH({"Nets","Wicket","Diamond","Softball","T-ball","Baseball","Netball","Tennis","Bocce","Pentaque","Petanque","Skate","Car Park","Pond","Bridle","Amphitheatre","Perimeter","Passive"},C762)))&gt;0,"no",IF(SUMPRODUCT(--ISNUMBER(SEARCH({"Cricket","Junior","Mini","Summer Football","Small"},C762)))&gt;0,"reduced",IF(SUMPRODUCT(--ISNUMBER(SEARCH({"Rugby","Football","League","Touch","Gaelic","Australian","Lacrosse","General Sport","Training Area","Ultimate"},C762)))&gt;0,"full","unknown"))))</f>
        <v/>
      </c>
      <c r="E762" s="9"/>
      <c r="F762" s="9"/>
      <c r="G762" s="9"/>
      <c r="H762" s="9"/>
      <c r="I762" s="12"/>
      <c r="J762" s="9"/>
      <c r="K762" s="9"/>
      <c r="L762" s="9"/>
      <c r="M762" s="9"/>
      <c r="N762" s="9"/>
      <c r="O762" s="13" t="str">
        <f aca="false">IF(C762="","",IF(N(M762)+N(N762)&lt;Settings!$C$9,"untested",M762/(M762+N762)))</f>
        <v/>
      </c>
      <c r="P762" s="9"/>
      <c r="Q762" s="9"/>
      <c r="R762" s="9"/>
      <c r="S762" s="12"/>
      <c r="T762" s="9"/>
      <c r="U762" s="9"/>
      <c r="V762" s="9"/>
      <c r="W762" s="10" t="str">
        <f aca="false">IF(C762="","",IF(OR(G762="training",G762="full"),"Yes",IF(G762="none","No","?")))</f>
        <v/>
      </c>
      <c r="X762" s="10" t="str">
        <f aca="false">IF(C762="","",IF(OR(E762="",E762="unknown"),D762,E762))</f>
        <v/>
      </c>
      <c r="Y762" s="10" t="str">
        <f aca="false">IF(C762="","",IF(OR(T762="unsuitable",T762="retired",X762="no"),"—",IF(J762="","unrated",IF(AND(X762="full",J762&gt;=Settings!$C$5,OR(O762="untested",O762&gt;=Settings!$C$6)),"A",IF(AND(OR(X762="full",X762="reduced"),J762&gt;=Settings!$C$7,OR(O762="untested",O762&gt;=Settings!$C$8)),"B","C")))))</f>
        <v/>
      </c>
      <c r="Z762" s="11" t="str">
        <f aca="false">IF(C762="","",IF(P762&lt;&gt;"",P762,Y762))</f>
        <v/>
      </c>
    </row>
    <row r="763" customFormat="false" ht="15" hidden="false" customHeight="false" outlineLevel="0" collapsed="false">
      <c r="A763" s="9"/>
      <c r="B763" s="10" t="str">
        <f aca="false">IF(A763="","",IFERROR(INDEX(Parks!$A$2:$A$255,MATCH(A763,Parks!$B$2:$B$255,0)),"?"))</f>
        <v/>
      </c>
      <c r="C763" s="9"/>
      <c r="D763" s="10" t="str">
        <f aca="false">IF(C763="","",IF(SUMPRODUCT(--ISNUMBER(SEARCH({"Nets","Wicket","Diamond","Softball","T-ball","Baseball","Netball","Tennis","Bocce","Pentaque","Petanque","Skate","Car Park","Pond","Bridle","Amphitheatre","Perimeter","Passive"},C763)))&gt;0,"no",IF(SUMPRODUCT(--ISNUMBER(SEARCH({"Cricket","Junior","Mini","Summer Football","Small"},C763)))&gt;0,"reduced",IF(SUMPRODUCT(--ISNUMBER(SEARCH({"Rugby","Football","League","Touch","Gaelic","Australian","Lacrosse","General Sport","Training Area","Ultimate"},C763)))&gt;0,"full","unknown"))))</f>
        <v/>
      </c>
      <c r="E763" s="9"/>
      <c r="F763" s="9"/>
      <c r="G763" s="9"/>
      <c r="H763" s="9"/>
      <c r="I763" s="12"/>
      <c r="J763" s="9"/>
      <c r="K763" s="9"/>
      <c r="L763" s="9"/>
      <c r="M763" s="9"/>
      <c r="N763" s="9"/>
      <c r="O763" s="13" t="str">
        <f aca="false">IF(C763="","",IF(N(M763)+N(N763)&lt;Settings!$C$9,"untested",M763/(M763+N763)))</f>
        <v/>
      </c>
      <c r="P763" s="9"/>
      <c r="Q763" s="9"/>
      <c r="R763" s="9"/>
      <c r="S763" s="12"/>
      <c r="T763" s="9"/>
      <c r="U763" s="9"/>
      <c r="V763" s="9"/>
      <c r="W763" s="10" t="str">
        <f aca="false">IF(C763="","",IF(OR(G763="training",G763="full"),"Yes",IF(G763="none","No","?")))</f>
        <v/>
      </c>
      <c r="X763" s="10" t="str">
        <f aca="false">IF(C763="","",IF(OR(E763="",E763="unknown"),D763,E763))</f>
        <v/>
      </c>
      <c r="Y763" s="10" t="str">
        <f aca="false">IF(C763="","",IF(OR(T763="unsuitable",T763="retired",X763="no"),"—",IF(J763="","unrated",IF(AND(X763="full",J763&gt;=Settings!$C$5,OR(O763="untested",O763&gt;=Settings!$C$6)),"A",IF(AND(OR(X763="full",X763="reduced"),J763&gt;=Settings!$C$7,OR(O763="untested",O763&gt;=Settings!$C$8)),"B","C")))))</f>
        <v/>
      </c>
      <c r="Z763" s="11" t="str">
        <f aca="false">IF(C763="","",IF(P763&lt;&gt;"",P763,Y763))</f>
        <v/>
      </c>
    </row>
    <row r="764" customFormat="false" ht="15" hidden="false" customHeight="false" outlineLevel="0" collapsed="false">
      <c r="A764" s="9"/>
      <c r="B764" s="10" t="str">
        <f aca="false">IF(A764="","",IFERROR(INDEX(Parks!$A$2:$A$255,MATCH(A764,Parks!$B$2:$B$255,0)),"?"))</f>
        <v/>
      </c>
      <c r="C764" s="9"/>
      <c r="D764" s="10" t="str">
        <f aca="false">IF(C764="","",IF(SUMPRODUCT(--ISNUMBER(SEARCH({"Nets","Wicket","Diamond","Softball","T-ball","Baseball","Netball","Tennis","Bocce","Pentaque","Petanque","Skate","Car Park","Pond","Bridle","Amphitheatre","Perimeter","Passive"},C764)))&gt;0,"no",IF(SUMPRODUCT(--ISNUMBER(SEARCH({"Cricket","Junior","Mini","Summer Football","Small"},C764)))&gt;0,"reduced",IF(SUMPRODUCT(--ISNUMBER(SEARCH({"Rugby","Football","League","Touch","Gaelic","Australian","Lacrosse","General Sport","Training Area","Ultimate"},C764)))&gt;0,"full","unknown"))))</f>
        <v/>
      </c>
      <c r="E764" s="9"/>
      <c r="F764" s="9"/>
      <c r="G764" s="9"/>
      <c r="H764" s="9"/>
      <c r="I764" s="12"/>
      <c r="J764" s="9"/>
      <c r="K764" s="9"/>
      <c r="L764" s="9"/>
      <c r="M764" s="9"/>
      <c r="N764" s="9"/>
      <c r="O764" s="13" t="str">
        <f aca="false">IF(C764="","",IF(N(M764)+N(N764)&lt;Settings!$C$9,"untested",M764/(M764+N764)))</f>
        <v/>
      </c>
      <c r="P764" s="9"/>
      <c r="Q764" s="9"/>
      <c r="R764" s="9"/>
      <c r="S764" s="12"/>
      <c r="T764" s="9"/>
      <c r="U764" s="9"/>
      <c r="V764" s="9"/>
      <c r="W764" s="10" t="str">
        <f aca="false">IF(C764="","",IF(OR(G764="training",G764="full"),"Yes",IF(G764="none","No","?")))</f>
        <v/>
      </c>
      <c r="X764" s="10" t="str">
        <f aca="false">IF(C764="","",IF(OR(E764="",E764="unknown"),D764,E764))</f>
        <v/>
      </c>
      <c r="Y764" s="10" t="str">
        <f aca="false">IF(C764="","",IF(OR(T764="unsuitable",T764="retired",X764="no"),"—",IF(J764="","unrated",IF(AND(X764="full",J764&gt;=Settings!$C$5,OR(O764="untested",O764&gt;=Settings!$C$6)),"A",IF(AND(OR(X764="full",X764="reduced"),J764&gt;=Settings!$C$7,OR(O764="untested",O764&gt;=Settings!$C$8)),"B","C")))))</f>
        <v/>
      </c>
      <c r="Z764" s="11" t="str">
        <f aca="false">IF(C764="","",IF(P764&lt;&gt;"",P764,Y764))</f>
        <v/>
      </c>
    </row>
    <row r="765" customFormat="false" ht="15" hidden="false" customHeight="false" outlineLevel="0" collapsed="false">
      <c r="A765" s="9"/>
      <c r="B765" s="10" t="str">
        <f aca="false">IF(A765="","",IFERROR(INDEX(Parks!$A$2:$A$255,MATCH(A765,Parks!$B$2:$B$255,0)),"?"))</f>
        <v/>
      </c>
      <c r="C765" s="9"/>
      <c r="D765" s="10" t="str">
        <f aca="false">IF(C765="","",IF(SUMPRODUCT(--ISNUMBER(SEARCH({"Nets","Wicket","Diamond","Softball","T-ball","Baseball","Netball","Tennis","Bocce","Pentaque","Petanque","Skate","Car Park","Pond","Bridle","Amphitheatre","Perimeter","Passive"},C765)))&gt;0,"no",IF(SUMPRODUCT(--ISNUMBER(SEARCH({"Cricket","Junior","Mini","Summer Football","Small"},C765)))&gt;0,"reduced",IF(SUMPRODUCT(--ISNUMBER(SEARCH({"Rugby","Football","League","Touch","Gaelic","Australian","Lacrosse","General Sport","Training Area","Ultimate"},C765)))&gt;0,"full","unknown"))))</f>
        <v/>
      </c>
      <c r="E765" s="9"/>
      <c r="F765" s="9"/>
      <c r="G765" s="9"/>
      <c r="H765" s="9"/>
      <c r="I765" s="12"/>
      <c r="J765" s="9"/>
      <c r="K765" s="9"/>
      <c r="L765" s="9"/>
      <c r="M765" s="9"/>
      <c r="N765" s="9"/>
      <c r="O765" s="13" t="str">
        <f aca="false">IF(C765="","",IF(N(M765)+N(N765)&lt;Settings!$C$9,"untested",M765/(M765+N765)))</f>
        <v/>
      </c>
      <c r="P765" s="9"/>
      <c r="Q765" s="9"/>
      <c r="R765" s="9"/>
      <c r="S765" s="12"/>
      <c r="T765" s="9"/>
      <c r="U765" s="9"/>
      <c r="V765" s="9"/>
      <c r="W765" s="10" t="str">
        <f aca="false">IF(C765="","",IF(OR(G765="training",G765="full"),"Yes",IF(G765="none","No","?")))</f>
        <v/>
      </c>
      <c r="X765" s="10" t="str">
        <f aca="false">IF(C765="","",IF(OR(E765="",E765="unknown"),D765,E765))</f>
        <v/>
      </c>
      <c r="Y765" s="10" t="str">
        <f aca="false">IF(C765="","",IF(OR(T765="unsuitable",T765="retired",X765="no"),"—",IF(J765="","unrated",IF(AND(X765="full",J765&gt;=Settings!$C$5,OR(O765="untested",O765&gt;=Settings!$C$6)),"A",IF(AND(OR(X765="full",X765="reduced"),J765&gt;=Settings!$C$7,OR(O765="untested",O765&gt;=Settings!$C$8)),"B","C")))))</f>
        <v/>
      </c>
      <c r="Z765" s="11" t="str">
        <f aca="false">IF(C765="","",IF(P765&lt;&gt;"",P765,Y765))</f>
        <v/>
      </c>
    </row>
    <row r="766" customFormat="false" ht="15" hidden="false" customHeight="false" outlineLevel="0" collapsed="false">
      <c r="A766" s="9"/>
      <c r="B766" s="10" t="str">
        <f aca="false">IF(A766="","",IFERROR(INDEX(Parks!$A$2:$A$255,MATCH(A766,Parks!$B$2:$B$255,0)),"?"))</f>
        <v/>
      </c>
      <c r="C766" s="9"/>
      <c r="D766" s="10" t="str">
        <f aca="false">IF(C766="","",IF(SUMPRODUCT(--ISNUMBER(SEARCH({"Nets","Wicket","Diamond","Softball","T-ball","Baseball","Netball","Tennis","Bocce","Pentaque","Petanque","Skate","Car Park","Pond","Bridle","Amphitheatre","Perimeter","Passive"},C766)))&gt;0,"no",IF(SUMPRODUCT(--ISNUMBER(SEARCH({"Cricket","Junior","Mini","Summer Football","Small"},C766)))&gt;0,"reduced",IF(SUMPRODUCT(--ISNUMBER(SEARCH({"Rugby","Football","League","Touch","Gaelic","Australian","Lacrosse","General Sport","Training Area","Ultimate"},C766)))&gt;0,"full","unknown"))))</f>
        <v/>
      </c>
      <c r="E766" s="9"/>
      <c r="F766" s="9"/>
      <c r="G766" s="9"/>
      <c r="H766" s="9"/>
      <c r="I766" s="12"/>
      <c r="J766" s="9"/>
      <c r="K766" s="9"/>
      <c r="L766" s="9"/>
      <c r="M766" s="9"/>
      <c r="N766" s="9"/>
      <c r="O766" s="13" t="str">
        <f aca="false">IF(C766="","",IF(N(M766)+N(N766)&lt;Settings!$C$9,"untested",M766/(M766+N766)))</f>
        <v/>
      </c>
      <c r="P766" s="9"/>
      <c r="Q766" s="9"/>
      <c r="R766" s="9"/>
      <c r="S766" s="12"/>
      <c r="T766" s="9"/>
      <c r="U766" s="9"/>
      <c r="V766" s="9"/>
      <c r="W766" s="10" t="str">
        <f aca="false">IF(C766="","",IF(OR(G766="training",G766="full"),"Yes",IF(G766="none","No","?")))</f>
        <v/>
      </c>
      <c r="X766" s="10" t="str">
        <f aca="false">IF(C766="","",IF(OR(E766="",E766="unknown"),D766,E766))</f>
        <v/>
      </c>
      <c r="Y766" s="10" t="str">
        <f aca="false">IF(C766="","",IF(OR(T766="unsuitable",T766="retired",X766="no"),"—",IF(J766="","unrated",IF(AND(X766="full",J766&gt;=Settings!$C$5,OR(O766="untested",O766&gt;=Settings!$C$6)),"A",IF(AND(OR(X766="full",X766="reduced"),J766&gt;=Settings!$C$7,OR(O766="untested",O766&gt;=Settings!$C$8)),"B","C")))))</f>
        <v/>
      </c>
      <c r="Z766" s="11" t="str">
        <f aca="false">IF(C766="","",IF(P766&lt;&gt;"",P766,Y766))</f>
        <v/>
      </c>
    </row>
    <row r="767" customFormat="false" ht="15" hidden="false" customHeight="false" outlineLevel="0" collapsed="false">
      <c r="A767" s="9"/>
      <c r="B767" s="10" t="str">
        <f aca="false">IF(A767="","",IFERROR(INDEX(Parks!$A$2:$A$255,MATCH(A767,Parks!$B$2:$B$255,0)),"?"))</f>
        <v/>
      </c>
      <c r="C767" s="9"/>
      <c r="D767" s="10" t="str">
        <f aca="false">IF(C767="","",IF(SUMPRODUCT(--ISNUMBER(SEARCH({"Nets","Wicket","Diamond","Softball","T-ball","Baseball","Netball","Tennis","Bocce","Pentaque","Petanque","Skate","Car Park","Pond","Bridle","Amphitheatre","Perimeter","Passive"},C767)))&gt;0,"no",IF(SUMPRODUCT(--ISNUMBER(SEARCH({"Cricket","Junior","Mini","Summer Football","Small"},C767)))&gt;0,"reduced",IF(SUMPRODUCT(--ISNUMBER(SEARCH({"Rugby","Football","League","Touch","Gaelic","Australian","Lacrosse","General Sport","Training Area","Ultimate"},C767)))&gt;0,"full","unknown"))))</f>
        <v/>
      </c>
      <c r="E767" s="9"/>
      <c r="F767" s="9"/>
      <c r="G767" s="9"/>
      <c r="H767" s="9"/>
      <c r="I767" s="12"/>
      <c r="J767" s="9"/>
      <c r="K767" s="9"/>
      <c r="L767" s="9"/>
      <c r="M767" s="9"/>
      <c r="N767" s="9"/>
      <c r="O767" s="13" t="str">
        <f aca="false">IF(C767="","",IF(N(M767)+N(N767)&lt;Settings!$C$9,"untested",M767/(M767+N767)))</f>
        <v/>
      </c>
      <c r="P767" s="9"/>
      <c r="Q767" s="9"/>
      <c r="R767" s="9"/>
      <c r="S767" s="12"/>
      <c r="T767" s="9"/>
      <c r="U767" s="9"/>
      <c r="V767" s="9"/>
      <c r="W767" s="10" t="str">
        <f aca="false">IF(C767="","",IF(OR(G767="training",G767="full"),"Yes",IF(G767="none","No","?")))</f>
        <v/>
      </c>
      <c r="X767" s="10" t="str">
        <f aca="false">IF(C767="","",IF(OR(E767="",E767="unknown"),D767,E767))</f>
        <v/>
      </c>
      <c r="Y767" s="10" t="str">
        <f aca="false">IF(C767="","",IF(OR(T767="unsuitable",T767="retired",X767="no"),"—",IF(J767="","unrated",IF(AND(X767="full",J767&gt;=Settings!$C$5,OR(O767="untested",O767&gt;=Settings!$C$6)),"A",IF(AND(OR(X767="full",X767="reduced"),J767&gt;=Settings!$C$7,OR(O767="untested",O767&gt;=Settings!$C$8)),"B","C")))))</f>
        <v/>
      </c>
      <c r="Z767" s="11" t="str">
        <f aca="false">IF(C767="","",IF(P767&lt;&gt;"",P767,Y767))</f>
        <v/>
      </c>
    </row>
    <row r="768" customFormat="false" ht="15" hidden="false" customHeight="false" outlineLevel="0" collapsed="false">
      <c r="A768" s="9"/>
      <c r="B768" s="10" t="str">
        <f aca="false">IF(A768="","",IFERROR(INDEX(Parks!$A$2:$A$255,MATCH(A768,Parks!$B$2:$B$255,0)),"?"))</f>
        <v/>
      </c>
      <c r="C768" s="9"/>
      <c r="D768" s="10" t="str">
        <f aca="false">IF(C768="","",IF(SUMPRODUCT(--ISNUMBER(SEARCH({"Nets","Wicket","Diamond","Softball","T-ball","Baseball","Netball","Tennis","Bocce","Pentaque","Petanque","Skate","Car Park","Pond","Bridle","Amphitheatre","Perimeter","Passive"},C768)))&gt;0,"no",IF(SUMPRODUCT(--ISNUMBER(SEARCH({"Cricket","Junior","Mini","Summer Football","Small"},C768)))&gt;0,"reduced",IF(SUMPRODUCT(--ISNUMBER(SEARCH({"Rugby","Football","League","Touch","Gaelic","Australian","Lacrosse","General Sport","Training Area","Ultimate"},C768)))&gt;0,"full","unknown"))))</f>
        <v/>
      </c>
      <c r="E768" s="9"/>
      <c r="F768" s="9"/>
      <c r="G768" s="9"/>
      <c r="H768" s="9"/>
      <c r="I768" s="12"/>
      <c r="J768" s="9"/>
      <c r="K768" s="9"/>
      <c r="L768" s="9"/>
      <c r="M768" s="9"/>
      <c r="N768" s="9"/>
      <c r="O768" s="13" t="str">
        <f aca="false">IF(C768="","",IF(N(M768)+N(N768)&lt;Settings!$C$9,"untested",M768/(M768+N768)))</f>
        <v/>
      </c>
      <c r="P768" s="9"/>
      <c r="Q768" s="9"/>
      <c r="R768" s="9"/>
      <c r="S768" s="12"/>
      <c r="T768" s="9"/>
      <c r="U768" s="9"/>
      <c r="V768" s="9"/>
      <c r="W768" s="10" t="str">
        <f aca="false">IF(C768="","",IF(OR(G768="training",G768="full"),"Yes",IF(G768="none","No","?")))</f>
        <v/>
      </c>
      <c r="X768" s="10" t="str">
        <f aca="false">IF(C768="","",IF(OR(E768="",E768="unknown"),D768,E768))</f>
        <v/>
      </c>
      <c r="Y768" s="10" t="str">
        <f aca="false">IF(C768="","",IF(OR(T768="unsuitable",T768="retired",X768="no"),"—",IF(J768="","unrated",IF(AND(X768="full",J768&gt;=Settings!$C$5,OR(O768="untested",O768&gt;=Settings!$C$6)),"A",IF(AND(OR(X768="full",X768="reduced"),J768&gt;=Settings!$C$7,OR(O768="untested",O768&gt;=Settings!$C$8)),"B","C")))))</f>
        <v/>
      </c>
      <c r="Z768" s="11" t="str">
        <f aca="false">IF(C768="","",IF(P768&lt;&gt;"",P768,Y768))</f>
        <v/>
      </c>
    </row>
    <row r="769" customFormat="false" ht="15" hidden="false" customHeight="false" outlineLevel="0" collapsed="false">
      <c r="A769" s="9"/>
      <c r="B769" s="10" t="str">
        <f aca="false">IF(A769="","",IFERROR(INDEX(Parks!$A$2:$A$255,MATCH(A769,Parks!$B$2:$B$255,0)),"?"))</f>
        <v/>
      </c>
      <c r="C769" s="9"/>
      <c r="D769" s="10" t="str">
        <f aca="false">IF(C769="","",IF(SUMPRODUCT(--ISNUMBER(SEARCH({"Nets","Wicket","Diamond","Softball","T-ball","Baseball","Netball","Tennis","Bocce","Pentaque","Petanque","Skate","Car Park","Pond","Bridle","Amphitheatre","Perimeter","Passive"},C769)))&gt;0,"no",IF(SUMPRODUCT(--ISNUMBER(SEARCH({"Cricket","Junior","Mini","Summer Football","Small"},C769)))&gt;0,"reduced",IF(SUMPRODUCT(--ISNUMBER(SEARCH({"Rugby","Football","League","Touch","Gaelic","Australian","Lacrosse","General Sport","Training Area","Ultimate"},C769)))&gt;0,"full","unknown"))))</f>
        <v/>
      </c>
      <c r="E769" s="9"/>
      <c r="F769" s="9"/>
      <c r="G769" s="9"/>
      <c r="H769" s="9"/>
      <c r="I769" s="12"/>
      <c r="J769" s="9"/>
      <c r="K769" s="9"/>
      <c r="L769" s="9"/>
      <c r="M769" s="9"/>
      <c r="N769" s="9"/>
      <c r="O769" s="13" t="str">
        <f aca="false">IF(C769="","",IF(N(M769)+N(N769)&lt;Settings!$C$9,"untested",M769/(M769+N769)))</f>
        <v/>
      </c>
      <c r="P769" s="9"/>
      <c r="Q769" s="9"/>
      <c r="R769" s="9"/>
      <c r="S769" s="12"/>
      <c r="T769" s="9"/>
      <c r="U769" s="9"/>
      <c r="V769" s="9"/>
      <c r="W769" s="10" t="str">
        <f aca="false">IF(C769="","",IF(OR(G769="training",G769="full"),"Yes",IF(G769="none","No","?")))</f>
        <v/>
      </c>
      <c r="X769" s="10" t="str">
        <f aca="false">IF(C769="","",IF(OR(E769="",E769="unknown"),D769,E769))</f>
        <v/>
      </c>
      <c r="Y769" s="10" t="str">
        <f aca="false">IF(C769="","",IF(OR(T769="unsuitable",T769="retired",X769="no"),"—",IF(J769="","unrated",IF(AND(X769="full",J769&gt;=Settings!$C$5,OR(O769="untested",O769&gt;=Settings!$C$6)),"A",IF(AND(OR(X769="full",X769="reduced"),J769&gt;=Settings!$C$7,OR(O769="untested",O769&gt;=Settings!$C$8)),"B","C")))))</f>
        <v/>
      </c>
      <c r="Z769" s="11" t="str">
        <f aca="false">IF(C769="","",IF(P769&lt;&gt;"",P769,Y769))</f>
        <v/>
      </c>
    </row>
    <row r="770" customFormat="false" ht="15" hidden="false" customHeight="false" outlineLevel="0" collapsed="false">
      <c r="A770" s="9"/>
      <c r="B770" s="10" t="str">
        <f aca="false">IF(A770="","",IFERROR(INDEX(Parks!$A$2:$A$255,MATCH(A770,Parks!$B$2:$B$255,0)),"?"))</f>
        <v/>
      </c>
      <c r="C770" s="9"/>
      <c r="D770" s="10" t="str">
        <f aca="false">IF(C770="","",IF(SUMPRODUCT(--ISNUMBER(SEARCH({"Nets","Wicket","Diamond","Softball","T-ball","Baseball","Netball","Tennis","Bocce","Pentaque","Petanque","Skate","Car Park","Pond","Bridle","Amphitheatre","Perimeter","Passive"},C770)))&gt;0,"no",IF(SUMPRODUCT(--ISNUMBER(SEARCH({"Cricket","Junior","Mini","Summer Football","Small"},C770)))&gt;0,"reduced",IF(SUMPRODUCT(--ISNUMBER(SEARCH({"Rugby","Football","League","Touch","Gaelic","Australian","Lacrosse","General Sport","Training Area","Ultimate"},C770)))&gt;0,"full","unknown"))))</f>
        <v/>
      </c>
      <c r="E770" s="9"/>
      <c r="F770" s="9"/>
      <c r="G770" s="9"/>
      <c r="H770" s="9"/>
      <c r="I770" s="12"/>
      <c r="J770" s="9"/>
      <c r="K770" s="9"/>
      <c r="L770" s="9"/>
      <c r="M770" s="9"/>
      <c r="N770" s="9"/>
      <c r="O770" s="13" t="str">
        <f aca="false">IF(C770="","",IF(N(M770)+N(N770)&lt;Settings!$C$9,"untested",M770/(M770+N770)))</f>
        <v/>
      </c>
      <c r="P770" s="9"/>
      <c r="Q770" s="9"/>
      <c r="R770" s="9"/>
      <c r="S770" s="12"/>
      <c r="T770" s="9"/>
      <c r="U770" s="9"/>
      <c r="V770" s="9"/>
      <c r="W770" s="10" t="str">
        <f aca="false">IF(C770="","",IF(OR(G770="training",G770="full"),"Yes",IF(G770="none","No","?")))</f>
        <v/>
      </c>
      <c r="X770" s="10" t="str">
        <f aca="false">IF(C770="","",IF(OR(E770="",E770="unknown"),D770,E770))</f>
        <v/>
      </c>
      <c r="Y770" s="10" t="str">
        <f aca="false">IF(C770="","",IF(OR(T770="unsuitable",T770="retired",X770="no"),"—",IF(J770="","unrated",IF(AND(X770="full",J770&gt;=Settings!$C$5,OR(O770="untested",O770&gt;=Settings!$C$6)),"A",IF(AND(OR(X770="full",X770="reduced"),J770&gt;=Settings!$C$7,OR(O770="untested",O770&gt;=Settings!$C$8)),"B","C")))))</f>
        <v/>
      </c>
      <c r="Z770" s="11" t="str">
        <f aca="false">IF(C770="","",IF(P770&lt;&gt;"",P770,Y770))</f>
        <v/>
      </c>
    </row>
    <row r="771" customFormat="false" ht="15" hidden="false" customHeight="false" outlineLevel="0" collapsed="false">
      <c r="A771" s="9"/>
      <c r="B771" s="10" t="str">
        <f aca="false">IF(A771="","",IFERROR(INDEX(Parks!$A$2:$A$255,MATCH(A771,Parks!$B$2:$B$255,0)),"?"))</f>
        <v/>
      </c>
      <c r="C771" s="9"/>
      <c r="D771" s="10" t="str">
        <f aca="false">IF(C771="","",IF(SUMPRODUCT(--ISNUMBER(SEARCH({"Nets","Wicket","Diamond","Softball","T-ball","Baseball","Netball","Tennis","Bocce","Pentaque","Petanque","Skate","Car Park","Pond","Bridle","Amphitheatre","Perimeter","Passive"},C771)))&gt;0,"no",IF(SUMPRODUCT(--ISNUMBER(SEARCH({"Cricket","Junior","Mini","Summer Football","Small"},C771)))&gt;0,"reduced",IF(SUMPRODUCT(--ISNUMBER(SEARCH({"Rugby","Football","League","Touch","Gaelic","Australian","Lacrosse","General Sport","Training Area","Ultimate"},C771)))&gt;0,"full","unknown"))))</f>
        <v/>
      </c>
      <c r="E771" s="9"/>
      <c r="F771" s="9"/>
      <c r="G771" s="9"/>
      <c r="H771" s="9"/>
      <c r="I771" s="12"/>
      <c r="J771" s="9"/>
      <c r="K771" s="9"/>
      <c r="L771" s="9"/>
      <c r="M771" s="9"/>
      <c r="N771" s="9"/>
      <c r="O771" s="13" t="str">
        <f aca="false">IF(C771="","",IF(N(M771)+N(N771)&lt;Settings!$C$9,"untested",M771/(M771+N771)))</f>
        <v/>
      </c>
      <c r="P771" s="9"/>
      <c r="Q771" s="9"/>
      <c r="R771" s="9"/>
      <c r="S771" s="12"/>
      <c r="T771" s="9"/>
      <c r="U771" s="9"/>
      <c r="V771" s="9"/>
      <c r="W771" s="10" t="str">
        <f aca="false">IF(C771="","",IF(OR(G771="training",G771="full"),"Yes",IF(G771="none","No","?")))</f>
        <v/>
      </c>
      <c r="X771" s="10" t="str">
        <f aca="false">IF(C771="","",IF(OR(E771="",E771="unknown"),D771,E771))</f>
        <v/>
      </c>
      <c r="Y771" s="10" t="str">
        <f aca="false">IF(C771="","",IF(OR(T771="unsuitable",T771="retired",X771="no"),"—",IF(J771="","unrated",IF(AND(X771="full",J771&gt;=Settings!$C$5,OR(O771="untested",O771&gt;=Settings!$C$6)),"A",IF(AND(OR(X771="full",X771="reduced"),J771&gt;=Settings!$C$7,OR(O771="untested",O771&gt;=Settings!$C$8)),"B","C")))))</f>
        <v/>
      </c>
      <c r="Z771" s="11" t="str">
        <f aca="false">IF(C771="","",IF(P771&lt;&gt;"",P771,Y771))</f>
        <v/>
      </c>
    </row>
    <row r="772" customFormat="false" ht="15" hidden="false" customHeight="false" outlineLevel="0" collapsed="false">
      <c r="A772" s="9"/>
      <c r="B772" s="10" t="str">
        <f aca="false">IF(A772="","",IFERROR(INDEX(Parks!$A$2:$A$255,MATCH(A772,Parks!$B$2:$B$255,0)),"?"))</f>
        <v/>
      </c>
      <c r="C772" s="9"/>
      <c r="D772" s="10" t="str">
        <f aca="false">IF(C772="","",IF(SUMPRODUCT(--ISNUMBER(SEARCH({"Nets","Wicket","Diamond","Softball","T-ball","Baseball","Netball","Tennis","Bocce","Pentaque","Petanque","Skate","Car Park","Pond","Bridle","Amphitheatre","Perimeter","Passive"},C772)))&gt;0,"no",IF(SUMPRODUCT(--ISNUMBER(SEARCH({"Cricket","Junior","Mini","Summer Football","Small"},C772)))&gt;0,"reduced",IF(SUMPRODUCT(--ISNUMBER(SEARCH({"Rugby","Football","League","Touch","Gaelic","Australian","Lacrosse","General Sport","Training Area","Ultimate"},C772)))&gt;0,"full","unknown"))))</f>
        <v/>
      </c>
      <c r="E772" s="9"/>
      <c r="F772" s="9"/>
      <c r="G772" s="9"/>
      <c r="H772" s="9"/>
      <c r="I772" s="12"/>
      <c r="J772" s="9"/>
      <c r="K772" s="9"/>
      <c r="L772" s="9"/>
      <c r="M772" s="9"/>
      <c r="N772" s="9"/>
      <c r="O772" s="13" t="str">
        <f aca="false">IF(C772="","",IF(N(M772)+N(N772)&lt;Settings!$C$9,"untested",M772/(M772+N772)))</f>
        <v/>
      </c>
      <c r="P772" s="9"/>
      <c r="Q772" s="9"/>
      <c r="R772" s="9"/>
      <c r="S772" s="12"/>
      <c r="T772" s="9"/>
      <c r="U772" s="9"/>
      <c r="V772" s="9"/>
      <c r="W772" s="10" t="str">
        <f aca="false">IF(C772="","",IF(OR(G772="training",G772="full"),"Yes",IF(G772="none","No","?")))</f>
        <v/>
      </c>
      <c r="X772" s="10" t="str">
        <f aca="false">IF(C772="","",IF(OR(E772="",E772="unknown"),D772,E772))</f>
        <v/>
      </c>
      <c r="Y772" s="10" t="str">
        <f aca="false">IF(C772="","",IF(OR(T772="unsuitable",T772="retired",X772="no"),"—",IF(J772="","unrated",IF(AND(X772="full",J772&gt;=Settings!$C$5,OR(O772="untested",O772&gt;=Settings!$C$6)),"A",IF(AND(OR(X772="full",X772="reduced"),J772&gt;=Settings!$C$7,OR(O772="untested",O772&gt;=Settings!$C$8)),"B","C")))))</f>
        <v/>
      </c>
      <c r="Z772" s="11" t="str">
        <f aca="false">IF(C772="","",IF(P772&lt;&gt;"",P772,Y772))</f>
        <v/>
      </c>
    </row>
    <row r="773" customFormat="false" ht="15" hidden="false" customHeight="false" outlineLevel="0" collapsed="false">
      <c r="A773" s="9"/>
      <c r="B773" s="10" t="str">
        <f aca="false">IF(A773="","",IFERROR(INDEX(Parks!$A$2:$A$255,MATCH(A773,Parks!$B$2:$B$255,0)),"?"))</f>
        <v/>
      </c>
      <c r="C773" s="9"/>
      <c r="D773" s="10" t="str">
        <f aca="false">IF(C773="","",IF(SUMPRODUCT(--ISNUMBER(SEARCH({"Nets","Wicket","Diamond","Softball","T-ball","Baseball","Netball","Tennis","Bocce","Pentaque","Petanque","Skate","Car Park","Pond","Bridle","Amphitheatre","Perimeter","Passive"},C773)))&gt;0,"no",IF(SUMPRODUCT(--ISNUMBER(SEARCH({"Cricket","Junior","Mini","Summer Football","Small"},C773)))&gt;0,"reduced",IF(SUMPRODUCT(--ISNUMBER(SEARCH({"Rugby","Football","League","Touch","Gaelic","Australian","Lacrosse","General Sport","Training Area","Ultimate"},C773)))&gt;0,"full","unknown"))))</f>
        <v/>
      </c>
      <c r="E773" s="9"/>
      <c r="F773" s="9"/>
      <c r="G773" s="9"/>
      <c r="H773" s="9"/>
      <c r="I773" s="12"/>
      <c r="J773" s="9"/>
      <c r="K773" s="9"/>
      <c r="L773" s="9"/>
      <c r="M773" s="9"/>
      <c r="N773" s="9"/>
      <c r="O773" s="13" t="str">
        <f aca="false">IF(C773="","",IF(N(M773)+N(N773)&lt;Settings!$C$9,"untested",M773/(M773+N773)))</f>
        <v/>
      </c>
      <c r="P773" s="9"/>
      <c r="Q773" s="9"/>
      <c r="R773" s="9"/>
      <c r="S773" s="12"/>
      <c r="T773" s="9"/>
      <c r="U773" s="9"/>
      <c r="V773" s="9"/>
      <c r="W773" s="10" t="str">
        <f aca="false">IF(C773="","",IF(OR(G773="training",G773="full"),"Yes",IF(G773="none","No","?")))</f>
        <v/>
      </c>
      <c r="X773" s="10" t="str">
        <f aca="false">IF(C773="","",IF(OR(E773="",E773="unknown"),D773,E773))</f>
        <v/>
      </c>
      <c r="Y773" s="10" t="str">
        <f aca="false">IF(C773="","",IF(OR(T773="unsuitable",T773="retired",X773="no"),"—",IF(J773="","unrated",IF(AND(X773="full",J773&gt;=Settings!$C$5,OR(O773="untested",O773&gt;=Settings!$C$6)),"A",IF(AND(OR(X773="full",X773="reduced"),J773&gt;=Settings!$C$7,OR(O773="untested",O773&gt;=Settings!$C$8)),"B","C")))))</f>
        <v/>
      </c>
      <c r="Z773" s="11" t="str">
        <f aca="false">IF(C773="","",IF(P773&lt;&gt;"",P773,Y773))</f>
        <v/>
      </c>
    </row>
    <row r="774" customFormat="false" ht="15" hidden="false" customHeight="false" outlineLevel="0" collapsed="false">
      <c r="A774" s="9"/>
      <c r="B774" s="10" t="str">
        <f aca="false">IF(A774="","",IFERROR(INDEX(Parks!$A$2:$A$255,MATCH(A774,Parks!$B$2:$B$255,0)),"?"))</f>
        <v/>
      </c>
      <c r="C774" s="9"/>
      <c r="D774" s="10" t="str">
        <f aca="false">IF(C774="","",IF(SUMPRODUCT(--ISNUMBER(SEARCH({"Nets","Wicket","Diamond","Softball","T-ball","Baseball","Netball","Tennis","Bocce","Pentaque","Petanque","Skate","Car Park","Pond","Bridle","Amphitheatre","Perimeter","Passive"},C774)))&gt;0,"no",IF(SUMPRODUCT(--ISNUMBER(SEARCH({"Cricket","Junior","Mini","Summer Football","Small"},C774)))&gt;0,"reduced",IF(SUMPRODUCT(--ISNUMBER(SEARCH({"Rugby","Football","League","Touch","Gaelic","Australian","Lacrosse","General Sport","Training Area","Ultimate"},C774)))&gt;0,"full","unknown"))))</f>
        <v/>
      </c>
      <c r="E774" s="9"/>
      <c r="F774" s="9"/>
      <c r="G774" s="9"/>
      <c r="H774" s="9"/>
      <c r="I774" s="12"/>
      <c r="J774" s="9"/>
      <c r="K774" s="9"/>
      <c r="L774" s="9"/>
      <c r="M774" s="9"/>
      <c r="N774" s="9"/>
      <c r="O774" s="13" t="str">
        <f aca="false">IF(C774="","",IF(N(M774)+N(N774)&lt;Settings!$C$9,"untested",M774/(M774+N774)))</f>
        <v/>
      </c>
      <c r="P774" s="9"/>
      <c r="Q774" s="9"/>
      <c r="R774" s="9"/>
      <c r="S774" s="12"/>
      <c r="T774" s="9"/>
      <c r="U774" s="9"/>
      <c r="V774" s="9"/>
      <c r="W774" s="10" t="str">
        <f aca="false">IF(C774="","",IF(OR(G774="training",G774="full"),"Yes",IF(G774="none","No","?")))</f>
        <v/>
      </c>
      <c r="X774" s="10" t="str">
        <f aca="false">IF(C774="","",IF(OR(E774="",E774="unknown"),D774,E774))</f>
        <v/>
      </c>
      <c r="Y774" s="10" t="str">
        <f aca="false">IF(C774="","",IF(OR(T774="unsuitable",T774="retired",X774="no"),"—",IF(J774="","unrated",IF(AND(X774="full",J774&gt;=Settings!$C$5,OR(O774="untested",O774&gt;=Settings!$C$6)),"A",IF(AND(OR(X774="full",X774="reduced"),J774&gt;=Settings!$C$7,OR(O774="untested",O774&gt;=Settings!$C$8)),"B","C")))))</f>
        <v/>
      </c>
      <c r="Z774" s="11" t="str">
        <f aca="false">IF(C774="","",IF(P774&lt;&gt;"",P774,Y774))</f>
        <v/>
      </c>
    </row>
    <row r="775" customFormat="false" ht="15" hidden="false" customHeight="false" outlineLevel="0" collapsed="false">
      <c r="A775" s="9"/>
      <c r="B775" s="10" t="str">
        <f aca="false">IF(A775="","",IFERROR(INDEX(Parks!$A$2:$A$255,MATCH(A775,Parks!$B$2:$B$255,0)),"?"))</f>
        <v/>
      </c>
      <c r="C775" s="9"/>
      <c r="D775" s="10" t="str">
        <f aca="false">IF(C775="","",IF(SUMPRODUCT(--ISNUMBER(SEARCH({"Nets","Wicket","Diamond","Softball","T-ball","Baseball","Netball","Tennis","Bocce","Pentaque","Petanque","Skate","Car Park","Pond","Bridle","Amphitheatre","Perimeter","Passive"},C775)))&gt;0,"no",IF(SUMPRODUCT(--ISNUMBER(SEARCH({"Cricket","Junior","Mini","Summer Football","Small"},C775)))&gt;0,"reduced",IF(SUMPRODUCT(--ISNUMBER(SEARCH({"Rugby","Football","League","Touch","Gaelic","Australian","Lacrosse","General Sport","Training Area","Ultimate"},C775)))&gt;0,"full","unknown"))))</f>
        <v/>
      </c>
      <c r="E775" s="9"/>
      <c r="F775" s="9"/>
      <c r="G775" s="9"/>
      <c r="H775" s="9"/>
      <c r="I775" s="12"/>
      <c r="J775" s="9"/>
      <c r="K775" s="9"/>
      <c r="L775" s="9"/>
      <c r="M775" s="9"/>
      <c r="N775" s="9"/>
      <c r="O775" s="13" t="str">
        <f aca="false">IF(C775="","",IF(N(M775)+N(N775)&lt;Settings!$C$9,"untested",M775/(M775+N775)))</f>
        <v/>
      </c>
      <c r="P775" s="9"/>
      <c r="Q775" s="9"/>
      <c r="R775" s="9"/>
      <c r="S775" s="12"/>
      <c r="T775" s="9"/>
      <c r="U775" s="9"/>
      <c r="V775" s="9"/>
      <c r="W775" s="10" t="str">
        <f aca="false">IF(C775="","",IF(OR(G775="training",G775="full"),"Yes",IF(G775="none","No","?")))</f>
        <v/>
      </c>
      <c r="X775" s="10" t="str">
        <f aca="false">IF(C775="","",IF(OR(E775="",E775="unknown"),D775,E775))</f>
        <v/>
      </c>
      <c r="Y775" s="10" t="str">
        <f aca="false">IF(C775="","",IF(OR(T775="unsuitable",T775="retired",X775="no"),"—",IF(J775="","unrated",IF(AND(X775="full",J775&gt;=Settings!$C$5,OR(O775="untested",O775&gt;=Settings!$C$6)),"A",IF(AND(OR(X775="full",X775="reduced"),J775&gt;=Settings!$C$7,OR(O775="untested",O775&gt;=Settings!$C$8)),"B","C")))))</f>
        <v/>
      </c>
      <c r="Z775" s="11" t="str">
        <f aca="false">IF(C775="","",IF(P775&lt;&gt;"",P775,Y775))</f>
        <v/>
      </c>
    </row>
    <row r="776" customFormat="false" ht="15" hidden="false" customHeight="false" outlineLevel="0" collapsed="false">
      <c r="A776" s="9"/>
      <c r="B776" s="10" t="str">
        <f aca="false">IF(A776="","",IFERROR(INDEX(Parks!$A$2:$A$255,MATCH(A776,Parks!$B$2:$B$255,0)),"?"))</f>
        <v/>
      </c>
      <c r="C776" s="9"/>
      <c r="D776" s="10" t="str">
        <f aca="false">IF(C776="","",IF(SUMPRODUCT(--ISNUMBER(SEARCH({"Nets","Wicket","Diamond","Softball","T-ball","Baseball","Netball","Tennis","Bocce","Pentaque","Petanque","Skate","Car Park","Pond","Bridle","Amphitheatre","Perimeter","Passive"},C776)))&gt;0,"no",IF(SUMPRODUCT(--ISNUMBER(SEARCH({"Cricket","Junior","Mini","Summer Football","Small"},C776)))&gt;0,"reduced",IF(SUMPRODUCT(--ISNUMBER(SEARCH({"Rugby","Football","League","Touch","Gaelic","Australian","Lacrosse","General Sport","Training Area","Ultimate"},C776)))&gt;0,"full","unknown"))))</f>
        <v/>
      </c>
      <c r="E776" s="9"/>
      <c r="F776" s="9"/>
      <c r="G776" s="9"/>
      <c r="H776" s="9"/>
      <c r="I776" s="12"/>
      <c r="J776" s="9"/>
      <c r="K776" s="9"/>
      <c r="L776" s="9"/>
      <c r="M776" s="9"/>
      <c r="N776" s="9"/>
      <c r="O776" s="13" t="str">
        <f aca="false">IF(C776="","",IF(N(M776)+N(N776)&lt;Settings!$C$9,"untested",M776/(M776+N776)))</f>
        <v/>
      </c>
      <c r="P776" s="9"/>
      <c r="Q776" s="9"/>
      <c r="R776" s="9"/>
      <c r="S776" s="12"/>
      <c r="T776" s="9"/>
      <c r="U776" s="9"/>
      <c r="V776" s="9"/>
      <c r="W776" s="10" t="str">
        <f aca="false">IF(C776="","",IF(OR(G776="training",G776="full"),"Yes",IF(G776="none","No","?")))</f>
        <v/>
      </c>
      <c r="X776" s="10" t="str">
        <f aca="false">IF(C776="","",IF(OR(E776="",E776="unknown"),D776,E776))</f>
        <v/>
      </c>
      <c r="Y776" s="10" t="str">
        <f aca="false">IF(C776="","",IF(OR(T776="unsuitable",T776="retired",X776="no"),"—",IF(J776="","unrated",IF(AND(X776="full",J776&gt;=Settings!$C$5,OR(O776="untested",O776&gt;=Settings!$C$6)),"A",IF(AND(OR(X776="full",X776="reduced"),J776&gt;=Settings!$C$7,OR(O776="untested",O776&gt;=Settings!$C$8)),"B","C")))))</f>
        <v/>
      </c>
      <c r="Z776" s="11" t="str">
        <f aca="false">IF(C776="","",IF(P776&lt;&gt;"",P776,Y776))</f>
        <v/>
      </c>
    </row>
    <row r="777" customFormat="false" ht="15" hidden="false" customHeight="false" outlineLevel="0" collapsed="false">
      <c r="A777" s="9"/>
      <c r="B777" s="10" t="str">
        <f aca="false">IF(A777="","",IFERROR(INDEX(Parks!$A$2:$A$255,MATCH(A777,Parks!$B$2:$B$255,0)),"?"))</f>
        <v/>
      </c>
      <c r="C777" s="9"/>
      <c r="D777" s="10" t="str">
        <f aca="false">IF(C777="","",IF(SUMPRODUCT(--ISNUMBER(SEARCH({"Nets","Wicket","Diamond","Softball","T-ball","Baseball","Netball","Tennis","Bocce","Pentaque","Petanque","Skate","Car Park","Pond","Bridle","Amphitheatre","Perimeter","Passive"},C777)))&gt;0,"no",IF(SUMPRODUCT(--ISNUMBER(SEARCH({"Cricket","Junior","Mini","Summer Football","Small"},C777)))&gt;0,"reduced",IF(SUMPRODUCT(--ISNUMBER(SEARCH({"Rugby","Football","League","Touch","Gaelic","Australian","Lacrosse","General Sport","Training Area","Ultimate"},C777)))&gt;0,"full","unknown"))))</f>
        <v/>
      </c>
      <c r="E777" s="9"/>
      <c r="F777" s="9"/>
      <c r="G777" s="9"/>
      <c r="H777" s="9"/>
      <c r="I777" s="12"/>
      <c r="J777" s="9"/>
      <c r="K777" s="9"/>
      <c r="L777" s="9"/>
      <c r="M777" s="9"/>
      <c r="N777" s="9"/>
      <c r="O777" s="13" t="str">
        <f aca="false">IF(C777="","",IF(N(M777)+N(N777)&lt;Settings!$C$9,"untested",M777/(M777+N777)))</f>
        <v/>
      </c>
      <c r="P777" s="9"/>
      <c r="Q777" s="9"/>
      <c r="R777" s="9"/>
      <c r="S777" s="12"/>
      <c r="T777" s="9"/>
      <c r="U777" s="9"/>
      <c r="V777" s="9"/>
      <c r="W777" s="10" t="str">
        <f aca="false">IF(C777="","",IF(OR(G777="training",G777="full"),"Yes",IF(G777="none","No","?")))</f>
        <v/>
      </c>
      <c r="X777" s="10" t="str">
        <f aca="false">IF(C777="","",IF(OR(E777="",E777="unknown"),D777,E777))</f>
        <v/>
      </c>
      <c r="Y777" s="10" t="str">
        <f aca="false">IF(C777="","",IF(OR(T777="unsuitable",T777="retired",X777="no"),"—",IF(J777="","unrated",IF(AND(X777="full",J777&gt;=Settings!$C$5,OR(O777="untested",O777&gt;=Settings!$C$6)),"A",IF(AND(OR(X777="full",X777="reduced"),J777&gt;=Settings!$C$7,OR(O777="untested",O777&gt;=Settings!$C$8)),"B","C")))))</f>
        <v/>
      </c>
      <c r="Z777" s="11" t="str">
        <f aca="false">IF(C777="","",IF(P777&lt;&gt;"",P777,Y777))</f>
        <v/>
      </c>
    </row>
    <row r="778" customFormat="false" ht="15" hidden="false" customHeight="false" outlineLevel="0" collapsed="false">
      <c r="A778" s="9"/>
      <c r="B778" s="10" t="str">
        <f aca="false">IF(A778="","",IFERROR(INDEX(Parks!$A$2:$A$255,MATCH(A778,Parks!$B$2:$B$255,0)),"?"))</f>
        <v/>
      </c>
      <c r="C778" s="9"/>
      <c r="D778" s="10" t="str">
        <f aca="false">IF(C778="","",IF(SUMPRODUCT(--ISNUMBER(SEARCH({"Nets","Wicket","Diamond","Softball","T-ball","Baseball","Netball","Tennis","Bocce","Pentaque","Petanque","Skate","Car Park","Pond","Bridle","Amphitheatre","Perimeter","Passive"},C778)))&gt;0,"no",IF(SUMPRODUCT(--ISNUMBER(SEARCH({"Cricket","Junior","Mini","Summer Football","Small"},C778)))&gt;0,"reduced",IF(SUMPRODUCT(--ISNUMBER(SEARCH({"Rugby","Football","League","Touch","Gaelic","Australian","Lacrosse","General Sport","Training Area","Ultimate"},C778)))&gt;0,"full","unknown"))))</f>
        <v/>
      </c>
      <c r="E778" s="9"/>
      <c r="F778" s="9"/>
      <c r="G778" s="9"/>
      <c r="H778" s="9"/>
      <c r="I778" s="12"/>
      <c r="J778" s="9"/>
      <c r="K778" s="9"/>
      <c r="L778" s="9"/>
      <c r="M778" s="9"/>
      <c r="N778" s="9"/>
      <c r="O778" s="13" t="str">
        <f aca="false">IF(C778="","",IF(N(M778)+N(N778)&lt;Settings!$C$9,"untested",M778/(M778+N778)))</f>
        <v/>
      </c>
      <c r="P778" s="9"/>
      <c r="Q778" s="9"/>
      <c r="R778" s="9"/>
      <c r="S778" s="12"/>
      <c r="T778" s="9"/>
      <c r="U778" s="9"/>
      <c r="V778" s="9"/>
      <c r="W778" s="10" t="str">
        <f aca="false">IF(C778="","",IF(OR(G778="training",G778="full"),"Yes",IF(G778="none","No","?")))</f>
        <v/>
      </c>
      <c r="X778" s="10" t="str">
        <f aca="false">IF(C778="","",IF(OR(E778="",E778="unknown"),D778,E778))</f>
        <v/>
      </c>
      <c r="Y778" s="10" t="str">
        <f aca="false">IF(C778="","",IF(OR(T778="unsuitable",T778="retired",X778="no"),"—",IF(J778="","unrated",IF(AND(X778="full",J778&gt;=Settings!$C$5,OR(O778="untested",O778&gt;=Settings!$C$6)),"A",IF(AND(OR(X778="full",X778="reduced"),J778&gt;=Settings!$C$7,OR(O778="untested",O778&gt;=Settings!$C$8)),"B","C")))))</f>
        <v/>
      </c>
      <c r="Z778" s="11" t="str">
        <f aca="false">IF(C778="","",IF(P778&lt;&gt;"",P778,Y778))</f>
        <v/>
      </c>
    </row>
    <row r="779" customFormat="false" ht="15" hidden="false" customHeight="false" outlineLevel="0" collapsed="false">
      <c r="A779" s="9"/>
      <c r="B779" s="10" t="str">
        <f aca="false">IF(A779="","",IFERROR(INDEX(Parks!$A$2:$A$255,MATCH(A779,Parks!$B$2:$B$255,0)),"?"))</f>
        <v/>
      </c>
      <c r="C779" s="9"/>
      <c r="D779" s="10" t="str">
        <f aca="false">IF(C779="","",IF(SUMPRODUCT(--ISNUMBER(SEARCH({"Nets","Wicket","Diamond","Softball","T-ball","Baseball","Netball","Tennis","Bocce","Pentaque","Petanque","Skate","Car Park","Pond","Bridle","Amphitheatre","Perimeter","Passive"},C779)))&gt;0,"no",IF(SUMPRODUCT(--ISNUMBER(SEARCH({"Cricket","Junior","Mini","Summer Football","Small"},C779)))&gt;0,"reduced",IF(SUMPRODUCT(--ISNUMBER(SEARCH({"Rugby","Football","League","Touch","Gaelic","Australian","Lacrosse","General Sport","Training Area","Ultimate"},C779)))&gt;0,"full","unknown"))))</f>
        <v/>
      </c>
      <c r="E779" s="9"/>
      <c r="F779" s="9"/>
      <c r="G779" s="9"/>
      <c r="H779" s="9"/>
      <c r="I779" s="12"/>
      <c r="J779" s="9"/>
      <c r="K779" s="9"/>
      <c r="L779" s="9"/>
      <c r="M779" s="9"/>
      <c r="N779" s="9"/>
      <c r="O779" s="13" t="str">
        <f aca="false">IF(C779="","",IF(N(M779)+N(N779)&lt;Settings!$C$9,"untested",M779/(M779+N779)))</f>
        <v/>
      </c>
      <c r="P779" s="9"/>
      <c r="Q779" s="9"/>
      <c r="R779" s="9"/>
      <c r="S779" s="12"/>
      <c r="T779" s="9"/>
      <c r="U779" s="9"/>
      <c r="V779" s="9"/>
      <c r="W779" s="10" t="str">
        <f aca="false">IF(C779="","",IF(OR(G779="training",G779="full"),"Yes",IF(G779="none","No","?")))</f>
        <v/>
      </c>
      <c r="X779" s="10" t="str">
        <f aca="false">IF(C779="","",IF(OR(E779="",E779="unknown"),D779,E779))</f>
        <v/>
      </c>
      <c r="Y779" s="10" t="str">
        <f aca="false">IF(C779="","",IF(OR(T779="unsuitable",T779="retired",X779="no"),"—",IF(J779="","unrated",IF(AND(X779="full",J779&gt;=Settings!$C$5,OR(O779="untested",O779&gt;=Settings!$C$6)),"A",IF(AND(OR(X779="full",X779="reduced"),J779&gt;=Settings!$C$7,OR(O779="untested",O779&gt;=Settings!$C$8)),"B","C")))))</f>
        <v/>
      </c>
      <c r="Z779" s="11" t="str">
        <f aca="false">IF(C779="","",IF(P779&lt;&gt;"",P779,Y779))</f>
        <v/>
      </c>
    </row>
    <row r="780" customFormat="false" ht="15" hidden="false" customHeight="false" outlineLevel="0" collapsed="false">
      <c r="A780" s="9"/>
      <c r="B780" s="10" t="str">
        <f aca="false">IF(A780="","",IFERROR(INDEX(Parks!$A$2:$A$255,MATCH(A780,Parks!$B$2:$B$255,0)),"?"))</f>
        <v/>
      </c>
      <c r="C780" s="9"/>
      <c r="D780" s="10" t="str">
        <f aca="false">IF(C780="","",IF(SUMPRODUCT(--ISNUMBER(SEARCH({"Nets","Wicket","Diamond","Softball","T-ball","Baseball","Netball","Tennis","Bocce","Pentaque","Petanque","Skate","Car Park","Pond","Bridle","Amphitheatre","Perimeter","Passive"},C780)))&gt;0,"no",IF(SUMPRODUCT(--ISNUMBER(SEARCH({"Cricket","Junior","Mini","Summer Football","Small"},C780)))&gt;0,"reduced",IF(SUMPRODUCT(--ISNUMBER(SEARCH({"Rugby","Football","League","Touch","Gaelic","Australian","Lacrosse","General Sport","Training Area","Ultimate"},C780)))&gt;0,"full","unknown"))))</f>
        <v/>
      </c>
      <c r="E780" s="9"/>
      <c r="F780" s="9"/>
      <c r="G780" s="9"/>
      <c r="H780" s="9"/>
      <c r="I780" s="12"/>
      <c r="J780" s="9"/>
      <c r="K780" s="9"/>
      <c r="L780" s="9"/>
      <c r="M780" s="9"/>
      <c r="N780" s="9"/>
      <c r="O780" s="13" t="str">
        <f aca="false">IF(C780="","",IF(N(M780)+N(N780)&lt;Settings!$C$9,"untested",M780/(M780+N780)))</f>
        <v/>
      </c>
      <c r="P780" s="9"/>
      <c r="Q780" s="9"/>
      <c r="R780" s="9"/>
      <c r="S780" s="12"/>
      <c r="T780" s="9"/>
      <c r="U780" s="9"/>
      <c r="V780" s="9"/>
      <c r="W780" s="10" t="str">
        <f aca="false">IF(C780="","",IF(OR(G780="training",G780="full"),"Yes",IF(G780="none","No","?")))</f>
        <v/>
      </c>
      <c r="X780" s="10" t="str">
        <f aca="false">IF(C780="","",IF(OR(E780="",E780="unknown"),D780,E780))</f>
        <v/>
      </c>
      <c r="Y780" s="10" t="str">
        <f aca="false">IF(C780="","",IF(OR(T780="unsuitable",T780="retired",X780="no"),"—",IF(J780="","unrated",IF(AND(X780="full",J780&gt;=Settings!$C$5,OR(O780="untested",O780&gt;=Settings!$C$6)),"A",IF(AND(OR(X780="full",X780="reduced"),J780&gt;=Settings!$C$7,OR(O780="untested",O780&gt;=Settings!$C$8)),"B","C")))))</f>
        <v/>
      </c>
      <c r="Z780" s="11" t="str">
        <f aca="false">IF(C780="","",IF(P780&lt;&gt;"",P780,Y780))</f>
        <v/>
      </c>
    </row>
    <row r="781" customFormat="false" ht="15" hidden="false" customHeight="false" outlineLevel="0" collapsed="false">
      <c r="A781" s="9"/>
      <c r="B781" s="10" t="str">
        <f aca="false">IF(A781="","",IFERROR(INDEX(Parks!$A$2:$A$255,MATCH(A781,Parks!$B$2:$B$255,0)),"?"))</f>
        <v/>
      </c>
      <c r="C781" s="9"/>
      <c r="D781" s="10" t="str">
        <f aca="false">IF(C781="","",IF(SUMPRODUCT(--ISNUMBER(SEARCH({"Nets","Wicket","Diamond","Softball","T-ball","Baseball","Netball","Tennis","Bocce","Pentaque","Petanque","Skate","Car Park","Pond","Bridle","Amphitheatre","Perimeter","Passive"},C781)))&gt;0,"no",IF(SUMPRODUCT(--ISNUMBER(SEARCH({"Cricket","Junior","Mini","Summer Football","Small"},C781)))&gt;0,"reduced",IF(SUMPRODUCT(--ISNUMBER(SEARCH({"Rugby","Football","League","Touch","Gaelic","Australian","Lacrosse","General Sport","Training Area","Ultimate"},C781)))&gt;0,"full","unknown"))))</f>
        <v/>
      </c>
      <c r="E781" s="9"/>
      <c r="F781" s="9"/>
      <c r="G781" s="9"/>
      <c r="H781" s="9"/>
      <c r="I781" s="12"/>
      <c r="J781" s="9"/>
      <c r="K781" s="9"/>
      <c r="L781" s="9"/>
      <c r="M781" s="9"/>
      <c r="N781" s="9"/>
      <c r="O781" s="13" t="str">
        <f aca="false">IF(C781="","",IF(N(M781)+N(N781)&lt;Settings!$C$9,"untested",M781/(M781+N781)))</f>
        <v/>
      </c>
      <c r="P781" s="9"/>
      <c r="Q781" s="9"/>
      <c r="R781" s="9"/>
      <c r="S781" s="12"/>
      <c r="T781" s="9"/>
      <c r="U781" s="9"/>
      <c r="V781" s="9"/>
      <c r="W781" s="10" t="str">
        <f aca="false">IF(C781="","",IF(OR(G781="training",G781="full"),"Yes",IF(G781="none","No","?")))</f>
        <v/>
      </c>
      <c r="X781" s="10" t="str">
        <f aca="false">IF(C781="","",IF(OR(E781="",E781="unknown"),D781,E781))</f>
        <v/>
      </c>
      <c r="Y781" s="10" t="str">
        <f aca="false">IF(C781="","",IF(OR(T781="unsuitable",T781="retired",X781="no"),"—",IF(J781="","unrated",IF(AND(X781="full",J781&gt;=Settings!$C$5,OR(O781="untested",O781&gt;=Settings!$C$6)),"A",IF(AND(OR(X781="full",X781="reduced"),J781&gt;=Settings!$C$7,OR(O781="untested",O781&gt;=Settings!$C$8)),"B","C")))))</f>
        <v/>
      </c>
      <c r="Z781" s="11" t="str">
        <f aca="false">IF(C781="","",IF(P781&lt;&gt;"",P781,Y781))</f>
        <v/>
      </c>
    </row>
    <row r="782" customFormat="false" ht="15" hidden="false" customHeight="false" outlineLevel="0" collapsed="false">
      <c r="A782" s="9"/>
      <c r="B782" s="10" t="str">
        <f aca="false">IF(A782="","",IFERROR(INDEX(Parks!$A$2:$A$255,MATCH(A782,Parks!$B$2:$B$255,0)),"?"))</f>
        <v/>
      </c>
      <c r="C782" s="9"/>
      <c r="D782" s="10" t="str">
        <f aca="false">IF(C782="","",IF(SUMPRODUCT(--ISNUMBER(SEARCH({"Nets","Wicket","Diamond","Softball","T-ball","Baseball","Netball","Tennis","Bocce","Pentaque","Petanque","Skate","Car Park","Pond","Bridle","Amphitheatre","Perimeter","Passive"},C782)))&gt;0,"no",IF(SUMPRODUCT(--ISNUMBER(SEARCH({"Cricket","Junior","Mini","Summer Football","Small"},C782)))&gt;0,"reduced",IF(SUMPRODUCT(--ISNUMBER(SEARCH({"Rugby","Football","League","Touch","Gaelic","Australian","Lacrosse","General Sport","Training Area","Ultimate"},C782)))&gt;0,"full","unknown"))))</f>
        <v/>
      </c>
      <c r="E782" s="9"/>
      <c r="F782" s="9"/>
      <c r="G782" s="9"/>
      <c r="H782" s="9"/>
      <c r="I782" s="12"/>
      <c r="J782" s="9"/>
      <c r="K782" s="9"/>
      <c r="L782" s="9"/>
      <c r="M782" s="9"/>
      <c r="N782" s="9"/>
      <c r="O782" s="13" t="str">
        <f aca="false">IF(C782="","",IF(N(M782)+N(N782)&lt;Settings!$C$9,"untested",M782/(M782+N782)))</f>
        <v/>
      </c>
      <c r="P782" s="9"/>
      <c r="Q782" s="9"/>
      <c r="R782" s="9"/>
      <c r="S782" s="12"/>
      <c r="T782" s="9"/>
      <c r="U782" s="9"/>
      <c r="V782" s="9"/>
      <c r="W782" s="10" t="str">
        <f aca="false">IF(C782="","",IF(OR(G782="training",G782="full"),"Yes",IF(G782="none","No","?")))</f>
        <v/>
      </c>
      <c r="X782" s="10" t="str">
        <f aca="false">IF(C782="","",IF(OR(E782="",E782="unknown"),D782,E782))</f>
        <v/>
      </c>
      <c r="Y782" s="10" t="str">
        <f aca="false">IF(C782="","",IF(OR(T782="unsuitable",T782="retired",X782="no"),"—",IF(J782="","unrated",IF(AND(X782="full",J782&gt;=Settings!$C$5,OR(O782="untested",O782&gt;=Settings!$C$6)),"A",IF(AND(OR(X782="full",X782="reduced"),J782&gt;=Settings!$C$7,OR(O782="untested",O782&gt;=Settings!$C$8)),"B","C")))))</f>
        <v/>
      </c>
      <c r="Z782" s="11" t="str">
        <f aca="false">IF(C782="","",IF(P782&lt;&gt;"",P782,Y782))</f>
        <v/>
      </c>
    </row>
    <row r="783" customFormat="false" ht="15" hidden="false" customHeight="false" outlineLevel="0" collapsed="false">
      <c r="A783" s="9"/>
      <c r="B783" s="10" t="str">
        <f aca="false">IF(A783="","",IFERROR(INDEX(Parks!$A$2:$A$255,MATCH(A783,Parks!$B$2:$B$255,0)),"?"))</f>
        <v/>
      </c>
      <c r="C783" s="9"/>
      <c r="D783" s="10" t="str">
        <f aca="false">IF(C783="","",IF(SUMPRODUCT(--ISNUMBER(SEARCH({"Nets","Wicket","Diamond","Softball","T-ball","Baseball","Netball","Tennis","Bocce","Pentaque","Petanque","Skate","Car Park","Pond","Bridle","Amphitheatre","Perimeter","Passive"},C783)))&gt;0,"no",IF(SUMPRODUCT(--ISNUMBER(SEARCH({"Cricket","Junior","Mini","Summer Football","Small"},C783)))&gt;0,"reduced",IF(SUMPRODUCT(--ISNUMBER(SEARCH({"Rugby","Football","League","Touch","Gaelic","Australian","Lacrosse","General Sport","Training Area","Ultimate"},C783)))&gt;0,"full","unknown"))))</f>
        <v/>
      </c>
      <c r="E783" s="9"/>
      <c r="F783" s="9"/>
      <c r="G783" s="9"/>
      <c r="H783" s="9"/>
      <c r="I783" s="12"/>
      <c r="J783" s="9"/>
      <c r="K783" s="9"/>
      <c r="L783" s="9"/>
      <c r="M783" s="9"/>
      <c r="N783" s="9"/>
      <c r="O783" s="13" t="str">
        <f aca="false">IF(C783="","",IF(N(M783)+N(N783)&lt;Settings!$C$9,"untested",M783/(M783+N783)))</f>
        <v/>
      </c>
      <c r="P783" s="9"/>
      <c r="Q783" s="9"/>
      <c r="R783" s="9"/>
      <c r="S783" s="12"/>
      <c r="T783" s="9"/>
      <c r="U783" s="9"/>
      <c r="V783" s="9"/>
      <c r="W783" s="10" t="str">
        <f aca="false">IF(C783="","",IF(OR(G783="training",G783="full"),"Yes",IF(G783="none","No","?")))</f>
        <v/>
      </c>
      <c r="X783" s="10" t="str">
        <f aca="false">IF(C783="","",IF(OR(E783="",E783="unknown"),D783,E783))</f>
        <v/>
      </c>
      <c r="Y783" s="10" t="str">
        <f aca="false">IF(C783="","",IF(OR(T783="unsuitable",T783="retired",X783="no"),"—",IF(J783="","unrated",IF(AND(X783="full",J783&gt;=Settings!$C$5,OR(O783="untested",O783&gt;=Settings!$C$6)),"A",IF(AND(OR(X783="full",X783="reduced"),J783&gt;=Settings!$C$7,OR(O783="untested",O783&gt;=Settings!$C$8)),"B","C")))))</f>
        <v/>
      </c>
      <c r="Z783" s="11" t="str">
        <f aca="false">IF(C783="","",IF(P783&lt;&gt;"",P783,Y783))</f>
        <v/>
      </c>
    </row>
    <row r="784" customFormat="false" ht="15" hidden="false" customHeight="false" outlineLevel="0" collapsed="false">
      <c r="A784" s="9"/>
      <c r="B784" s="10" t="str">
        <f aca="false">IF(A784="","",IFERROR(INDEX(Parks!$A$2:$A$255,MATCH(A784,Parks!$B$2:$B$255,0)),"?"))</f>
        <v/>
      </c>
      <c r="C784" s="9"/>
      <c r="D784" s="10" t="str">
        <f aca="false">IF(C784="","",IF(SUMPRODUCT(--ISNUMBER(SEARCH({"Nets","Wicket","Diamond","Softball","T-ball","Baseball","Netball","Tennis","Bocce","Pentaque","Petanque","Skate","Car Park","Pond","Bridle","Amphitheatre","Perimeter","Passive"},C784)))&gt;0,"no",IF(SUMPRODUCT(--ISNUMBER(SEARCH({"Cricket","Junior","Mini","Summer Football","Small"},C784)))&gt;0,"reduced",IF(SUMPRODUCT(--ISNUMBER(SEARCH({"Rugby","Football","League","Touch","Gaelic","Australian","Lacrosse","General Sport","Training Area","Ultimate"},C784)))&gt;0,"full","unknown"))))</f>
        <v/>
      </c>
      <c r="E784" s="9"/>
      <c r="F784" s="9"/>
      <c r="G784" s="9"/>
      <c r="H784" s="9"/>
      <c r="I784" s="12"/>
      <c r="J784" s="9"/>
      <c r="K784" s="9"/>
      <c r="L784" s="9"/>
      <c r="M784" s="9"/>
      <c r="N784" s="9"/>
      <c r="O784" s="13" t="str">
        <f aca="false">IF(C784="","",IF(N(M784)+N(N784)&lt;Settings!$C$9,"untested",M784/(M784+N784)))</f>
        <v/>
      </c>
      <c r="P784" s="9"/>
      <c r="Q784" s="9"/>
      <c r="R784" s="9"/>
      <c r="S784" s="12"/>
      <c r="T784" s="9"/>
      <c r="U784" s="9"/>
      <c r="V784" s="9"/>
      <c r="W784" s="10" t="str">
        <f aca="false">IF(C784="","",IF(OR(G784="training",G784="full"),"Yes",IF(G784="none","No","?")))</f>
        <v/>
      </c>
      <c r="X784" s="10" t="str">
        <f aca="false">IF(C784="","",IF(OR(E784="",E784="unknown"),D784,E784))</f>
        <v/>
      </c>
      <c r="Y784" s="10" t="str">
        <f aca="false">IF(C784="","",IF(OR(T784="unsuitable",T784="retired",X784="no"),"—",IF(J784="","unrated",IF(AND(X784="full",J784&gt;=Settings!$C$5,OR(O784="untested",O784&gt;=Settings!$C$6)),"A",IF(AND(OR(X784="full",X784="reduced"),J784&gt;=Settings!$C$7,OR(O784="untested",O784&gt;=Settings!$C$8)),"B","C")))))</f>
        <v/>
      </c>
      <c r="Z784" s="11" t="str">
        <f aca="false">IF(C784="","",IF(P784&lt;&gt;"",P784,Y784))</f>
        <v/>
      </c>
    </row>
    <row r="785" customFormat="false" ht="15" hidden="false" customHeight="false" outlineLevel="0" collapsed="false">
      <c r="A785" s="9"/>
      <c r="B785" s="10" t="str">
        <f aca="false">IF(A785="","",IFERROR(INDEX(Parks!$A$2:$A$255,MATCH(A785,Parks!$B$2:$B$255,0)),"?"))</f>
        <v/>
      </c>
      <c r="C785" s="9"/>
      <c r="D785" s="10" t="str">
        <f aca="false">IF(C785="","",IF(SUMPRODUCT(--ISNUMBER(SEARCH({"Nets","Wicket","Diamond","Softball","T-ball","Baseball","Netball","Tennis","Bocce","Pentaque","Petanque","Skate","Car Park","Pond","Bridle","Amphitheatre","Perimeter","Passive"},C785)))&gt;0,"no",IF(SUMPRODUCT(--ISNUMBER(SEARCH({"Cricket","Junior","Mini","Summer Football","Small"},C785)))&gt;0,"reduced",IF(SUMPRODUCT(--ISNUMBER(SEARCH({"Rugby","Football","League","Touch","Gaelic","Australian","Lacrosse","General Sport","Training Area","Ultimate"},C785)))&gt;0,"full","unknown"))))</f>
        <v/>
      </c>
      <c r="E785" s="9"/>
      <c r="F785" s="9"/>
      <c r="G785" s="9"/>
      <c r="H785" s="9"/>
      <c r="I785" s="12"/>
      <c r="J785" s="9"/>
      <c r="K785" s="9"/>
      <c r="L785" s="9"/>
      <c r="M785" s="9"/>
      <c r="N785" s="9"/>
      <c r="O785" s="13" t="str">
        <f aca="false">IF(C785="","",IF(N(M785)+N(N785)&lt;Settings!$C$9,"untested",M785/(M785+N785)))</f>
        <v/>
      </c>
      <c r="P785" s="9"/>
      <c r="Q785" s="9"/>
      <c r="R785" s="9"/>
      <c r="S785" s="12"/>
      <c r="T785" s="9"/>
      <c r="U785" s="9"/>
      <c r="V785" s="9"/>
      <c r="W785" s="10" t="str">
        <f aca="false">IF(C785="","",IF(OR(G785="training",G785="full"),"Yes",IF(G785="none","No","?")))</f>
        <v/>
      </c>
      <c r="X785" s="10" t="str">
        <f aca="false">IF(C785="","",IF(OR(E785="",E785="unknown"),D785,E785))</f>
        <v/>
      </c>
      <c r="Y785" s="10" t="str">
        <f aca="false">IF(C785="","",IF(OR(T785="unsuitable",T785="retired",X785="no"),"—",IF(J785="","unrated",IF(AND(X785="full",J785&gt;=Settings!$C$5,OR(O785="untested",O785&gt;=Settings!$C$6)),"A",IF(AND(OR(X785="full",X785="reduced"),J785&gt;=Settings!$C$7,OR(O785="untested",O785&gt;=Settings!$C$8)),"B","C")))))</f>
        <v/>
      </c>
      <c r="Z785" s="11" t="str">
        <f aca="false">IF(C785="","",IF(P785&lt;&gt;"",P785,Y785))</f>
        <v/>
      </c>
    </row>
    <row r="786" customFormat="false" ht="15" hidden="false" customHeight="false" outlineLevel="0" collapsed="false">
      <c r="A786" s="9"/>
      <c r="B786" s="10" t="str">
        <f aca="false">IF(A786="","",IFERROR(INDEX(Parks!$A$2:$A$255,MATCH(A786,Parks!$B$2:$B$255,0)),"?"))</f>
        <v/>
      </c>
      <c r="C786" s="9"/>
      <c r="D786" s="10" t="str">
        <f aca="false">IF(C786="","",IF(SUMPRODUCT(--ISNUMBER(SEARCH({"Nets","Wicket","Diamond","Softball","T-ball","Baseball","Netball","Tennis","Bocce","Pentaque","Petanque","Skate","Car Park","Pond","Bridle","Amphitheatre","Perimeter","Passive"},C786)))&gt;0,"no",IF(SUMPRODUCT(--ISNUMBER(SEARCH({"Cricket","Junior","Mini","Summer Football","Small"},C786)))&gt;0,"reduced",IF(SUMPRODUCT(--ISNUMBER(SEARCH({"Rugby","Football","League","Touch","Gaelic","Australian","Lacrosse","General Sport","Training Area","Ultimate"},C786)))&gt;0,"full","unknown"))))</f>
        <v/>
      </c>
      <c r="E786" s="9"/>
      <c r="F786" s="9"/>
      <c r="G786" s="9"/>
      <c r="H786" s="9"/>
      <c r="I786" s="12"/>
      <c r="J786" s="9"/>
      <c r="K786" s="9"/>
      <c r="L786" s="9"/>
      <c r="M786" s="9"/>
      <c r="N786" s="9"/>
      <c r="O786" s="13" t="str">
        <f aca="false">IF(C786="","",IF(N(M786)+N(N786)&lt;Settings!$C$9,"untested",M786/(M786+N786)))</f>
        <v/>
      </c>
      <c r="P786" s="9"/>
      <c r="Q786" s="9"/>
      <c r="R786" s="9"/>
      <c r="S786" s="12"/>
      <c r="T786" s="9"/>
      <c r="U786" s="9"/>
      <c r="V786" s="9"/>
      <c r="W786" s="10" t="str">
        <f aca="false">IF(C786="","",IF(OR(G786="training",G786="full"),"Yes",IF(G786="none","No","?")))</f>
        <v/>
      </c>
      <c r="X786" s="10" t="str">
        <f aca="false">IF(C786="","",IF(OR(E786="",E786="unknown"),D786,E786))</f>
        <v/>
      </c>
      <c r="Y786" s="10" t="str">
        <f aca="false">IF(C786="","",IF(OR(T786="unsuitable",T786="retired",X786="no"),"—",IF(J786="","unrated",IF(AND(X786="full",J786&gt;=Settings!$C$5,OR(O786="untested",O786&gt;=Settings!$C$6)),"A",IF(AND(OR(X786="full",X786="reduced"),J786&gt;=Settings!$C$7,OR(O786="untested",O786&gt;=Settings!$C$8)),"B","C")))))</f>
        <v/>
      </c>
      <c r="Z786" s="11" t="str">
        <f aca="false">IF(C786="","",IF(P786&lt;&gt;"",P786,Y786))</f>
        <v/>
      </c>
    </row>
    <row r="787" customFormat="false" ht="15" hidden="false" customHeight="false" outlineLevel="0" collapsed="false">
      <c r="A787" s="9"/>
      <c r="B787" s="10" t="str">
        <f aca="false">IF(A787="","",IFERROR(INDEX(Parks!$A$2:$A$255,MATCH(A787,Parks!$B$2:$B$255,0)),"?"))</f>
        <v/>
      </c>
      <c r="C787" s="9"/>
      <c r="D787" s="10" t="str">
        <f aca="false">IF(C787="","",IF(SUMPRODUCT(--ISNUMBER(SEARCH({"Nets","Wicket","Diamond","Softball","T-ball","Baseball","Netball","Tennis","Bocce","Pentaque","Petanque","Skate","Car Park","Pond","Bridle","Amphitheatre","Perimeter","Passive"},C787)))&gt;0,"no",IF(SUMPRODUCT(--ISNUMBER(SEARCH({"Cricket","Junior","Mini","Summer Football","Small"},C787)))&gt;0,"reduced",IF(SUMPRODUCT(--ISNUMBER(SEARCH({"Rugby","Football","League","Touch","Gaelic","Australian","Lacrosse","General Sport","Training Area","Ultimate"},C787)))&gt;0,"full","unknown"))))</f>
        <v/>
      </c>
      <c r="E787" s="9"/>
      <c r="F787" s="9"/>
      <c r="G787" s="9"/>
      <c r="H787" s="9"/>
      <c r="I787" s="12"/>
      <c r="J787" s="9"/>
      <c r="K787" s="9"/>
      <c r="L787" s="9"/>
      <c r="M787" s="9"/>
      <c r="N787" s="9"/>
      <c r="O787" s="13" t="str">
        <f aca="false">IF(C787="","",IF(N(M787)+N(N787)&lt;Settings!$C$9,"untested",M787/(M787+N787)))</f>
        <v/>
      </c>
      <c r="P787" s="9"/>
      <c r="Q787" s="9"/>
      <c r="R787" s="9"/>
      <c r="S787" s="12"/>
      <c r="T787" s="9"/>
      <c r="U787" s="9"/>
      <c r="V787" s="9"/>
      <c r="W787" s="10" t="str">
        <f aca="false">IF(C787="","",IF(OR(G787="training",G787="full"),"Yes",IF(G787="none","No","?")))</f>
        <v/>
      </c>
      <c r="X787" s="10" t="str">
        <f aca="false">IF(C787="","",IF(OR(E787="",E787="unknown"),D787,E787))</f>
        <v/>
      </c>
      <c r="Y787" s="10" t="str">
        <f aca="false">IF(C787="","",IF(OR(T787="unsuitable",T787="retired",X787="no"),"—",IF(J787="","unrated",IF(AND(X787="full",J787&gt;=Settings!$C$5,OR(O787="untested",O787&gt;=Settings!$C$6)),"A",IF(AND(OR(X787="full",X787="reduced"),J787&gt;=Settings!$C$7,OR(O787="untested",O787&gt;=Settings!$C$8)),"B","C")))))</f>
        <v/>
      </c>
      <c r="Z787" s="11" t="str">
        <f aca="false">IF(C787="","",IF(P787&lt;&gt;"",P787,Y787))</f>
        <v/>
      </c>
    </row>
    <row r="788" customFormat="false" ht="15" hidden="false" customHeight="false" outlineLevel="0" collapsed="false">
      <c r="A788" s="9"/>
      <c r="B788" s="10" t="str">
        <f aca="false">IF(A788="","",IFERROR(INDEX(Parks!$A$2:$A$255,MATCH(A788,Parks!$B$2:$B$255,0)),"?"))</f>
        <v/>
      </c>
      <c r="C788" s="9"/>
      <c r="D788" s="10" t="str">
        <f aca="false">IF(C788="","",IF(SUMPRODUCT(--ISNUMBER(SEARCH({"Nets","Wicket","Diamond","Softball","T-ball","Baseball","Netball","Tennis","Bocce","Pentaque","Petanque","Skate","Car Park","Pond","Bridle","Amphitheatre","Perimeter","Passive"},C788)))&gt;0,"no",IF(SUMPRODUCT(--ISNUMBER(SEARCH({"Cricket","Junior","Mini","Summer Football","Small"},C788)))&gt;0,"reduced",IF(SUMPRODUCT(--ISNUMBER(SEARCH({"Rugby","Football","League","Touch","Gaelic","Australian","Lacrosse","General Sport","Training Area","Ultimate"},C788)))&gt;0,"full","unknown"))))</f>
        <v/>
      </c>
      <c r="E788" s="9"/>
      <c r="F788" s="9"/>
      <c r="G788" s="9"/>
      <c r="H788" s="9"/>
      <c r="I788" s="12"/>
      <c r="J788" s="9"/>
      <c r="K788" s="9"/>
      <c r="L788" s="9"/>
      <c r="M788" s="9"/>
      <c r="N788" s="9"/>
      <c r="O788" s="13" t="str">
        <f aca="false">IF(C788="","",IF(N(M788)+N(N788)&lt;Settings!$C$9,"untested",M788/(M788+N788)))</f>
        <v/>
      </c>
      <c r="P788" s="9"/>
      <c r="Q788" s="9"/>
      <c r="R788" s="9"/>
      <c r="S788" s="12"/>
      <c r="T788" s="9"/>
      <c r="U788" s="9"/>
      <c r="V788" s="9"/>
      <c r="W788" s="10" t="str">
        <f aca="false">IF(C788="","",IF(OR(G788="training",G788="full"),"Yes",IF(G788="none","No","?")))</f>
        <v/>
      </c>
      <c r="X788" s="10" t="str">
        <f aca="false">IF(C788="","",IF(OR(E788="",E788="unknown"),D788,E788))</f>
        <v/>
      </c>
      <c r="Y788" s="10" t="str">
        <f aca="false">IF(C788="","",IF(OR(T788="unsuitable",T788="retired",X788="no"),"—",IF(J788="","unrated",IF(AND(X788="full",J788&gt;=Settings!$C$5,OR(O788="untested",O788&gt;=Settings!$C$6)),"A",IF(AND(OR(X788="full",X788="reduced"),J788&gt;=Settings!$C$7,OR(O788="untested",O788&gt;=Settings!$C$8)),"B","C")))))</f>
        <v/>
      </c>
      <c r="Z788" s="11" t="str">
        <f aca="false">IF(C788="","",IF(P788&lt;&gt;"",P788,Y788))</f>
        <v/>
      </c>
    </row>
    <row r="789" customFormat="false" ht="15" hidden="false" customHeight="false" outlineLevel="0" collapsed="false">
      <c r="A789" s="9"/>
      <c r="B789" s="10" t="str">
        <f aca="false">IF(A789="","",IFERROR(INDEX(Parks!$A$2:$A$255,MATCH(A789,Parks!$B$2:$B$255,0)),"?"))</f>
        <v/>
      </c>
      <c r="C789" s="9"/>
      <c r="D789" s="10" t="str">
        <f aca="false">IF(C789="","",IF(SUMPRODUCT(--ISNUMBER(SEARCH({"Nets","Wicket","Diamond","Softball","T-ball","Baseball","Netball","Tennis","Bocce","Pentaque","Petanque","Skate","Car Park","Pond","Bridle","Amphitheatre","Perimeter","Passive"},C789)))&gt;0,"no",IF(SUMPRODUCT(--ISNUMBER(SEARCH({"Cricket","Junior","Mini","Summer Football","Small"},C789)))&gt;0,"reduced",IF(SUMPRODUCT(--ISNUMBER(SEARCH({"Rugby","Football","League","Touch","Gaelic","Australian","Lacrosse","General Sport","Training Area","Ultimate"},C789)))&gt;0,"full","unknown"))))</f>
        <v/>
      </c>
      <c r="E789" s="9"/>
      <c r="F789" s="9"/>
      <c r="G789" s="9"/>
      <c r="H789" s="9"/>
      <c r="I789" s="12"/>
      <c r="J789" s="9"/>
      <c r="K789" s="9"/>
      <c r="L789" s="9"/>
      <c r="M789" s="9"/>
      <c r="N789" s="9"/>
      <c r="O789" s="13" t="str">
        <f aca="false">IF(C789="","",IF(N(M789)+N(N789)&lt;Settings!$C$9,"untested",M789/(M789+N789)))</f>
        <v/>
      </c>
      <c r="P789" s="9"/>
      <c r="Q789" s="9"/>
      <c r="R789" s="9"/>
      <c r="S789" s="12"/>
      <c r="T789" s="9"/>
      <c r="U789" s="9"/>
      <c r="V789" s="9"/>
      <c r="W789" s="10" t="str">
        <f aca="false">IF(C789="","",IF(OR(G789="training",G789="full"),"Yes",IF(G789="none","No","?")))</f>
        <v/>
      </c>
      <c r="X789" s="10" t="str">
        <f aca="false">IF(C789="","",IF(OR(E789="",E789="unknown"),D789,E789))</f>
        <v/>
      </c>
      <c r="Y789" s="10" t="str">
        <f aca="false">IF(C789="","",IF(OR(T789="unsuitable",T789="retired",X789="no"),"—",IF(J789="","unrated",IF(AND(X789="full",J789&gt;=Settings!$C$5,OR(O789="untested",O789&gt;=Settings!$C$6)),"A",IF(AND(OR(X789="full",X789="reduced"),J789&gt;=Settings!$C$7,OR(O789="untested",O789&gt;=Settings!$C$8)),"B","C")))))</f>
        <v/>
      </c>
      <c r="Z789" s="11" t="str">
        <f aca="false">IF(C789="","",IF(P789&lt;&gt;"",P789,Y789))</f>
        <v/>
      </c>
    </row>
    <row r="790" customFormat="false" ht="15" hidden="false" customHeight="false" outlineLevel="0" collapsed="false">
      <c r="A790" s="9"/>
      <c r="B790" s="10" t="str">
        <f aca="false">IF(A790="","",IFERROR(INDEX(Parks!$A$2:$A$255,MATCH(A790,Parks!$B$2:$B$255,0)),"?"))</f>
        <v/>
      </c>
      <c r="C790" s="9"/>
      <c r="D790" s="10" t="str">
        <f aca="false">IF(C790="","",IF(SUMPRODUCT(--ISNUMBER(SEARCH({"Nets","Wicket","Diamond","Softball","T-ball","Baseball","Netball","Tennis","Bocce","Pentaque","Petanque","Skate","Car Park","Pond","Bridle","Amphitheatre","Perimeter","Passive"},C790)))&gt;0,"no",IF(SUMPRODUCT(--ISNUMBER(SEARCH({"Cricket","Junior","Mini","Summer Football","Small"},C790)))&gt;0,"reduced",IF(SUMPRODUCT(--ISNUMBER(SEARCH({"Rugby","Football","League","Touch","Gaelic","Australian","Lacrosse","General Sport","Training Area","Ultimate"},C790)))&gt;0,"full","unknown"))))</f>
        <v/>
      </c>
      <c r="E790" s="9"/>
      <c r="F790" s="9"/>
      <c r="G790" s="9"/>
      <c r="H790" s="9"/>
      <c r="I790" s="12"/>
      <c r="J790" s="9"/>
      <c r="K790" s="9"/>
      <c r="L790" s="9"/>
      <c r="M790" s="9"/>
      <c r="N790" s="9"/>
      <c r="O790" s="13" t="str">
        <f aca="false">IF(C790="","",IF(N(M790)+N(N790)&lt;Settings!$C$9,"untested",M790/(M790+N790)))</f>
        <v/>
      </c>
      <c r="P790" s="9"/>
      <c r="Q790" s="9"/>
      <c r="R790" s="9"/>
      <c r="S790" s="12"/>
      <c r="T790" s="9"/>
      <c r="U790" s="9"/>
      <c r="V790" s="9"/>
      <c r="W790" s="10" t="str">
        <f aca="false">IF(C790="","",IF(OR(G790="training",G790="full"),"Yes",IF(G790="none","No","?")))</f>
        <v/>
      </c>
      <c r="X790" s="10" t="str">
        <f aca="false">IF(C790="","",IF(OR(E790="",E790="unknown"),D790,E790))</f>
        <v/>
      </c>
      <c r="Y790" s="10" t="str">
        <f aca="false">IF(C790="","",IF(OR(T790="unsuitable",T790="retired",X790="no"),"—",IF(J790="","unrated",IF(AND(X790="full",J790&gt;=Settings!$C$5,OR(O790="untested",O790&gt;=Settings!$C$6)),"A",IF(AND(OR(X790="full",X790="reduced"),J790&gt;=Settings!$C$7,OR(O790="untested",O790&gt;=Settings!$C$8)),"B","C")))))</f>
        <v/>
      </c>
      <c r="Z790" s="11" t="str">
        <f aca="false">IF(C790="","",IF(P790&lt;&gt;"",P790,Y790))</f>
        <v/>
      </c>
    </row>
    <row r="791" customFormat="false" ht="15" hidden="false" customHeight="false" outlineLevel="0" collapsed="false">
      <c r="A791" s="9"/>
      <c r="B791" s="10" t="str">
        <f aca="false">IF(A791="","",IFERROR(INDEX(Parks!$A$2:$A$255,MATCH(A791,Parks!$B$2:$B$255,0)),"?"))</f>
        <v/>
      </c>
      <c r="C791" s="9"/>
      <c r="D791" s="10" t="str">
        <f aca="false">IF(C791="","",IF(SUMPRODUCT(--ISNUMBER(SEARCH({"Nets","Wicket","Diamond","Softball","T-ball","Baseball","Netball","Tennis","Bocce","Pentaque","Petanque","Skate","Car Park","Pond","Bridle","Amphitheatre","Perimeter","Passive"},C791)))&gt;0,"no",IF(SUMPRODUCT(--ISNUMBER(SEARCH({"Cricket","Junior","Mini","Summer Football","Small"},C791)))&gt;0,"reduced",IF(SUMPRODUCT(--ISNUMBER(SEARCH({"Rugby","Football","League","Touch","Gaelic","Australian","Lacrosse","General Sport","Training Area","Ultimate"},C791)))&gt;0,"full","unknown"))))</f>
        <v/>
      </c>
      <c r="E791" s="9"/>
      <c r="F791" s="9"/>
      <c r="G791" s="9"/>
      <c r="H791" s="9"/>
      <c r="I791" s="12"/>
      <c r="J791" s="9"/>
      <c r="K791" s="9"/>
      <c r="L791" s="9"/>
      <c r="M791" s="9"/>
      <c r="N791" s="9"/>
      <c r="O791" s="13" t="str">
        <f aca="false">IF(C791="","",IF(N(M791)+N(N791)&lt;Settings!$C$9,"untested",M791/(M791+N791)))</f>
        <v/>
      </c>
      <c r="P791" s="9"/>
      <c r="Q791" s="9"/>
      <c r="R791" s="9"/>
      <c r="S791" s="12"/>
      <c r="T791" s="9"/>
      <c r="U791" s="9"/>
      <c r="V791" s="9"/>
      <c r="W791" s="10" t="str">
        <f aca="false">IF(C791="","",IF(OR(G791="training",G791="full"),"Yes",IF(G791="none","No","?")))</f>
        <v/>
      </c>
      <c r="X791" s="10" t="str">
        <f aca="false">IF(C791="","",IF(OR(E791="",E791="unknown"),D791,E791))</f>
        <v/>
      </c>
      <c r="Y791" s="10" t="str">
        <f aca="false">IF(C791="","",IF(OR(T791="unsuitable",T791="retired",X791="no"),"—",IF(J791="","unrated",IF(AND(X791="full",J791&gt;=Settings!$C$5,OR(O791="untested",O791&gt;=Settings!$C$6)),"A",IF(AND(OR(X791="full",X791="reduced"),J791&gt;=Settings!$C$7,OR(O791="untested",O791&gt;=Settings!$C$8)),"B","C")))))</f>
        <v/>
      </c>
      <c r="Z791" s="11" t="str">
        <f aca="false">IF(C791="","",IF(P791&lt;&gt;"",P791,Y791))</f>
        <v/>
      </c>
    </row>
    <row r="792" customFormat="false" ht="15" hidden="false" customHeight="false" outlineLevel="0" collapsed="false">
      <c r="A792" s="9"/>
      <c r="B792" s="10" t="str">
        <f aca="false">IF(A792="","",IFERROR(INDEX(Parks!$A$2:$A$255,MATCH(A792,Parks!$B$2:$B$255,0)),"?"))</f>
        <v/>
      </c>
      <c r="C792" s="9"/>
      <c r="D792" s="10" t="str">
        <f aca="false">IF(C792="","",IF(SUMPRODUCT(--ISNUMBER(SEARCH({"Nets","Wicket","Diamond","Softball","T-ball","Baseball","Netball","Tennis","Bocce","Pentaque","Petanque","Skate","Car Park","Pond","Bridle","Amphitheatre","Perimeter","Passive"},C792)))&gt;0,"no",IF(SUMPRODUCT(--ISNUMBER(SEARCH({"Cricket","Junior","Mini","Summer Football","Small"},C792)))&gt;0,"reduced",IF(SUMPRODUCT(--ISNUMBER(SEARCH({"Rugby","Football","League","Touch","Gaelic","Australian","Lacrosse","General Sport","Training Area","Ultimate"},C792)))&gt;0,"full","unknown"))))</f>
        <v/>
      </c>
      <c r="E792" s="9"/>
      <c r="F792" s="9"/>
      <c r="G792" s="9"/>
      <c r="H792" s="9"/>
      <c r="I792" s="12"/>
      <c r="J792" s="9"/>
      <c r="K792" s="9"/>
      <c r="L792" s="9"/>
      <c r="M792" s="9"/>
      <c r="N792" s="9"/>
      <c r="O792" s="13" t="str">
        <f aca="false">IF(C792="","",IF(N(M792)+N(N792)&lt;Settings!$C$9,"untested",M792/(M792+N792)))</f>
        <v/>
      </c>
      <c r="P792" s="9"/>
      <c r="Q792" s="9"/>
      <c r="R792" s="9"/>
      <c r="S792" s="12"/>
      <c r="T792" s="9"/>
      <c r="U792" s="9"/>
      <c r="V792" s="9"/>
      <c r="W792" s="10" t="str">
        <f aca="false">IF(C792="","",IF(OR(G792="training",G792="full"),"Yes",IF(G792="none","No","?")))</f>
        <v/>
      </c>
      <c r="X792" s="10" t="str">
        <f aca="false">IF(C792="","",IF(OR(E792="",E792="unknown"),D792,E792))</f>
        <v/>
      </c>
      <c r="Y792" s="10" t="str">
        <f aca="false">IF(C792="","",IF(OR(T792="unsuitable",T792="retired",X792="no"),"—",IF(J792="","unrated",IF(AND(X792="full",J792&gt;=Settings!$C$5,OR(O792="untested",O792&gt;=Settings!$C$6)),"A",IF(AND(OR(X792="full",X792="reduced"),J792&gt;=Settings!$C$7,OR(O792="untested",O792&gt;=Settings!$C$8)),"B","C")))))</f>
        <v/>
      </c>
      <c r="Z792" s="11" t="str">
        <f aca="false">IF(C792="","",IF(P792&lt;&gt;"",P792,Y792))</f>
        <v/>
      </c>
    </row>
    <row r="793" customFormat="false" ht="15" hidden="false" customHeight="false" outlineLevel="0" collapsed="false">
      <c r="A793" s="9"/>
      <c r="B793" s="10" t="str">
        <f aca="false">IF(A793="","",IFERROR(INDEX(Parks!$A$2:$A$255,MATCH(A793,Parks!$B$2:$B$255,0)),"?"))</f>
        <v/>
      </c>
      <c r="C793" s="9"/>
      <c r="D793" s="10" t="str">
        <f aca="false">IF(C793="","",IF(SUMPRODUCT(--ISNUMBER(SEARCH({"Nets","Wicket","Diamond","Softball","T-ball","Baseball","Netball","Tennis","Bocce","Pentaque","Petanque","Skate","Car Park","Pond","Bridle","Amphitheatre","Perimeter","Passive"},C793)))&gt;0,"no",IF(SUMPRODUCT(--ISNUMBER(SEARCH({"Cricket","Junior","Mini","Summer Football","Small"},C793)))&gt;0,"reduced",IF(SUMPRODUCT(--ISNUMBER(SEARCH({"Rugby","Football","League","Touch","Gaelic","Australian","Lacrosse","General Sport","Training Area","Ultimate"},C793)))&gt;0,"full","unknown"))))</f>
        <v/>
      </c>
      <c r="E793" s="9"/>
      <c r="F793" s="9"/>
      <c r="G793" s="9"/>
      <c r="H793" s="9"/>
      <c r="I793" s="12"/>
      <c r="J793" s="9"/>
      <c r="K793" s="9"/>
      <c r="L793" s="9"/>
      <c r="M793" s="9"/>
      <c r="N793" s="9"/>
      <c r="O793" s="13" t="str">
        <f aca="false">IF(C793="","",IF(N(M793)+N(N793)&lt;Settings!$C$9,"untested",M793/(M793+N793)))</f>
        <v/>
      </c>
      <c r="P793" s="9"/>
      <c r="Q793" s="9"/>
      <c r="R793" s="9"/>
      <c r="S793" s="12"/>
      <c r="T793" s="9"/>
      <c r="U793" s="9"/>
      <c r="V793" s="9"/>
      <c r="W793" s="10" t="str">
        <f aca="false">IF(C793="","",IF(OR(G793="training",G793="full"),"Yes",IF(G793="none","No","?")))</f>
        <v/>
      </c>
      <c r="X793" s="10" t="str">
        <f aca="false">IF(C793="","",IF(OR(E793="",E793="unknown"),D793,E793))</f>
        <v/>
      </c>
      <c r="Y793" s="10" t="str">
        <f aca="false">IF(C793="","",IF(OR(T793="unsuitable",T793="retired",X793="no"),"—",IF(J793="","unrated",IF(AND(X793="full",J793&gt;=Settings!$C$5,OR(O793="untested",O793&gt;=Settings!$C$6)),"A",IF(AND(OR(X793="full",X793="reduced"),J793&gt;=Settings!$C$7,OR(O793="untested",O793&gt;=Settings!$C$8)),"B","C")))))</f>
        <v/>
      </c>
      <c r="Z793" s="11" t="str">
        <f aca="false">IF(C793="","",IF(P793&lt;&gt;"",P793,Y793))</f>
        <v/>
      </c>
    </row>
    <row r="794" customFormat="false" ht="15" hidden="false" customHeight="false" outlineLevel="0" collapsed="false">
      <c r="A794" s="9"/>
      <c r="B794" s="10" t="str">
        <f aca="false">IF(A794="","",IFERROR(INDEX(Parks!$A$2:$A$255,MATCH(A794,Parks!$B$2:$B$255,0)),"?"))</f>
        <v/>
      </c>
      <c r="C794" s="9"/>
      <c r="D794" s="10" t="str">
        <f aca="false">IF(C794="","",IF(SUMPRODUCT(--ISNUMBER(SEARCH({"Nets","Wicket","Diamond","Softball","T-ball","Baseball","Netball","Tennis","Bocce","Pentaque","Petanque","Skate","Car Park","Pond","Bridle","Amphitheatre","Perimeter","Passive"},C794)))&gt;0,"no",IF(SUMPRODUCT(--ISNUMBER(SEARCH({"Cricket","Junior","Mini","Summer Football","Small"},C794)))&gt;0,"reduced",IF(SUMPRODUCT(--ISNUMBER(SEARCH({"Rugby","Football","League","Touch","Gaelic","Australian","Lacrosse","General Sport","Training Area","Ultimate"},C794)))&gt;0,"full","unknown"))))</f>
        <v/>
      </c>
      <c r="E794" s="9"/>
      <c r="F794" s="9"/>
      <c r="G794" s="9"/>
      <c r="H794" s="9"/>
      <c r="I794" s="12"/>
      <c r="J794" s="9"/>
      <c r="K794" s="9"/>
      <c r="L794" s="9"/>
      <c r="M794" s="9"/>
      <c r="N794" s="9"/>
      <c r="O794" s="13" t="str">
        <f aca="false">IF(C794="","",IF(N(M794)+N(N794)&lt;Settings!$C$9,"untested",M794/(M794+N794)))</f>
        <v/>
      </c>
      <c r="P794" s="9"/>
      <c r="Q794" s="9"/>
      <c r="R794" s="9"/>
      <c r="S794" s="12"/>
      <c r="T794" s="9"/>
      <c r="U794" s="9"/>
      <c r="V794" s="9"/>
      <c r="W794" s="10" t="str">
        <f aca="false">IF(C794="","",IF(OR(G794="training",G794="full"),"Yes",IF(G794="none","No","?")))</f>
        <v/>
      </c>
      <c r="X794" s="10" t="str">
        <f aca="false">IF(C794="","",IF(OR(E794="",E794="unknown"),D794,E794))</f>
        <v/>
      </c>
      <c r="Y794" s="10" t="str">
        <f aca="false">IF(C794="","",IF(OR(T794="unsuitable",T794="retired",X794="no"),"—",IF(J794="","unrated",IF(AND(X794="full",J794&gt;=Settings!$C$5,OR(O794="untested",O794&gt;=Settings!$C$6)),"A",IF(AND(OR(X794="full",X794="reduced"),J794&gt;=Settings!$C$7,OR(O794="untested",O794&gt;=Settings!$C$8)),"B","C")))))</f>
        <v/>
      </c>
      <c r="Z794" s="11" t="str">
        <f aca="false">IF(C794="","",IF(P794&lt;&gt;"",P794,Y794))</f>
        <v/>
      </c>
    </row>
    <row r="795" customFormat="false" ht="15" hidden="false" customHeight="false" outlineLevel="0" collapsed="false">
      <c r="A795" s="9"/>
      <c r="B795" s="10" t="str">
        <f aca="false">IF(A795="","",IFERROR(INDEX(Parks!$A$2:$A$255,MATCH(A795,Parks!$B$2:$B$255,0)),"?"))</f>
        <v/>
      </c>
      <c r="C795" s="9"/>
      <c r="D795" s="10" t="str">
        <f aca="false">IF(C795="","",IF(SUMPRODUCT(--ISNUMBER(SEARCH({"Nets","Wicket","Diamond","Softball","T-ball","Baseball","Netball","Tennis","Bocce","Pentaque","Petanque","Skate","Car Park","Pond","Bridle","Amphitheatre","Perimeter","Passive"},C795)))&gt;0,"no",IF(SUMPRODUCT(--ISNUMBER(SEARCH({"Cricket","Junior","Mini","Summer Football","Small"},C795)))&gt;0,"reduced",IF(SUMPRODUCT(--ISNUMBER(SEARCH({"Rugby","Football","League","Touch","Gaelic","Australian","Lacrosse","General Sport","Training Area","Ultimate"},C795)))&gt;0,"full","unknown"))))</f>
        <v/>
      </c>
      <c r="E795" s="9"/>
      <c r="F795" s="9"/>
      <c r="G795" s="9"/>
      <c r="H795" s="9"/>
      <c r="I795" s="12"/>
      <c r="J795" s="9"/>
      <c r="K795" s="9"/>
      <c r="L795" s="9"/>
      <c r="M795" s="9"/>
      <c r="N795" s="9"/>
      <c r="O795" s="13" t="str">
        <f aca="false">IF(C795="","",IF(N(M795)+N(N795)&lt;Settings!$C$9,"untested",M795/(M795+N795)))</f>
        <v/>
      </c>
      <c r="P795" s="9"/>
      <c r="Q795" s="9"/>
      <c r="R795" s="9"/>
      <c r="S795" s="12"/>
      <c r="T795" s="9"/>
      <c r="U795" s="9"/>
      <c r="V795" s="9"/>
      <c r="W795" s="10" t="str">
        <f aca="false">IF(C795="","",IF(OR(G795="training",G795="full"),"Yes",IF(G795="none","No","?")))</f>
        <v/>
      </c>
      <c r="X795" s="10" t="str">
        <f aca="false">IF(C795="","",IF(OR(E795="",E795="unknown"),D795,E795))</f>
        <v/>
      </c>
      <c r="Y795" s="10" t="str">
        <f aca="false">IF(C795="","",IF(OR(T795="unsuitable",T795="retired",X795="no"),"—",IF(J795="","unrated",IF(AND(X795="full",J795&gt;=Settings!$C$5,OR(O795="untested",O795&gt;=Settings!$C$6)),"A",IF(AND(OR(X795="full",X795="reduced"),J795&gt;=Settings!$C$7,OR(O795="untested",O795&gt;=Settings!$C$8)),"B","C")))))</f>
        <v/>
      </c>
      <c r="Z795" s="11" t="str">
        <f aca="false">IF(C795="","",IF(P795&lt;&gt;"",P795,Y795))</f>
        <v/>
      </c>
    </row>
    <row r="796" customFormat="false" ht="15" hidden="false" customHeight="false" outlineLevel="0" collapsed="false">
      <c r="A796" s="9"/>
      <c r="B796" s="10" t="str">
        <f aca="false">IF(A796="","",IFERROR(INDEX(Parks!$A$2:$A$255,MATCH(A796,Parks!$B$2:$B$255,0)),"?"))</f>
        <v/>
      </c>
      <c r="C796" s="9"/>
      <c r="D796" s="10" t="str">
        <f aca="false">IF(C796="","",IF(SUMPRODUCT(--ISNUMBER(SEARCH({"Nets","Wicket","Diamond","Softball","T-ball","Baseball","Netball","Tennis","Bocce","Pentaque","Petanque","Skate","Car Park","Pond","Bridle","Amphitheatre","Perimeter","Passive"},C796)))&gt;0,"no",IF(SUMPRODUCT(--ISNUMBER(SEARCH({"Cricket","Junior","Mini","Summer Football","Small"},C796)))&gt;0,"reduced",IF(SUMPRODUCT(--ISNUMBER(SEARCH({"Rugby","Football","League","Touch","Gaelic","Australian","Lacrosse","General Sport","Training Area","Ultimate"},C796)))&gt;0,"full","unknown"))))</f>
        <v/>
      </c>
      <c r="E796" s="9"/>
      <c r="F796" s="9"/>
      <c r="G796" s="9"/>
      <c r="H796" s="9"/>
      <c r="I796" s="12"/>
      <c r="J796" s="9"/>
      <c r="K796" s="9"/>
      <c r="L796" s="9"/>
      <c r="M796" s="9"/>
      <c r="N796" s="9"/>
      <c r="O796" s="13" t="str">
        <f aca="false">IF(C796="","",IF(N(M796)+N(N796)&lt;Settings!$C$9,"untested",M796/(M796+N796)))</f>
        <v/>
      </c>
      <c r="P796" s="9"/>
      <c r="Q796" s="9"/>
      <c r="R796" s="9"/>
      <c r="S796" s="12"/>
      <c r="T796" s="9"/>
      <c r="U796" s="9"/>
      <c r="V796" s="9"/>
      <c r="W796" s="10" t="str">
        <f aca="false">IF(C796="","",IF(OR(G796="training",G796="full"),"Yes",IF(G796="none","No","?")))</f>
        <v/>
      </c>
      <c r="X796" s="10" t="str">
        <f aca="false">IF(C796="","",IF(OR(E796="",E796="unknown"),D796,E796))</f>
        <v/>
      </c>
      <c r="Y796" s="10" t="str">
        <f aca="false">IF(C796="","",IF(OR(T796="unsuitable",T796="retired",X796="no"),"—",IF(J796="","unrated",IF(AND(X796="full",J796&gt;=Settings!$C$5,OR(O796="untested",O796&gt;=Settings!$C$6)),"A",IF(AND(OR(X796="full",X796="reduced"),J796&gt;=Settings!$C$7,OR(O796="untested",O796&gt;=Settings!$C$8)),"B","C")))))</f>
        <v/>
      </c>
      <c r="Z796" s="11" t="str">
        <f aca="false">IF(C796="","",IF(P796&lt;&gt;"",P796,Y796))</f>
        <v/>
      </c>
    </row>
    <row r="797" customFormat="false" ht="15" hidden="false" customHeight="false" outlineLevel="0" collapsed="false">
      <c r="A797" s="9"/>
      <c r="B797" s="10" t="str">
        <f aca="false">IF(A797="","",IFERROR(INDEX(Parks!$A$2:$A$255,MATCH(A797,Parks!$B$2:$B$255,0)),"?"))</f>
        <v/>
      </c>
      <c r="C797" s="9"/>
      <c r="D797" s="10" t="str">
        <f aca="false">IF(C797="","",IF(SUMPRODUCT(--ISNUMBER(SEARCH({"Nets","Wicket","Diamond","Softball","T-ball","Baseball","Netball","Tennis","Bocce","Pentaque","Petanque","Skate","Car Park","Pond","Bridle","Amphitheatre","Perimeter","Passive"},C797)))&gt;0,"no",IF(SUMPRODUCT(--ISNUMBER(SEARCH({"Cricket","Junior","Mini","Summer Football","Small"},C797)))&gt;0,"reduced",IF(SUMPRODUCT(--ISNUMBER(SEARCH({"Rugby","Football","League","Touch","Gaelic","Australian","Lacrosse","General Sport","Training Area","Ultimate"},C797)))&gt;0,"full","unknown"))))</f>
        <v/>
      </c>
      <c r="E797" s="9"/>
      <c r="F797" s="9"/>
      <c r="G797" s="9"/>
      <c r="H797" s="9"/>
      <c r="I797" s="12"/>
      <c r="J797" s="9"/>
      <c r="K797" s="9"/>
      <c r="L797" s="9"/>
      <c r="M797" s="9"/>
      <c r="N797" s="9"/>
      <c r="O797" s="13" t="str">
        <f aca="false">IF(C797="","",IF(N(M797)+N(N797)&lt;Settings!$C$9,"untested",M797/(M797+N797)))</f>
        <v/>
      </c>
      <c r="P797" s="9"/>
      <c r="Q797" s="9"/>
      <c r="R797" s="9"/>
      <c r="S797" s="12"/>
      <c r="T797" s="9"/>
      <c r="U797" s="9"/>
      <c r="V797" s="9"/>
      <c r="W797" s="10" t="str">
        <f aca="false">IF(C797="","",IF(OR(G797="training",G797="full"),"Yes",IF(G797="none","No","?")))</f>
        <v/>
      </c>
      <c r="X797" s="10" t="str">
        <f aca="false">IF(C797="","",IF(OR(E797="",E797="unknown"),D797,E797))</f>
        <v/>
      </c>
      <c r="Y797" s="10" t="str">
        <f aca="false">IF(C797="","",IF(OR(T797="unsuitable",T797="retired",X797="no"),"—",IF(J797="","unrated",IF(AND(X797="full",J797&gt;=Settings!$C$5,OR(O797="untested",O797&gt;=Settings!$C$6)),"A",IF(AND(OR(X797="full",X797="reduced"),J797&gt;=Settings!$C$7,OR(O797="untested",O797&gt;=Settings!$C$8)),"B","C")))))</f>
        <v/>
      </c>
      <c r="Z797" s="11" t="str">
        <f aca="false">IF(C797="","",IF(P797&lt;&gt;"",P797,Y797))</f>
        <v/>
      </c>
    </row>
    <row r="798" customFormat="false" ht="15" hidden="false" customHeight="false" outlineLevel="0" collapsed="false">
      <c r="A798" s="9"/>
      <c r="B798" s="10" t="str">
        <f aca="false">IF(A798="","",IFERROR(INDEX(Parks!$A$2:$A$255,MATCH(A798,Parks!$B$2:$B$255,0)),"?"))</f>
        <v/>
      </c>
      <c r="C798" s="9"/>
      <c r="D798" s="10" t="str">
        <f aca="false">IF(C798="","",IF(SUMPRODUCT(--ISNUMBER(SEARCH({"Nets","Wicket","Diamond","Softball","T-ball","Baseball","Netball","Tennis","Bocce","Pentaque","Petanque","Skate","Car Park","Pond","Bridle","Amphitheatre","Perimeter","Passive"},C798)))&gt;0,"no",IF(SUMPRODUCT(--ISNUMBER(SEARCH({"Cricket","Junior","Mini","Summer Football","Small"},C798)))&gt;0,"reduced",IF(SUMPRODUCT(--ISNUMBER(SEARCH({"Rugby","Football","League","Touch","Gaelic","Australian","Lacrosse","General Sport","Training Area","Ultimate"},C798)))&gt;0,"full","unknown"))))</f>
        <v/>
      </c>
      <c r="E798" s="9"/>
      <c r="F798" s="9"/>
      <c r="G798" s="9"/>
      <c r="H798" s="9"/>
      <c r="I798" s="12"/>
      <c r="J798" s="9"/>
      <c r="K798" s="9"/>
      <c r="L798" s="9"/>
      <c r="M798" s="9"/>
      <c r="N798" s="9"/>
      <c r="O798" s="13" t="str">
        <f aca="false">IF(C798="","",IF(N(M798)+N(N798)&lt;Settings!$C$9,"untested",M798/(M798+N798)))</f>
        <v/>
      </c>
      <c r="P798" s="9"/>
      <c r="Q798" s="9"/>
      <c r="R798" s="9"/>
      <c r="S798" s="12"/>
      <c r="T798" s="9"/>
      <c r="U798" s="9"/>
      <c r="V798" s="9"/>
      <c r="W798" s="10" t="str">
        <f aca="false">IF(C798="","",IF(OR(G798="training",G798="full"),"Yes",IF(G798="none","No","?")))</f>
        <v/>
      </c>
      <c r="X798" s="10" t="str">
        <f aca="false">IF(C798="","",IF(OR(E798="",E798="unknown"),D798,E798))</f>
        <v/>
      </c>
      <c r="Y798" s="10" t="str">
        <f aca="false">IF(C798="","",IF(OR(T798="unsuitable",T798="retired",X798="no"),"—",IF(J798="","unrated",IF(AND(X798="full",J798&gt;=Settings!$C$5,OR(O798="untested",O798&gt;=Settings!$C$6)),"A",IF(AND(OR(X798="full",X798="reduced"),J798&gt;=Settings!$C$7,OR(O798="untested",O798&gt;=Settings!$C$8)),"B","C")))))</f>
        <v/>
      </c>
      <c r="Z798" s="11" t="str">
        <f aca="false">IF(C798="","",IF(P798&lt;&gt;"",P798,Y798))</f>
        <v/>
      </c>
    </row>
    <row r="799" customFormat="false" ht="15" hidden="false" customHeight="false" outlineLevel="0" collapsed="false">
      <c r="A799" s="9"/>
      <c r="B799" s="10" t="str">
        <f aca="false">IF(A799="","",IFERROR(INDEX(Parks!$A$2:$A$255,MATCH(A799,Parks!$B$2:$B$255,0)),"?"))</f>
        <v/>
      </c>
      <c r="C799" s="9"/>
      <c r="D799" s="10" t="str">
        <f aca="false">IF(C799="","",IF(SUMPRODUCT(--ISNUMBER(SEARCH({"Nets","Wicket","Diamond","Softball","T-ball","Baseball","Netball","Tennis","Bocce","Pentaque","Petanque","Skate","Car Park","Pond","Bridle","Amphitheatre","Perimeter","Passive"},C799)))&gt;0,"no",IF(SUMPRODUCT(--ISNUMBER(SEARCH({"Cricket","Junior","Mini","Summer Football","Small"},C799)))&gt;0,"reduced",IF(SUMPRODUCT(--ISNUMBER(SEARCH({"Rugby","Football","League","Touch","Gaelic","Australian","Lacrosse","General Sport","Training Area","Ultimate"},C799)))&gt;0,"full","unknown"))))</f>
        <v/>
      </c>
      <c r="E799" s="9"/>
      <c r="F799" s="9"/>
      <c r="G799" s="9"/>
      <c r="H799" s="9"/>
      <c r="I799" s="12"/>
      <c r="J799" s="9"/>
      <c r="K799" s="9"/>
      <c r="L799" s="9"/>
      <c r="M799" s="9"/>
      <c r="N799" s="9"/>
      <c r="O799" s="13" t="str">
        <f aca="false">IF(C799="","",IF(N(M799)+N(N799)&lt;Settings!$C$9,"untested",M799/(M799+N799)))</f>
        <v/>
      </c>
      <c r="P799" s="9"/>
      <c r="Q799" s="9"/>
      <c r="R799" s="9"/>
      <c r="S799" s="12"/>
      <c r="T799" s="9"/>
      <c r="U799" s="9"/>
      <c r="V799" s="9"/>
      <c r="W799" s="10" t="str">
        <f aca="false">IF(C799="","",IF(OR(G799="training",G799="full"),"Yes",IF(G799="none","No","?")))</f>
        <v/>
      </c>
      <c r="X799" s="10" t="str">
        <f aca="false">IF(C799="","",IF(OR(E799="",E799="unknown"),D799,E799))</f>
        <v/>
      </c>
      <c r="Y799" s="10" t="str">
        <f aca="false">IF(C799="","",IF(OR(T799="unsuitable",T799="retired",X799="no"),"—",IF(J799="","unrated",IF(AND(X799="full",J799&gt;=Settings!$C$5,OR(O799="untested",O799&gt;=Settings!$C$6)),"A",IF(AND(OR(X799="full",X799="reduced"),J799&gt;=Settings!$C$7,OR(O799="untested",O799&gt;=Settings!$C$8)),"B","C")))))</f>
        <v/>
      </c>
      <c r="Z799" s="11" t="str">
        <f aca="false">IF(C799="","",IF(P799&lt;&gt;"",P799,Y799))</f>
        <v/>
      </c>
    </row>
    <row r="800" customFormat="false" ht="15" hidden="false" customHeight="false" outlineLevel="0" collapsed="false">
      <c r="A800" s="9"/>
      <c r="B800" s="10" t="str">
        <f aca="false">IF(A800="","",IFERROR(INDEX(Parks!$A$2:$A$255,MATCH(A800,Parks!$B$2:$B$255,0)),"?"))</f>
        <v/>
      </c>
      <c r="C800" s="9"/>
      <c r="D800" s="10" t="str">
        <f aca="false">IF(C800="","",IF(SUMPRODUCT(--ISNUMBER(SEARCH({"Nets","Wicket","Diamond","Softball","T-ball","Baseball","Netball","Tennis","Bocce","Pentaque","Petanque","Skate","Car Park","Pond","Bridle","Amphitheatre","Perimeter","Passive"},C800)))&gt;0,"no",IF(SUMPRODUCT(--ISNUMBER(SEARCH({"Cricket","Junior","Mini","Summer Football","Small"},C800)))&gt;0,"reduced",IF(SUMPRODUCT(--ISNUMBER(SEARCH({"Rugby","Football","League","Touch","Gaelic","Australian","Lacrosse","General Sport","Training Area","Ultimate"},C800)))&gt;0,"full","unknown"))))</f>
        <v/>
      </c>
      <c r="E800" s="9"/>
      <c r="F800" s="9"/>
      <c r="G800" s="9"/>
      <c r="H800" s="9"/>
      <c r="I800" s="12"/>
      <c r="J800" s="9"/>
      <c r="K800" s="9"/>
      <c r="L800" s="9"/>
      <c r="M800" s="9"/>
      <c r="N800" s="9"/>
      <c r="O800" s="13" t="str">
        <f aca="false">IF(C800="","",IF(N(M800)+N(N800)&lt;Settings!$C$9,"untested",M800/(M800+N800)))</f>
        <v/>
      </c>
      <c r="P800" s="9"/>
      <c r="Q800" s="9"/>
      <c r="R800" s="9"/>
      <c r="S800" s="12"/>
      <c r="T800" s="9"/>
      <c r="U800" s="9"/>
      <c r="V800" s="9"/>
      <c r="W800" s="10" t="str">
        <f aca="false">IF(C800="","",IF(OR(G800="training",G800="full"),"Yes",IF(G800="none","No","?")))</f>
        <v/>
      </c>
      <c r="X800" s="10" t="str">
        <f aca="false">IF(C800="","",IF(OR(E800="",E800="unknown"),D800,E800))</f>
        <v/>
      </c>
      <c r="Y800" s="10" t="str">
        <f aca="false">IF(C800="","",IF(OR(T800="unsuitable",T800="retired",X800="no"),"—",IF(J800="","unrated",IF(AND(X800="full",J800&gt;=Settings!$C$5,OR(O800="untested",O800&gt;=Settings!$C$6)),"A",IF(AND(OR(X800="full",X800="reduced"),J800&gt;=Settings!$C$7,OR(O800="untested",O800&gt;=Settings!$C$8)),"B","C")))))</f>
        <v/>
      </c>
      <c r="Z800" s="11" t="str">
        <f aca="false">IF(C800="","",IF(P800&lt;&gt;"",P800,Y800))</f>
        <v/>
      </c>
    </row>
    <row r="801" customFormat="false" ht="15" hidden="false" customHeight="false" outlineLevel="0" collapsed="false">
      <c r="A801" s="9"/>
      <c r="B801" s="10" t="str">
        <f aca="false">IF(A801="","",IFERROR(INDEX(Parks!$A$2:$A$255,MATCH(A801,Parks!$B$2:$B$255,0)),"?"))</f>
        <v/>
      </c>
      <c r="C801" s="9"/>
      <c r="D801" s="10" t="str">
        <f aca="false">IF(C801="","",IF(SUMPRODUCT(--ISNUMBER(SEARCH({"Nets","Wicket","Diamond","Softball","T-ball","Baseball","Netball","Tennis","Bocce","Pentaque","Petanque","Skate","Car Park","Pond","Bridle","Amphitheatre","Perimeter","Passive"},C801)))&gt;0,"no",IF(SUMPRODUCT(--ISNUMBER(SEARCH({"Cricket","Junior","Mini","Summer Football","Small"},C801)))&gt;0,"reduced",IF(SUMPRODUCT(--ISNUMBER(SEARCH({"Rugby","Football","League","Touch","Gaelic","Australian","Lacrosse","General Sport","Training Area","Ultimate"},C801)))&gt;0,"full","unknown"))))</f>
        <v/>
      </c>
      <c r="E801" s="9"/>
      <c r="F801" s="9"/>
      <c r="G801" s="9"/>
      <c r="H801" s="9"/>
      <c r="I801" s="12"/>
      <c r="J801" s="9"/>
      <c r="K801" s="9"/>
      <c r="L801" s="9"/>
      <c r="M801" s="9"/>
      <c r="N801" s="9"/>
      <c r="O801" s="13" t="str">
        <f aca="false">IF(C801="","",IF(N(M801)+N(N801)&lt;Settings!$C$9,"untested",M801/(M801+N801)))</f>
        <v/>
      </c>
      <c r="P801" s="9"/>
      <c r="Q801" s="9"/>
      <c r="R801" s="9"/>
      <c r="S801" s="12"/>
      <c r="T801" s="9"/>
      <c r="U801" s="9"/>
      <c r="V801" s="9"/>
      <c r="W801" s="10" t="str">
        <f aca="false">IF(C801="","",IF(OR(G801="training",G801="full"),"Yes",IF(G801="none","No","?")))</f>
        <v/>
      </c>
      <c r="X801" s="10" t="str">
        <f aca="false">IF(C801="","",IF(OR(E801="",E801="unknown"),D801,E801))</f>
        <v/>
      </c>
      <c r="Y801" s="10" t="str">
        <f aca="false">IF(C801="","",IF(OR(T801="unsuitable",T801="retired",X801="no"),"—",IF(J801="","unrated",IF(AND(X801="full",J801&gt;=Settings!$C$5,OR(O801="untested",O801&gt;=Settings!$C$6)),"A",IF(AND(OR(X801="full",X801="reduced"),J801&gt;=Settings!$C$7,OR(O801="untested",O801&gt;=Settings!$C$8)),"B","C")))))</f>
        <v/>
      </c>
      <c r="Z801" s="11" t="str">
        <f aca="false">IF(C801="","",IF(P801&lt;&gt;"",P801,Y801))</f>
        <v/>
      </c>
    </row>
    <row r="802" customFormat="false" ht="15" hidden="false" customHeight="false" outlineLevel="0" collapsed="false">
      <c r="A802" s="9"/>
      <c r="B802" s="10" t="str">
        <f aca="false">IF(A802="","",IFERROR(INDEX(Parks!$A$2:$A$255,MATCH(A802,Parks!$B$2:$B$255,0)),"?"))</f>
        <v/>
      </c>
      <c r="C802" s="9"/>
      <c r="D802" s="10" t="str">
        <f aca="false">IF(C802="","",IF(SUMPRODUCT(--ISNUMBER(SEARCH({"Nets","Wicket","Diamond","Softball","T-ball","Baseball","Netball","Tennis","Bocce","Pentaque","Petanque","Skate","Car Park","Pond","Bridle","Amphitheatre","Perimeter","Passive"},C802)))&gt;0,"no",IF(SUMPRODUCT(--ISNUMBER(SEARCH({"Cricket","Junior","Mini","Summer Football","Small"},C802)))&gt;0,"reduced",IF(SUMPRODUCT(--ISNUMBER(SEARCH({"Rugby","Football","League","Touch","Gaelic","Australian","Lacrosse","General Sport","Training Area","Ultimate"},C802)))&gt;0,"full","unknown"))))</f>
        <v/>
      </c>
      <c r="E802" s="9"/>
      <c r="F802" s="9"/>
      <c r="G802" s="9"/>
      <c r="H802" s="9"/>
      <c r="I802" s="12"/>
      <c r="J802" s="9"/>
      <c r="K802" s="9"/>
      <c r="L802" s="9"/>
      <c r="M802" s="9"/>
      <c r="N802" s="9"/>
      <c r="O802" s="13" t="str">
        <f aca="false">IF(C802="","",IF(N(M802)+N(N802)&lt;Settings!$C$9,"untested",M802/(M802+N802)))</f>
        <v/>
      </c>
      <c r="P802" s="9"/>
      <c r="Q802" s="9"/>
      <c r="R802" s="9"/>
      <c r="S802" s="12"/>
      <c r="T802" s="9"/>
      <c r="U802" s="9"/>
      <c r="V802" s="9"/>
      <c r="W802" s="10" t="str">
        <f aca="false">IF(C802="","",IF(OR(G802="training",G802="full"),"Yes",IF(G802="none","No","?")))</f>
        <v/>
      </c>
      <c r="X802" s="10" t="str">
        <f aca="false">IF(C802="","",IF(OR(E802="",E802="unknown"),D802,E802))</f>
        <v/>
      </c>
      <c r="Y802" s="10" t="str">
        <f aca="false">IF(C802="","",IF(OR(T802="unsuitable",T802="retired",X802="no"),"—",IF(J802="","unrated",IF(AND(X802="full",J802&gt;=Settings!$C$5,OR(O802="untested",O802&gt;=Settings!$C$6)),"A",IF(AND(OR(X802="full",X802="reduced"),J802&gt;=Settings!$C$7,OR(O802="untested",O802&gt;=Settings!$C$8)),"B","C")))))</f>
        <v/>
      </c>
      <c r="Z802" s="11" t="str">
        <f aca="false">IF(C802="","",IF(P802&lt;&gt;"",P802,Y802))</f>
        <v/>
      </c>
    </row>
    <row r="803" customFormat="false" ht="15" hidden="false" customHeight="false" outlineLevel="0" collapsed="false">
      <c r="A803" s="9"/>
      <c r="B803" s="10" t="str">
        <f aca="false">IF(A803="","",IFERROR(INDEX(Parks!$A$2:$A$255,MATCH(A803,Parks!$B$2:$B$255,0)),"?"))</f>
        <v/>
      </c>
      <c r="C803" s="9"/>
      <c r="D803" s="10" t="str">
        <f aca="false">IF(C803="","",IF(SUMPRODUCT(--ISNUMBER(SEARCH({"Nets","Wicket","Diamond","Softball","T-ball","Baseball","Netball","Tennis","Bocce","Pentaque","Petanque","Skate","Car Park","Pond","Bridle","Amphitheatre","Perimeter","Passive"},C803)))&gt;0,"no",IF(SUMPRODUCT(--ISNUMBER(SEARCH({"Cricket","Junior","Mini","Summer Football","Small"},C803)))&gt;0,"reduced",IF(SUMPRODUCT(--ISNUMBER(SEARCH({"Rugby","Football","League","Touch","Gaelic","Australian","Lacrosse","General Sport","Training Area","Ultimate"},C803)))&gt;0,"full","unknown"))))</f>
        <v/>
      </c>
      <c r="E803" s="9"/>
      <c r="F803" s="9"/>
      <c r="G803" s="9"/>
      <c r="H803" s="9"/>
      <c r="I803" s="12"/>
      <c r="J803" s="9"/>
      <c r="K803" s="9"/>
      <c r="L803" s="9"/>
      <c r="M803" s="9"/>
      <c r="N803" s="9"/>
      <c r="O803" s="13" t="str">
        <f aca="false">IF(C803="","",IF(N(M803)+N(N803)&lt;Settings!$C$9,"untested",M803/(M803+N803)))</f>
        <v/>
      </c>
      <c r="P803" s="9"/>
      <c r="Q803" s="9"/>
      <c r="R803" s="9"/>
      <c r="S803" s="12"/>
      <c r="T803" s="9"/>
      <c r="U803" s="9"/>
      <c r="V803" s="9"/>
      <c r="W803" s="10" t="str">
        <f aca="false">IF(C803="","",IF(OR(G803="training",G803="full"),"Yes",IF(G803="none","No","?")))</f>
        <v/>
      </c>
      <c r="X803" s="10" t="str">
        <f aca="false">IF(C803="","",IF(OR(E803="",E803="unknown"),D803,E803))</f>
        <v/>
      </c>
      <c r="Y803" s="10" t="str">
        <f aca="false">IF(C803="","",IF(OR(T803="unsuitable",T803="retired",X803="no"),"—",IF(J803="","unrated",IF(AND(X803="full",J803&gt;=Settings!$C$5,OR(O803="untested",O803&gt;=Settings!$C$6)),"A",IF(AND(OR(X803="full",X803="reduced"),J803&gt;=Settings!$C$7,OR(O803="untested",O803&gt;=Settings!$C$8)),"B","C")))))</f>
        <v/>
      </c>
      <c r="Z803" s="11" t="str">
        <f aca="false">IF(C803="","",IF(P803&lt;&gt;"",P803,Y803))</f>
        <v/>
      </c>
    </row>
    <row r="804" customFormat="false" ht="15" hidden="false" customHeight="false" outlineLevel="0" collapsed="false">
      <c r="A804" s="9"/>
      <c r="B804" s="10" t="str">
        <f aca="false">IF(A804="","",IFERROR(INDEX(Parks!$A$2:$A$255,MATCH(A804,Parks!$B$2:$B$255,0)),"?"))</f>
        <v/>
      </c>
      <c r="C804" s="9"/>
      <c r="D804" s="10" t="str">
        <f aca="false">IF(C804="","",IF(SUMPRODUCT(--ISNUMBER(SEARCH({"Nets","Wicket","Diamond","Softball","T-ball","Baseball","Netball","Tennis","Bocce","Pentaque","Petanque","Skate","Car Park","Pond","Bridle","Amphitheatre","Perimeter","Passive"},C804)))&gt;0,"no",IF(SUMPRODUCT(--ISNUMBER(SEARCH({"Cricket","Junior","Mini","Summer Football","Small"},C804)))&gt;0,"reduced",IF(SUMPRODUCT(--ISNUMBER(SEARCH({"Rugby","Football","League","Touch","Gaelic","Australian","Lacrosse","General Sport","Training Area","Ultimate"},C804)))&gt;0,"full","unknown"))))</f>
        <v/>
      </c>
      <c r="E804" s="9"/>
      <c r="F804" s="9"/>
      <c r="G804" s="9"/>
      <c r="H804" s="9"/>
      <c r="I804" s="12"/>
      <c r="J804" s="9"/>
      <c r="K804" s="9"/>
      <c r="L804" s="9"/>
      <c r="M804" s="9"/>
      <c r="N804" s="9"/>
      <c r="O804" s="13" t="str">
        <f aca="false">IF(C804="","",IF(N(M804)+N(N804)&lt;Settings!$C$9,"untested",M804/(M804+N804)))</f>
        <v/>
      </c>
      <c r="P804" s="9"/>
      <c r="Q804" s="9"/>
      <c r="R804" s="9"/>
      <c r="S804" s="12"/>
      <c r="T804" s="9"/>
      <c r="U804" s="9"/>
      <c r="V804" s="9"/>
      <c r="W804" s="10" t="str">
        <f aca="false">IF(C804="","",IF(OR(G804="training",G804="full"),"Yes",IF(G804="none","No","?")))</f>
        <v/>
      </c>
      <c r="X804" s="10" t="str">
        <f aca="false">IF(C804="","",IF(OR(E804="",E804="unknown"),D804,E804))</f>
        <v/>
      </c>
      <c r="Y804" s="10" t="str">
        <f aca="false">IF(C804="","",IF(OR(T804="unsuitable",T804="retired",X804="no"),"—",IF(J804="","unrated",IF(AND(X804="full",J804&gt;=Settings!$C$5,OR(O804="untested",O804&gt;=Settings!$C$6)),"A",IF(AND(OR(X804="full",X804="reduced"),J804&gt;=Settings!$C$7,OR(O804="untested",O804&gt;=Settings!$C$8)),"B","C")))))</f>
        <v/>
      </c>
      <c r="Z804" s="11" t="str">
        <f aca="false">IF(C804="","",IF(P804&lt;&gt;"",P804,Y804))</f>
        <v/>
      </c>
    </row>
    <row r="805" customFormat="false" ht="15" hidden="false" customHeight="false" outlineLevel="0" collapsed="false">
      <c r="A805" s="9"/>
      <c r="B805" s="10" t="str">
        <f aca="false">IF(A805="","",IFERROR(INDEX(Parks!$A$2:$A$255,MATCH(A805,Parks!$B$2:$B$255,0)),"?"))</f>
        <v/>
      </c>
      <c r="C805" s="9"/>
      <c r="D805" s="10" t="str">
        <f aca="false">IF(C805="","",IF(SUMPRODUCT(--ISNUMBER(SEARCH({"Nets","Wicket","Diamond","Softball","T-ball","Baseball","Netball","Tennis","Bocce","Pentaque","Petanque","Skate","Car Park","Pond","Bridle","Amphitheatre","Perimeter","Passive"},C805)))&gt;0,"no",IF(SUMPRODUCT(--ISNUMBER(SEARCH({"Cricket","Junior","Mini","Summer Football","Small"},C805)))&gt;0,"reduced",IF(SUMPRODUCT(--ISNUMBER(SEARCH({"Rugby","Football","League","Touch","Gaelic","Australian","Lacrosse","General Sport","Training Area","Ultimate"},C805)))&gt;0,"full","unknown"))))</f>
        <v/>
      </c>
      <c r="E805" s="9"/>
      <c r="F805" s="9"/>
      <c r="G805" s="9"/>
      <c r="H805" s="9"/>
      <c r="I805" s="12"/>
      <c r="J805" s="9"/>
      <c r="K805" s="9"/>
      <c r="L805" s="9"/>
      <c r="M805" s="9"/>
      <c r="N805" s="9"/>
      <c r="O805" s="13" t="str">
        <f aca="false">IF(C805="","",IF(N(M805)+N(N805)&lt;Settings!$C$9,"untested",M805/(M805+N805)))</f>
        <v/>
      </c>
      <c r="P805" s="9"/>
      <c r="Q805" s="9"/>
      <c r="R805" s="9"/>
      <c r="S805" s="12"/>
      <c r="T805" s="9"/>
      <c r="U805" s="9"/>
      <c r="V805" s="9"/>
      <c r="W805" s="10" t="str">
        <f aca="false">IF(C805="","",IF(OR(G805="training",G805="full"),"Yes",IF(G805="none","No","?")))</f>
        <v/>
      </c>
      <c r="X805" s="10" t="str">
        <f aca="false">IF(C805="","",IF(OR(E805="",E805="unknown"),D805,E805))</f>
        <v/>
      </c>
      <c r="Y805" s="10" t="str">
        <f aca="false">IF(C805="","",IF(OR(T805="unsuitable",T805="retired",X805="no"),"—",IF(J805="","unrated",IF(AND(X805="full",J805&gt;=Settings!$C$5,OR(O805="untested",O805&gt;=Settings!$C$6)),"A",IF(AND(OR(X805="full",X805="reduced"),J805&gt;=Settings!$C$7,OR(O805="untested",O805&gt;=Settings!$C$8)),"B","C")))))</f>
        <v/>
      </c>
      <c r="Z805" s="11" t="str">
        <f aca="false">IF(C805="","",IF(P805&lt;&gt;"",P805,Y805))</f>
        <v/>
      </c>
    </row>
    <row r="806" customFormat="false" ht="15" hidden="false" customHeight="false" outlineLevel="0" collapsed="false">
      <c r="A806" s="9"/>
      <c r="B806" s="10" t="str">
        <f aca="false">IF(A806="","",IFERROR(INDEX(Parks!$A$2:$A$255,MATCH(A806,Parks!$B$2:$B$255,0)),"?"))</f>
        <v/>
      </c>
      <c r="C806" s="9"/>
      <c r="D806" s="10" t="str">
        <f aca="false">IF(C806="","",IF(SUMPRODUCT(--ISNUMBER(SEARCH({"Nets","Wicket","Diamond","Softball","T-ball","Baseball","Netball","Tennis","Bocce","Pentaque","Petanque","Skate","Car Park","Pond","Bridle","Amphitheatre","Perimeter","Passive"},C806)))&gt;0,"no",IF(SUMPRODUCT(--ISNUMBER(SEARCH({"Cricket","Junior","Mini","Summer Football","Small"},C806)))&gt;0,"reduced",IF(SUMPRODUCT(--ISNUMBER(SEARCH({"Rugby","Football","League","Touch","Gaelic","Australian","Lacrosse","General Sport","Training Area","Ultimate"},C806)))&gt;0,"full","unknown"))))</f>
        <v/>
      </c>
      <c r="E806" s="9"/>
      <c r="F806" s="9"/>
      <c r="G806" s="9"/>
      <c r="H806" s="9"/>
      <c r="I806" s="12"/>
      <c r="J806" s="9"/>
      <c r="K806" s="9"/>
      <c r="L806" s="9"/>
      <c r="M806" s="9"/>
      <c r="N806" s="9"/>
      <c r="O806" s="13" t="str">
        <f aca="false">IF(C806="","",IF(N(M806)+N(N806)&lt;Settings!$C$9,"untested",M806/(M806+N806)))</f>
        <v/>
      </c>
      <c r="P806" s="9"/>
      <c r="Q806" s="9"/>
      <c r="R806" s="9"/>
      <c r="S806" s="12"/>
      <c r="T806" s="9"/>
      <c r="U806" s="9"/>
      <c r="V806" s="9"/>
      <c r="W806" s="10" t="str">
        <f aca="false">IF(C806="","",IF(OR(G806="training",G806="full"),"Yes",IF(G806="none","No","?")))</f>
        <v/>
      </c>
      <c r="X806" s="10" t="str">
        <f aca="false">IF(C806="","",IF(OR(E806="",E806="unknown"),D806,E806))</f>
        <v/>
      </c>
      <c r="Y806" s="10" t="str">
        <f aca="false">IF(C806="","",IF(OR(T806="unsuitable",T806="retired",X806="no"),"—",IF(J806="","unrated",IF(AND(X806="full",J806&gt;=Settings!$C$5,OR(O806="untested",O806&gt;=Settings!$C$6)),"A",IF(AND(OR(X806="full",X806="reduced"),J806&gt;=Settings!$C$7,OR(O806="untested",O806&gt;=Settings!$C$8)),"B","C")))))</f>
        <v/>
      </c>
      <c r="Z806" s="11" t="str">
        <f aca="false">IF(C806="","",IF(P806&lt;&gt;"",P806,Y806))</f>
        <v/>
      </c>
    </row>
    <row r="807" customFormat="false" ht="15" hidden="false" customHeight="false" outlineLevel="0" collapsed="false">
      <c r="A807" s="9"/>
      <c r="B807" s="10" t="str">
        <f aca="false">IF(A807="","",IFERROR(INDEX(Parks!$A$2:$A$255,MATCH(A807,Parks!$B$2:$B$255,0)),"?"))</f>
        <v/>
      </c>
      <c r="C807" s="9"/>
      <c r="D807" s="10" t="str">
        <f aca="false">IF(C807="","",IF(SUMPRODUCT(--ISNUMBER(SEARCH({"Nets","Wicket","Diamond","Softball","T-ball","Baseball","Netball","Tennis","Bocce","Pentaque","Petanque","Skate","Car Park","Pond","Bridle","Amphitheatre","Perimeter","Passive"},C807)))&gt;0,"no",IF(SUMPRODUCT(--ISNUMBER(SEARCH({"Cricket","Junior","Mini","Summer Football","Small"},C807)))&gt;0,"reduced",IF(SUMPRODUCT(--ISNUMBER(SEARCH({"Rugby","Football","League","Touch","Gaelic","Australian","Lacrosse","General Sport","Training Area","Ultimate"},C807)))&gt;0,"full","unknown"))))</f>
        <v/>
      </c>
      <c r="E807" s="9"/>
      <c r="F807" s="9"/>
      <c r="G807" s="9"/>
      <c r="H807" s="9"/>
      <c r="I807" s="12"/>
      <c r="J807" s="9"/>
      <c r="K807" s="9"/>
      <c r="L807" s="9"/>
      <c r="M807" s="9"/>
      <c r="N807" s="9"/>
      <c r="O807" s="13" t="str">
        <f aca="false">IF(C807="","",IF(N(M807)+N(N807)&lt;Settings!$C$9,"untested",M807/(M807+N807)))</f>
        <v/>
      </c>
      <c r="P807" s="9"/>
      <c r="Q807" s="9"/>
      <c r="R807" s="9"/>
      <c r="S807" s="12"/>
      <c r="T807" s="9"/>
      <c r="U807" s="9"/>
      <c r="V807" s="9"/>
      <c r="W807" s="10" t="str">
        <f aca="false">IF(C807="","",IF(OR(G807="training",G807="full"),"Yes",IF(G807="none","No","?")))</f>
        <v/>
      </c>
      <c r="X807" s="10" t="str">
        <f aca="false">IF(C807="","",IF(OR(E807="",E807="unknown"),D807,E807))</f>
        <v/>
      </c>
      <c r="Y807" s="10" t="str">
        <f aca="false">IF(C807="","",IF(OR(T807="unsuitable",T807="retired",X807="no"),"—",IF(J807="","unrated",IF(AND(X807="full",J807&gt;=Settings!$C$5,OR(O807="untested",O807&gt;=Settings!$C$6)),"A",IF(AND(OR(X807="full",X807="reduced"),J807&gt;=Settings!$C$7,OR(O807="untested",O807&gt;=Settings!$C$8)),"B","C")))))</f>
        <v/>
      </c>
      <c r="Z807" s="11" t="str">
        <f aca="false">IF(C807="","",IF(P807&lt;&gt;"",P807,Y807))</f>
        <v/>
      </c>
    </row>
    <row r="808" customFormat="false" ht="15" hidden="false" customHeight="false" outlineLevel="0" collapsed="false">
      <c r="A808" s="9"/>
      <c r="B808" s="10" t="str">
        <f aca="false">IF(A808="","",IFERROR(INDEX(Parks!$A$2:$A$255,MATCH(A808,Parks!$B$2:$B$255,0)),"?"))</f>
        <v/>
      </c>
      <c r="C808" s="9"/>
      <c r="D808" s="10" t="str">
        <f aca="false">IF(C808="","",IF(SUMPRODUCT(--ISNUMBER(SEARCH({"Nets","Wicket","Diamond","Softball","T-ball","Baseball","Netball","Tennis","Bocce","Pentaque","Petanque","Skate","Car Park","Pond","Bridle","Amphitheatre","Perimeter","Passive"},C808)))&gt;0,"no",IF(SUMPRODUCT(--ISNUMBER(SEARCH({"Cricket","Junior","Mini","Summer Football","Small"},C808)))&gt;0,"reduced",IF(SUMPRODUCT(--ISNUMBER(SEARCH({"Rugby","Football","League","Touch","Gaelic","Australian","Lacrosse","General Sport","Training Area","Ultimate"},C808)))&gt;0,"full","unknown"))))</f>
        <v/>
      </c>
      <c r="E808" s="9"/>
      <c r="F808" s="9"/>
      <c r="G808" s="9"/>
      <c r="H808" s="9"/>
      <c r="I808" s="12"/>
      <c r="J808" s="9"/>
      <c r="K808" s="9"/>
      <c r="L808" s="9"/>
      <c r="M808" s="9"/>
      <c r="N808" s="9"/>
      <c r="O808" s="13" t="str">
        <f aca="false">IF(C808="","",IF(N(M808)+N(N808)&lt;Settings!$C$9,"untested",M808/(M808+N808)))</f>
        <v/>
      </c>
      <c r="P808" s="9"/>
      <c r="Q808" s="9"/>
      <c r="R808" s="9"/>
      <c r="S808" s="12"/>
      <c r="T808" s="9"/>
      <c r="U808" s="9"/>
      <c r="V808" s="9"/>
      <c r="W808" s="10" t="str">
        <f aca="false">IF(C808="","",IF(OR(G808="training",G808="full"),"Yes",IF(G808="none","No","?")))</f>
        <v/>
      </c>
      <c r="X808" s="10" t="str">
        <f aca="false">IF(C808="","",IF(OR(E808="",E808="unknown"),D808,E808))</f>
        <v/>
      </c>
      <c r="Y808" s="10" t="str">
        <f aca="false">IF(C808="","",IF(OR(T808="unsuitable",T808="retired",X808="no"),"—",IF(J808="","unrated",IF(AND(X808="full",J808&gt;=Settings!$C$5,OR(O808="untested",O808&gt;=Settings!$C$6)),"A",IF(AND(OR(X808="full",X808="reduced"),J808&gt;=Settings!$C$7,OR(O808="untested",O808&gt;=Settings!$C$8)),"B","C")))))</f>
        <v/>
      </c>
      <c r="Z808" s="11" t="str">
        <f aca="false">IF(C808="","",IF(P808&lt;&gt;"",P808,Y808))</f>
        <v/>
      </c>
    </row>
    <row r="809" customFormat="false" ht="15" hidden="false" customHeight="false" outlineLevel="0" collapsed="false">
      <c r="A809" s="9"/>
      <c r="B809" s="10" t="str">
        <f aca="false">IF(A809="","",IFERROR(INDEX(Parks!$A$2:$A$255,MATCH(A809,Parks!$B$2:$B$255,0)),"?"))</f>
        <v/>
      </c>
      <c r="C809" s="9"/>
      <c r="D809" s="10" t="str">
        <f aca="false">IF(C809="","",IF(SUMPRODUCT(--ISNUMBER(SEARCH({"Nets","Wicket","Diamond","Softball","T-ball","Baseball","Netball","Tennis","Bocce","Pentaque","Petanque","Skate","Car Park","Pond","Bridle","Amphitheatre","Perimeter","Passive"},C809)))&gt;0,"no",IF(SUMPRODUCT(--ISNUMBER(SEARCH({"Cricket","Junior","Mini","Summer Football","Small"},C809)))&gt;0,"reduced",IF(SUMPRODUCT(--ISNUMBER(SEARCH({"Rugby","Football","League","Touch","Gaelic","Australian","Lacrosse","General Sport","Training Area","Ultimate"},C809)))&gt;0,"full","unknown"))))</f>
        <v/>
      </c>
      <c r="E809" s="9"/>
      <c r="F809" s="9"/>
      <c r="G809" s="9"/>
      <c r="H809" s="9"/>
      <c r="I809" s="12"/>
      <c r="J809" s="9"/>
      <c r="K809" s="9"/>
      <c r="L809" s="9"/>
      <c r="M809" s="9"/>
      <c r="N809" s="9"/>
      <c r="O809" s="13" t="str">
        <f aca="false">IF(C809="","",IF(N(M809)+N(N809)&lt;Settings!$C$9,"untested",M809/(M809+N809)))</f>
        <v/>
      </c>
      <c r="P809" s="9"/>
      <c r="Q809" s="9"/>
      <c r="R809" s="9"/>
      <c r="S809" s="12"/>
      <c r="T809" s="9"/>
      <c r="U809" s="9"/>
      <c r="V809" s="9"/>
      <c r="W809" s="10" t="str">
        <f aca="false">IF(C809="","",IF(OR(G809="training",G809="full"),"Yes",IF(G809="none","No","?")))</f>
        <v/>
      </c>
      <c r="X809" s="10" t="str">
        <f aca="false">IF(C809="","",IF(OR(E809="",E809="unknown"),D809,E809))</f>
        <v/>
      </c>
      <c r="Y809" s="10" t="str">
        <f aca="false">IF(C809="","",IF(OR(T809="unsuitable",T809="retired",X809="no"),"—",IF(J809="","unrated",IF(AND(X809="full",J809&gt;=Settings!$C$5,OR(O809="untested",O809&gt;=Settings!$C$6)),"A",IF(AND(OR(X809="full",X809="reduced"),J809&gt;=Settings!$C$7,OR(O809="untested",O809&gt;=Settings!$C$8)),"B","C")))))</f>
        <v/>
      </c>
      <c r="Z809" s="11" t="str">
        <f aca="false">IF(C809="","",IF(P809&lt;&gt;"",P809,Y809))</f>
        <v/>
      </c>
    </row>
    <row r="810" customFormat="false" ht="15" hidden="false" customHeight="false" outlineLevel="0" collapsed="false">
      <c r="A810" s="9"/>
      <c r="B810" s="10" t="str">
        <f aca="false">IF(A810="","",IFERROR(INDEX(Parks!$A$2:$A$255,MATCH(A810,Parks!$B$2:$B$255,0)),"?"))</f>
        <v/>
      </c>
      <c r="C810" s="9"/>
      <c r="D810" s="10" t="str">
        <f aca="false">IF(C810="","",IF(SUMPRODUCT(--ISNUMBER(SEARCH({"Nets","Wicket","Diamond","Softball","T-ball","Baseball","Netball","Tennis","Bocce","Pentaque","Petanque","Skate","Car Park","Pond","Bridle","Amphitheatre","Perimeter","Passive"},C810)))&gt;0,"no",IF(SUMPRODUCT(--ISNUMBER(SEARCH({"Cricket","Junior","Mini","Summer Football","Small"},C810)))&gt;0,"reduced",IF(SUMPRODUCT(--ISNUMBER(SEARCH({"Rugby","Football","League","Touch","Gaelic","Australian","Lacrosse","General Sport","Training Area","Ultimate"},C810)))&gt;0,"full","unknown"))))</f>
        <v/>
      </c>
      <c r="E810" s="9"/>
      <c r="F810" s="9"/>
      <c r="G810" s="9"/>
      <c r="H810" s="9"/>
      <c r="I810" s="12"/>
      <c r="J810" s="9"/>
      <c r="K810" s="9"/>
      <c r="L810" s="9"/>
      <c r="M810" s="9"/>
      <c r="N810" s="9"/>
      <c r="O810" s="13" t="str">
        <f aca="false">IF(C810="","",IF(N(M810)+N(N810)&lt;Settings!$C$9,"untested",M810/(M810+N810)))</f>
        <v/>
      </c>
      <c r="P810" s="9"/>
      <c r="Q810" s="9"/>
      <c r="R810" s="9"/>
      <c r="S810" s="12"/>
      <c r="T810" s="9"/>
      <c r="U810" s="9"/>
      <c r="V810" s="9"/>
      <c r="W810" s="10" t="str">
        <f aca="false">IF(C810="","",IF(OR(G810="training",G810="full"),"Yes",IF(G810="none","No","?")))</f>
        <v/>
      </c>
      <c r="X810" s="10" t="str">
        <f aca="false">IF(C810="","",IF(OR(E810="",E810="unknown"),D810,E810))</f>
        <v/>
      </c>
      <c r="Y810" s="10" t="str">
        <f aca="false">IF(C810="","",IF(OR(T810="unsuitable",T810="retired",X810="no"),"—",IF(J810="","unrated",IF(AND(X810="full",J810&gt;=Settings!$C$5,OR(O810="untested",O810&gt;=Settings!$C$6)),"A",IF(AND(OR(X810="full",X810="reduced"),J810&gt;=Settings!$C$7,OR(O810="untested",O810&gt;=Settings!$C$8)),"B","C")))))</f>
        <v/>
      </c>
      <c r="Z810" s="11" t="str">
        <f aca="false">IF(C810="","",IF(P810&lt;&gt;"",P810,Y810))</f>
        <v/>
      </c>
    </row>
    <row r="811" customFormat="false" ht="15" hidden="false" customHeight="false" outlineLevel="0" collapsed="false">
      <c r="A811" s="9"/>
      <c r="B811" s="10" t="str">
        <f aca="false">IF(A811="","",IFERROR(INDEX(Parks!$A$2:$A$255,MATCH(A811,Parks!$B$2:$B$255,0)),"?"))</f>
        <v/>
      </c>
      <c r="C811" s="9"/>
      <c r="D811" s="10" t="str">
        <f aca="false">IF(C811="","",IF(SUMPRODUCT(--ISNUMBER(SEARCH({"Nets","Wicket","Diamond","Softball","T-ball","Baseball","Netball","Tennis","Bocce","Pentaque","Petanque","Skate","Car Park","Pond","Bridle","Amphitheatre","Perimeter","Passive"},C811)))&gt;0,"no",IF(SUMPRODUCT(--ISNUMBER(SEARCH({"Cricket","Junior","Mini","Summer Football","Small"},C811)))&gt;0,"reduced",IF(SUMPRODUCT(--ISNUMBER(SEARCH({"Rugby","Football","League","Touch","Gaelic","Australian","Lacrosse","General Sport","Training Area","Ultimate"},C811)))&gt;0,"full","unknown"))))</f>
        <v/>
      </c>
      <c r="E811" s="9"/>
      <c r="F811" s="9"/>
      <c r="G811" s="9"/>
      <c r="H811" s="9"/>
      <c r="I811" s="12"/>
      <c r="J811" s="9"/>
      <c r="K811" s="9"/>
      <c r="L811" s="9"/>
      <c r="M811" s="9"/>
      <c r="N811" s="9"/>
      <c r="O811" s="13" t="str">
        <f aca="false">IF(C811="","",IF(N(M811)+N(N811)&lt;Settings!$C$9,"untested",M811/(M811+N811)))</f>
        <v/>
      </c>
      <c r="P811" s="9"/>
      <c r="Q811" s="9"/>
      <c r="R811" s="9"/>
      <c r="S811" s="12"/>
      <c r="T811" s="9"/>
      <c r="U811" s="9"/>
      <c r="V811" s="9"/>
      <c r="W811" s="10" t="str">
        <f aca="false">IF(C811="","",IF(OR(G811="training",G811="full"),"Yes",IF(G811="none","No","?")))</f>
        <v/>
      </c>
      <c r="X811" s="10" t="str">
        <f aca="false">IF(C811="","",IF(OR(E811="",E811="unknown"),D811,E811))</f>
        <v/>
      </c>
      <c r="Y811" s="10" t="str">
        <f aca="false">IF(C811="","",IF(OR(T811="unsuitable",T811="retired",X811="no"),"—",IF(J811="","unrated",IF(AND(X811="full",J811&gt;=Settings!$C$5,OR(O811="untested",O811&gt;=Settings!$C$6)),"A",IF(AND(OR(X811="full",X811="reduced"),J811&gt;=Settings!$C$7,OR(O811="untested",O811&gt;=Settings!$C$8)),"B","C")))))</f>
        <v/>
      </c>
      <c r="Z811" s="11" t="str">
        <f aca="false">IF(C811="","",IF(P811&lt;&gt;"",P811,Y811))</f>
        <v/>
      </c>
    </row>
    <row r="812" customFormat="false" ht="15" hidden="false" customHeight="false" outlineLevel="0" collapsed="false">
      <c r="A812" s="9"/>
      <c r="B812" s="10" t="str">
        <f aca="false">IF(A812="","",IFERROR(INDEX(Parks!$A$2:$A$255,MATCH(A812,Parks!$B$2:$B$255,0)),"?"))</f>
        <v/>
      </c>
      <c r="C812" s="9"/>
      <c r="D812" s="10" t="str">
        <f aca="false">IF(C812="","",IF(SUMPRODUCT(--ISNUMBER(SEARCH({"Nets","Wicket","Diamond","Softball","T-ball","Baseball","Netball","Tennis","Bocce","Pentaque","Petanque","Skate","Car Park","Pond","Bridle","Amphitheatre","Perimeter","Passive"},C812)))&gt;0,"no",IF(SUMPRODUCT(--ISNUMBER(SEARCH({"Cricket","Junior","Mini","Summer Football","Small"},C812)))&gt;0,"reduced",IF(SUMPRODUCT(--ISNUMBER(SEARCH({"Rugby","Football","League","Touch","Gaelic","Australian","Lacrosse","General Sport","Training Area","Ultimate"},C812)))&gt;0,"full","unknown"))))</f>
        <v/>
      </c>
      <c r="E812" s="9"/>
      <c r="F812" s="9"/>
      <c r="G812" s="9"/>
      <c r="H812" s="9"/>
      <c r="I812" s="12"/>
      <c r="J812" s="9"/>
      <c r="K812" s="9"/>
      <c r="L812" s="9"/>
      <c r="M812" s="9"/>
      <c r="N812" s="9"/>
      <c r="O812" s="13" t="str">
        <f aca="false">IF(C812="","",IF(N(M812)+N(N812)&lt;Settings!$C$9,"untested",M812/(M812+N812)))</f>
        <v/>
      </c>
      <c r="P812" s="9"/>
      <c r="Q812" s="9"/>
      <c r="R812" s="9"/>
      <c r="S812" s="12"/>
      <c r="T812" s="9"/>
      <c r="U812" s="9"/>
      <c r="V812" s="9"/>
      <c r="W812" s="10" t="str">
        <f aca="false">IF(C812="","",IF(OR(G812="training",G812="full"),"Yes",IF(G812="none","No","?")))</f>
        <v/>
      </c>
      <c r="X812" s="10" t="str">
        <f aca="false">IF(C812="","",IF(OR(E812="",E812="unknown"),D812,E812))</f>
        <v/>
      </c>
      <c r="Y812" s="10" t="str">
        <f aca="false">IF(C812="","",IF(OR(T812="unsuitable",T812="retired",X812="no"),"—",IF(J812="","unrated",IF(AND(X812="full",J812&gt;=Settings!$C$5,OR(O812="untested",O812&gt;=Settings!$C$6)),"A",IF(AND(OR(X812="full",X812="reduced"),J812&gt;=Settings!$C$7,OR(O812="untested",O812&gt;=Settings!$C$8)),"B","C")))))</f>
        <v/>
      </c>
      <c r="Z812" s="11" t="str">
        <f aca="false">IF(C812="","",IF(P812&lt;&gt;"",P812,Y812))</f>
        <v/>
      </c>
    </row>
    <row r="813" customFormat="false" ht="15" hidden="false" customHeight="false" outlineLevel="0" collapsed="false">
      <c r="A813" s="9"/>
      <c r="B813" s="10" t="str">
        <f aca="false">IF(A813="","",IFERROR(INDEX(Parks!$A$2:$A$255,MATCH(A813,Parks!$B$2:$B$255,0)),"?"))</f>
        <v/>
      </c>
      <c r="C813" s="9"/>
      <c r="D813" s="10" t="str">
        <f aca="false">IF(C813="","",IF(SUMPRODUCT(--ISNUMBER(SEARCH({"Nets","Wicket","Diamond","Softball","T-ball","Baseball","Netball","Tennis","Bocce","Pentaque","Petanque","Skate","Car Park","Pond","Bridle","Amphitheatre","Perimeter","Passive"},C813)))&gt;0,"no",IF(SUMPRODUCT(--ISNUMBER(SEARCH({"Cricket","Junior","Mini","Summer Football","Small"},C813)))&gt;0,"reduced",IF(SUMPRODUCT(--ISNUMBER(SEARCH({"Rugby","Football","League","Touch","Gaelic","Australian","Lacrosse","General Sport","Training Area","Ultimate"},C813)))&gt;0,"full","unknown"))))</f>
        <v/>
      </c>
      <c r="E813" s="9"/>
      <c r="F813" s="9"/>
      <c r="G813" s="9"/>
      <c r="H813" s="9"/>
      <c r="I813" s="12"/>
      <c r="J813" s="9"/>
      <c r="K813" s="9"/>
      <c r="L813" s="9"/>
      <c r="M813" s="9"/>
      <c r="N813" s="9"/>
      <c r="O813" s="13" t="str">
        <f aca="false">IF(C813="","",IF(N(M813)+N(N813)&lt;Settings!$C$9,"untested",M813/(M813+N813)))</f>
        <v/>
      </c>
      <c r="P813" s="9"/>
      <c r="Q813" s="9"/>
      <c r="R813" s="9"/>
      <c r="S813" s="12"/>
      <c r="T813" s="9"/>
      <c r="U813" s="9"/>
      <c r="V813" s="9"/>
      <c r="W813" s="10" t="str">
        <f aca="false">IF(C813="","",IF(OR(G813="training",G813="full"),"Yes",IF(G813="none","No","?")))</f>
        <v/>
      </c>
      <c r="X813" s="10" t="str">
        <f aca="false">IF(C813="","",IF(OR(E813="",E813="unknown"),D813,E813))</f>
        <v/>
      </c>
      <c r="Y813" s="10" t="str">
        <f aca="false">IF(C813="","",IF(OR(T813="unsuitable",T813="retired",X813="no"),"—",IF(J813="","unrated",IF(AND(X813="full",J813&gt;=Settings!$C$5,OR(O813="untested",O813&gt;=Settings!$C$6)),"A",IF(AND(OR(X813="full",X813="reduced"),J813&gt;=Settings!$C$7,OR(O813="untested",O813&gt;=Settings!$C$8)),"B","C")))))</f>
        <v/>
      </c>
      <c r="Z813" s="11" t="str">
        <f aca="false">IF(C813="","",IF(P813&lt;&gt;"",P813,Y813))</f>
        <v/>
      </c>
    </row>
    <row r="814" customFormat="false" ht="15" hidden="false" customHeight="false" outlineLevel="0" collapsed="false">
      <c r="A814" s="9"/>
      <c r="B814" s="10" t="str">
        <f aca="false">IF(A814="","",IFERROR(INDEX(Parks!$A$2:$A$255,MATCH(A814,Parks!$B$2:$B$255,0)),"?"))</f>
        <v/>
      </c>
      <c r="C814" s="9"/>
      <c r="D814" s="10" t="str">
        <f aca="false">IF(C814="","",IF(SUMPRODUCT(--ISNUMBER(SEARCH({"Nets","Wicket","Diamond","Softball","T-ball","Baseball","Netball","Tennis","Bocce","Pentaque","Petanque","Skate","Car Park","Pond","Bridle","Amphitheatre","Perimeter","Passive"},C814)))&gt;0,"no",IF(SUMPRODUCT(--ISNUMBER(SEARCH({"Cricket","Junior","Mini","Summer Football","Small"},C814)))&gt;0,"reduced",IF(SUMPRODUCT(--ISNUMBER(SEARCH({"Rugby","Football","League","Touch","Gaelic","Australian","Lacrosse","General Sport","Training Area","Ultimate"},C814)))&gt;0,"full","unknown"))))</f>
        <v/>
      </c>
      <c r="E814" s="9"/>
      <c r="F814" s="9"/>
      <c r="G814" s="9"/>
      <c r="H814" s="9"/>
      <c r="I814" s="12"/>
      <c r="J814" s="9"/>
      <c r="K814" s="9"/>
      <c r="L814" s="9"/>
      <c r="M814" s="9"/>
      <c r="N814" s="9"/>
      <c r="O814" s="13" t="str">
        <f aca="false">IF(C814="","",IF(N(M814)+N(N814)&lt;Settings!$C$9,"untested",M814/(M814+N814)))</f>
        <v/>
      </c>
      <c r="P814" s="9"/>
      <c r="Q814" s="9"/>
      <c r="R814" s="9"/>
      <c r="S814" s="12"/>
      <c r="T814" s="9"/>
      <c r="U814" s="9"/>
      <c r="V814" s="9"/>
      <c r="W814" s="10" t="str">
        <f aca="false">IF(C814="","",IF(OR(G814="training",G814="full"),"Yes",IF(G814="none","No","?")))</f>
        <v/>
      </c>
      <c r="X814" s="10" t="str">
        <f aca="false">IF(C814="","",IF(OR(E814="",E814="unknown"),D814,E814))</f>
        <v/>
      </c>
      <c r="Y814" s="10" t="str">
        <f aca="false">IF(C814="","",IF(OR(T814="unsuitable",T814="retired",X814="no"),"—",IF(J814="","unrated",IF(AND(X814="full",J814&gt;=Settings!$C$5,OR(O814="untested",O814&gt;=Settings!$C$6)),"A",IF(AND(OR(X814="full",X814="reduced"),J814&gt;=Settings!$C$7,OR(O814="untested",O814&gt;=Settings!$C$8)),"B","C")))))</f>
        <v/>
      </c>
      <c r="Z814" s="11" t="str">
        <f aca="false">IF(C814="","",IF(P814&lt;&gt;"",P814,Y814))</f>
        <v/>
      </c>
    </row>
    <row r="815" customFormat="false" ht="15" hidden="false" customHeight="false" outlineLevel="0" collapsed="false">
      <c r="A815" s="9"/>
      <c r="B815" s="10" t="str">
        <f aca="false">IF(A815="","",IFERROR(INDEX(Parks!$A$2:$A$255,MATCH(A815,Parks!$B$2:$B$255,0)),"?"))</f>
        <v/>
      </c>
      <c r="C815" s="9"/>
      <c r="D815" s="10" t="str">
        <f aca="false">IF(C815="","",IF(SUMPRODUCT(--ISNUMBER(SEARCH({"Nets","Wicket","Diamond","Softball","T-ball","Baseball","Netball","Tennis","Bocce","Pentaque","Petanque","Skate","Car Park","Pond","Bridle","Amphitheatre","Perimeter","Passive"},C815)))&gt;0,"no",IF(SUMPRODUCT(--ISNUMBER(SEARCH({"Cricket","Junior","Mini","Summer Football","Small"},C815)))&gt;0,"reduced",IF(SUMPRODUCT(--ISNUMBER(SEARCH({"Rugby","Football","League","Touch","Gaelic","Australian","Lacrosse","General Sport","Training Area","Ultimate"},C815)))&gt;0,"full","unknown"))))</f>
        <v/>
      </c>
      <c r="E815" s="9"/>
      <c r="F815" s="9"/>
      <c r="G815" s="9"/>
      <c r="H815" s="9"/>
      <c r="I815" s="12"/>
      <c r="J815" s="9"/>
      <c r="K815" s="9"/>
      <c r="L815" s="9"/>
      <c r="M815" s="9"/>
      <c r="N815" s="9"/>
      <c r="O815" s="13" t="str">
        <f aca="false">IF(C815="","",IF(N(M815)+N(N815)&lt;Settings!$C$9,"untested",M815/(M815+N815)))</f>
        <v/>
      </c>
      <c r="P815" s="9"/>
      <c r="Q815" s="9"/>
      <c r="R815" s="9"/>
      <c r="S815" s="12"/>
      <c r="T815" s="9"/>
      <c r="U815" s="9"/>
      <c r="V815" s="9"/>
      <c r="W815" s="10" t="str">
        <f aca="false">IF(C815="","",IF(OR(G815="training",G815="full"),"Yes",IF(G815="none","No","?")))</f>
        <v/>
      </c>
      <c r="X815" s="10" t="str">
        <f aca="false">IF(C815="","",IF(OR(E815="",E815="unknown"),D815,E815))</f>
        <v/>
      </c>
      <c r="Y815" s="10" t="str">
        <f aca="false">IF(C815="","",IF(OR(T815="unsuitable",T815="retired",X815="no"),"—",IF(J815="","unrated",IF(AND(X815="full",J815&gt;=Settings!$C$5,OR(O815="untested",O815&gt;=Settings!$C$6)),"A",IF(AND(OR(X815="full",X815="reduced"),J815&gt;=Settings!$C$7,OR(O815="untested",O815&gt;=Settings!$C$8)),"B","C")))))</f>
        <v/>
      </c>
      <c r="Z815" s="11" t="str">
        <f aca="false">IF(C815="","",IF(P815&lt;&gt;"",P815,Y815))</f>
        <v/>
      </c>
    </row>
    <row r="816" customFormat="false" ht="15" hidden="false" customHeight="false" outlineLevel="0" collapsed="false">
      <c r="A816" s="9"/>
      <c r="B816" s="10" t="str">
        <f aca="false">IF(A816="","",IFERROR(INDEX(Parks!$A$2:$A$255,MATCH(A816,Parks!$B$2:$B$255,0)),"?"))</f>
        <v/>
      </c>
      <c r="C816" s="9"/>
      <c r="D816" s="10" t="str">
        <f aca="false">IF(C816="","",IF(SUMPRODUCT(--ISNUMBER(SEARCH({"Nets","Wicket","Diamond","Softball","T-ball","Baseball","Netball","Tennis","Bocce","Pentaque","Petanque","Skate","Car Park","Pond","Bridle","Amphitheatre","Perimeter","Passive"},C816)))&gt;0,"no",IF(SUMPRODUCT(--ISNUMBER(SEARCH({"Cricket","Junior","Mini","Summer Football","Small"},C816)))&gt;0,"reduced",IF(SUMPRODUCT(--ISNUMBER(SEARCH({"Rugby","Football","League","Touch","Gaelic","Australian","Lacrosse","General Sport","Training Area","Ultimate"},C816)))&gt;0,"full","unknown"))))</f>
        <v/>
      </c>
      <c r="E816" s="9"/>
      <c r="F816" s="9"/>
      <c r="G816" s="9"/>
      <c r="H816" s="9"/>
      <c r="I816" s="12"/>
      <c r="J816" s="9"/>
      <c r="K816" s="9"/>
      <c r="L816" s="9"/>
      <c r="M816" s="9"/>
      <c r="N816" s="9"/>
      <c r="O816" s="13" t="str">
        <f aca="false">IF(C816="","",IF(N(M816)+N(N816)&lt;Settings!$C$9,"untested",M816/(M816+N816)))</f>
        <v/>
      </c>
      <c r="P816" s="9"/>
      <c r="Q816" s="9"/>
      <c r="R816" s="9"/>
      <c r="S816" s="12"/>
      <c r="T816" s="9"/>
      <c r="U816" s="9"/>
      <c r="V816" s="9"/>
      <c r="W816" s="10" t="str">
        <f aca="false">IF(C816="","",IF(OR(G816="training",G816="full"),"Yes",IF(G816="none","No","?")))</f>
        <v/>
      </c>
      <c r="X816" s="10" t="str">
        <f aca="false">IF(C816="","",IF(OR(E816="",E816="unknown"),D816,E816))</f>
        <v/>
      </c>
      <c r="Y816" s="10" t="str">
        <f aca="false">IF(C816="","",IF(OR(T816="unsuitable",T816="retired",X816="no"),"—",IF(J816="","unrated",IF(AND(X816="full",J816&gt;=Settings!$C$5,OR(O816="untested",O816&gt;=Settings!$C$6)),"A",IF(AND(OR(X816="full",X816="reduced"),J816&gt;=Settings!$C$7,OR(O816="untested",O816&gt;=Settings!$C$8)),"B","C")))))</f>
        <v/>
      </c>
      <c r="Z816" s="11" t="str">
        <f aca="false">IF(C816="","",IF(P816&lt;&gt;"",P816,Y816))</f>
        <v/>
      </c>
    </row>
    <row r="817" customFormat="false" ht="15" hidden="false" customHeight="false" outlineLevel="0" collapsed="false">
      <c r="A817" s="9"/>
      <c r="B817" s="10" t="str">
        <f aca="false">IF(A817="","",IFERROR(INDEX(Parks!$A$2:$A$255,MATCH(A817,Parks!$B$2:$B$255,0)),"?"))</f>
        <v/>
      </c>
      <c r="C817" s="9"/>
      <c r="D817" s="10" t="str">
        <f aca="false">IF(C817="","",IF(SUMPRODUCT(--ISNUMBER(SEARCH({"Nets","Wicket","Diamond","Softball","T-ball","Baseball","Netball","Tennis","Bocce","Pentaque","Petanque","Skate","Car Park","Pond","Bridle","Amphitheatre","Perimeter","Passive"},C817)))&gt;0,"no",IF(SUMPRODUCT(--ISNUMBER(SEARCH({"Cricket","Junior","Mini","Summer Football","Small"},C817)))&gt;0,"reduced",IF(SUMPRODUCT(--ISNUMBER(SEARCH({"Rugby","Football","League","Touch","Gaelic","Australian","Lacrosse","General Sport","Training Area","Ultimate"},C817)))&gt;0,"full","unknown"))))</f>
        <v/>
      </c>
      <c r="E817" s="9"/>
      <c r="F817" s="9"/>
      <c r="G817" s="9"/>
      <c r="H817" s="9"/>
      <c r="I817" s="12"/>
      <c r="J817" s="9"/>
      <c r="K817" s="9"/>
      <c r="L817" s="9"/>
      <c r="M817" s="9"/>
      <c r="N817" s="9"/>
      <c r="O817" s="13" t="str">
        <f aca="false">IF(C817="","",IF(N(M817)+N(N817)&lt;Settings!$C$9,"untested",M817/(M817+N817)))</f>
        <v/>
      </c>
      <c r="P817" s="9"/>
      <c r="Q817" s="9"/>
      <c r="R817" s="9"/>
      <c r="S817" s="12"/>
      <c r="T817" s="9"/>
      <c r="U817" s="9"/>
      <c r="V817" s="9"/>
      <c r="W817" s="10" t="str">
        <f aca="false">IF(C817="","",IF(OR(G817="training",G817="full"),"Yes",IF(G817="none","No","?")))</f>
        <v/>
      </c>
      <c r="X817" s="10" t="str">
        <f aca="false">IF(C817="","",IF(OR(E817="",E817="unknown"),D817,E817))</f>
        <v/>
      </c>
      <c r="Y817" s="10" t="str">
        <f aca="false">IF(C817="","",IF(OR(T817="unsuitable",T817="retired",X817="no"),"—",IF(J817="","unrated",IF(AND(X817="full",J817&gt;=Settings!$C$5,OR(O817="untested",O817&gt;=Settings!$C$6)),"A",IF(AND(OR(X817="full",X817="reduced"),J817&gt;=Settings!$C$7,OR(O817="untested",O817&gt;=Settings!$C$8)),"B","C")))))</f>
        <v/>
      </c>
      <c r="Z817" s="11" t="str">
        <f aca="false">IF(C817="","",IF(P817&lt;&gt;"",P817,Y817))</f>
        <v/>
      </c>
    </row>
    <row r="818" customFormat="false" ht="15" hidden="false" customHeight="false" outlineLevel="0" collapsed="false">
      <c r="A818" s="9"/>
      <c r="B818" s="10" t="str">
        <f aca="false">IF(A818="","",IFERROR(INDEX(Parks!$A$2:$A$255,MATCH(A818,Parks!$B$2:$B$255,0)),"?"))</f>
        <v/>
      </c>
      <c r="C818" s="9"/>
      <c r="D818" s="10" t="str">
        <f aca="false">IF(C818="","",IF(SUMPRODUCT(--ISNUMBER(SEARCH({"Nets","Wicket","Diamond","Softball","T-ball","Baseball","Netball","Tennis","Bocce","Pentaque","Petanque","Skate","Car Park","Pond","Bridle","Amphitheatre","Perimeter","Passive"},C818)))&gt;0,"no",IF(SUMPRODUCT(--ISNUMBER(SEARCH({"Cricket","Junior","Mini","Summer Football","Small"},C818)))&gt;0,"reduced",IF(SUMPRODUCT(--ISNUMBER(SEARCH({"Rugby","Football","League","Touch","Gaelic","Australian","Lacrosse","General Sport","Training Area","Ultimate"},C818)))&gt;0,"full","unknown"))))</f>
        <v/>
      </c>
      <c r="E818" s="9"/>
      <c r="F818" s="9"/>
      <c r="G818" s="9"/>
      <c r="H818" s="9"/>
      <c r="I818" s="12"/>
      <c r="J818" s="9"/>
      <c r="K818" s="9"/>
      <c r="L818" s="9"/>
      <c r="M818" s="9"/>
      <c r="N818" s="9"/>
      <c r="O818" s="13" t="str">
        <f aca="false">IF(C818="","",IF(N(M818)+N(N818)&lt;Settings!$C$9,"untested",M818/(M818+N818)))</f>
        <v/>
      </c>
      <c r="P818" s="9"/>
      <c r="Q818" s="9"/>
      <c r="R818" s="9"/>
      <c r="S818" s="12"/>
      <c r="T818" s="9"/>
      <c r="U818" s="9"/>
      <c r="V818" s="9"/>
      <c r="W818" s="10" t="str">
        <f aca="false">IF(C818="","",IF(OR(G818="training",G818="full"),"Yes",IF(G818="none","No","?")))</f>
        <v/>
      </c>
      <c r="X818" s="10" t="str">
        <f aca="false">IF(C818="","",IF(OR(E818="",E818="unknown"),D818,E818))</f>
        <v/>
      </c>
      <c r="Y818" s="10" t="str">
        <f aca="false">IF(C818="","",IF(OR(T818="unsuitable",T818="retired",X818="no"),"—",IF(J818="","unrated",IF(AND(X818="full",J818&gt;=Settings!$C$5,OR(O818="untested",O818&gt;=Settings!$C$6)),"A",IF(AND(OR(X818="full",X818="reduced"),J818&gt;=Settings!$C$7,OR(O818="untested",O818&gt;=Settings!$C$8)),"B","C")))))</f>
        <v/>
      </c>
      <c r="Z818" s="11" t="str">
        <f aca="false">IF(C818="","",IF(P818&lt;&gt;"",P818,Y818))</f>
        <v/>
      </c>
    </row>
    <row r="819" customFormat="false" ht="15" hidden="false" customHeight="false" outlineLevel="0" collapsed="false">
      <c r="A819" s="9"/>
      <c r="B819" s="10" t="str">
        <f aca="false">IF(A819="","",IFERROR(INDEX(Parks!$A$2:$A$255,MATCH(A819,Parks!$B$2:$B$255,0)),"?"))</f>
        <v/>
      </c>
      <c r="C819" s="9"/>
      <c r="D819" s="10" t="str">
        <f aca="false">IF(C819="","",IF(SUMPRODUCT(--ISNUMBER(SEARCH({"Nets","Wicket","Diamond","Softball","T-ball","Baseball","Netball","Tennis","Bocce","Pentaque","Petanque","Skate","Car Park","Pond","Bridle","Amphitheatre","Perimeter","Passive"},C819)))&gt;0,"no",IF(SUMPRODUCT(--ISNUMBER(SEARCH({"Cricket","Junior","Mini","Summer Football","Small"},C819)))&gt;0,"reduced",IF(SUMPRODUCT(--ISNUMBER(SEARCH({"Rugby","Football","League","Touch","Gaelic","Australian","Lacrosse","General Sport","Training Area","Ultimate"},C819)))&gt;0,"full","unknown"))))</f>
        <v/>
      </c>
      <c r="E819" s="9"/>
      <c r="F819" s="9"/>
      <c r="G819" s="9"/>
      <c r="H819" s="9"/>
      <c r="I819" s="12"/>
      <c r="J819" s="9"/>
      <c r="K819" s="9"/>
      <c r="L819" s="9"/>
      <c r="M819" s="9"/>
      <c r="N819" s="9"/>
      <c r="O819" s="13" t="str">
        <f aca="false">IF(C819="","",IF(N(M819)+N(N819)&lt;Settings!$C$9,"untested",M819/(M819+N819)))</f>
        <v/>
      </c>
      <c r="P819" s="9"/>
      <c r="Q819" s="9"/>
      <c r="R819" s="9"/>
      <c r="S819" s="12"/>
      <c r="T819" s="9"/>
      <c r="U819" s="9"/>
      <c r="V819" s="9"/>
      <c r="W819" s="10" t="str">
        <f aca="false">IF(C819="","",IF(OR(G819="training",G819="full"),"Yes",IF(G819="none","No","?")))</f>
        <v/>
      </c>
      <c r="X819" s="10" t="str">
        <f aca="false">IF(C819="","",IF(OR(E819="",E819="unknown"),D819,E819))</f>
        <v/>
      </c>
      <c r="Y819" s="10" t="str">
        <f aca="false">IF(C819="","",IF(OR(T819="unsuitable",T819="retired",X819="no"),"—",IF(J819="","unrated",IF(AND(X819="full",J819&gt;=Settings!$C$5,OR(O819="untested",O819&gt;=Settings!$C$6)),"A",IF(AND(OR(X819="full",X819="reduced"),J819&gt;=Settings!$C$7,OR(O819="untested",O819&gt;=Settings!$C$8)),"B","C")))))</f>
        <v/>
      </c>
      <c r="Z819" s="11" t="str">
        <f aca="false">IF(C819="","",IF(P819&lt;&gt;"",P819,Y819))</f>
        <v/>
      </c>
    </row>
    <row r="820" customFormat="false" ht="15" hidden="false" customHeight="false" outlineLevel="0" collapsed="false">
      <c r="A820" s="9"/>
      <c r="B820" s="10" t="str">
        <f aca="false">IF(A820="","",IFERROR(INDEX(Parks!$A$2:$A$255,MATCH(A820,Parks!$B$2:$B$255,0)),"?"))</f>
        <v/>
      </c>
      <c r="C820" s="9"/>
      <c r="D820" s="10" t="str">
        <f aca="false">IF(C820="","",IF(SUMPRODUCT(--ISNUMBER(SEARCH({"Nets","Wicket","Diamond","Softball","T-ball","Baseball","Netball","Tennis","Bocce","Pentaque","Petanque","Skate","Car Park","Pond","Bridle","Amphitheatre","Perimeter","Passive"},C820)))&gt;0,"no",IF(SUMPRODUCT(--ISNUMBER(SEARCH({"Cricket","Junior","Mini","Summer Football","Small"},C820)))&gt;0,"reduced",IF(SUMPRODUCT(--ISNUMBER(SEARCH({"Rugby","Football","League","Touch","Gaelic","Australian","Lacrosse","General Sport","Training Area","Ultimate"},C820)))&gt;0,"full","unknown"))))</f>
        <v/>
      </c>
      <c r="E820" s="9"/>
      <c r="F820" s="9"/>
      <c r="G820" s="9"/>
      <c r="H820" s="9"/>
      <c r="I820" s="12"/>
      <c r="J820" s="9"/>
      <c r="K820" s="9"/>
      <c r="L820" s="9"/>
      <c r="M820" s="9"/>
      <c r="N820" s="9"/>
      <c r="O820" s="13" t="str">
        <f aca="false">IF(C820="","",IF(N(M820)+N(N820)&lt;Settings!$C$9,"untested",M820/(M820+N820)))</f>
        <v/>
      </c>
      <c r="P820" s="9"/>
      <c r="Q820" s="9"/>
      <c r="R820" s="9"/>
      <c r="S820" s="12"/>
      <c r="T820" s="9"/>
      <c r="U820" s="9"/>
      <c r="V820" s="9"/>
      <c r="W820" s="10" t="str">
        <f aca="false">IF(C820="","",IF(OR(G820="training",G820="full"),"Yes",IF(G820="none","No","?")))</f>
        <v/>
      </c>
      <c r="X820" s="10" t="str">
        <f aca="false">IF(C820="","",IF(OR(E820="",E820="unknown"),D820,E820))</f>
        <v/>
      </c>
      <c r="Y820" s="10" t="str">
        <f aca="false">IF(C820="","",IF(OR(T820="unsuitable",T820="retired",X820="no"),"—",IF(J820="","unrated",IF(AND(X820="full",J820&gt;=Settings!$C$5,OR(O820="untested",O820&gt;=Settings!$C$6)),"A",IF(AND(OR(X820="full",X820="reduced"),J820&gt;=Settings!$C$7,OR(O820="untested",O820&gt;=Settings!$C$8)),"B","C")))))</f>
        <v/>
      </c>
      <c r="Z820" s="11" t="str">
        <f aca="false">IF(C820="","",IF(P820&lt;&gt;"",P820,Y820))</f>
        <v/>
      </c>
    </row>
    <row r="821" customFormat="false" ht="15" hidden="false" customHeight="false" outlineLevel="0" collapsed="false">
      <c r="A821" s="9"/>
      <c r="B821" s="10" t="str">
        <f aca="false">IF(A821="","",IFERROR(INDEX(Parks!$A$2:$A$255,MATCH(A821,Parks!$B$2:$B$255,0)),"?"))</f>
        <v/>
      </c>
      <c r="C821" s="9"/>
      <c r="D821" s="10" t="str">
        <f aca="false">IF(C821="","",IF(SUMPRODUCT(--ISNUMBER(SEARCH({"Nets","Wicket","Diamond","Softball","T-ball","Baseball","Netball","Tennis","Bocce","Pentaque","Petanque","Skate","Car Park","Pond","Bridle","Amphitheatre","Perimeter","Passive"},C821)))&gt;0,"no",IF(SUMPRODUCT(--ISNUMBER(SEARCH({"Cricket","Junior","Mini","Summer Football","Small"},C821)))&gt;0,"reduced",IF(SUMPRODUCT(--ISNUMBER(SEARCH({"Rugby","Football","League","Touch","Gaelic","Australian","Lacrosse","General Sport","Training Area","Ultimate"},C821)))&gt;0,"full","unknown"))))</f>
        <v/>
      </c>
      <c r="E821" s="9"/>
      <c r="F821" s="9"/>
      <c r="G821" s="9"/>
      <c r="H821" s="9"/>
      <c r="I821" s="12"/>
      <c r="J821" s="9"/>
      <c r="K821" s="9"/>
      <c r="L821" s="9"/>
      <c r="M821" s="9"/>
      <c r="N821" s="9"/>
      <c r="O821" s="13" t="str">
        <f aca="false">IF(C821="","",IF(N(M821)+N(N821)&lt;Settings!$C$9,"untested",M821/(M821+N821)))</f>
        <v/>
      </c>
      <c r="P821" s="9"/>
      <c r="Q821" s="9"/>
      <c r="R821" s="9"/>
      <c r="S821" s="12"/>
      <c r="T821" s="9"/>
      <c r="U821" s="9"/>
      <c r="V821" s="9"/>
      <c r="W821" s="10" t="str">
        <f aca="false">IF(C821="","",IF(OR(G821="training",G821="full"),"Yes",IF(G821="none","No","?")))</f>
        <v/>
      </c>
      <c r="X821" s="10" t="str">
        <f aca="false">IF(C821="","",IF(OR(E821="",E821="unknown"),D821,E821))</f>
        <v/>
      </c>
      <c r="Y821" s="10" t="str">
        <f aca="false">IF(C821="","",IF(OR(T821="unsuitable",T821="retired",X821="no"),"—",IF(J821="","unrated",IF(AND(X821="full",J821&gt;=Settings!$C$5,OR(O821="untested",O821&gt;=Settings!$C$6)),"A",IF(AND(OR(X821="full",X821="reduced"),J821&gt;=Settings!$C$7,OR(O821="untested",O821&gt;=Settings!$C$8)),"B","C")))))</f>
        <v/>
      </c>
      <c r="Z821" s="11" t="str">
        <f aca="false">IF(C821="","",IF(P821&lt;&gt;"",P821,Y821))</f>
        <v/>
      </c>
    </row>
    <row r="822" customFormat="false" ht="15" hidden="false" customHeight="false" outlineLevel="0" collapsed="false">
      <c r="A822" s="9"/>
      <c r="B822" s="10" t="str">
        <f aca="false">IF(A822="","",IFERROR(INDEX(Parks!$A$2:$A$255,MATCH(A822,Parks!$B$2:$B$255,0)),"?"))</f>
        <v/>
      </c>
      <c r="C822" s="9"/>
      <c r="D822" s="10" t="str">
        <f aca="false">IF(C822="","",IF(SUMPRODUCT(--ISNUMBER(SEARCH({"Nets","Wicket","Diamond","Softball","T-ball","Baseball","Netball","Tennis","Bocce","Pentaque","Petanque","Skate","Car Park","Pond","Bridle","Amphitheatre","Perimeter","Passive"},C822)))&gt;0,"no",IF(SUMPRODUCT(--ISNUMBER(SEARCH({"Cricket","Junior","Mini","Summer Football","Small"},C822)))&gt;0,"reduced",IF(SUMPRODUCT(--ISNUMBER(SEARCH({"Rugby","Football","League","Touch","Gaelic","Australian","Lacrosse","General Sport","Training Area","Ultimate"},C822)))&gt;0,"full","unknown"))))</f>
        <v/>
      </c>
      <c r="E822" s="9"/>
      <c r="F822" s="9"/>
      <c r="G822" s="9"/>
      <c r="H822" s="9"/>
      <c r="I822" s="12"/>
      <c r="J822" s="9"/>
      <c r="K822" s="9"/>
      <c r="L822" s="9"/>
      <c r="M822" s="9"/>
      <c r="N822" s="9"/>
      <c r="O822" s="13" t="str">
        <f aca="false">IF(C822="","",IF(N(M822)+N(N822)&lt;Settings!$C$9,"untested",M822/(M822+N822)))</f>
        <v/>
      </c>
      <c r="P822" s="9"/>
      <c r="Q822" s="9"/>
      <c r="R822" s="9"/>
      <c r="S822" s="12"/>
      <c r="T822" s="9"/>
      <c r="U822" s="9"/>
      <c r="V822" s="9"/>
      <c r="W822" s="10" t="str">
        <f aca="false">IF(C822="","",IF(OR(G822="training",G822="full"),"Yes",IF(G822="none","No","?")))</f>
        <v/>
      </c>
      <c r="X822" s="10" t="str">
        <f aca="false">IF(C822="","",IF(OR(E822="",E822="unknown"),D822,E822))</f>
        <v/>
      </c>
      <c r="Y822" s="10" t="str">
        <f aca="false">IF(C822="","",IF(OR(T822="unsuitable",T822="retired",X822="no"),"—",IF(J822="","unrated",IF(AND(X822="full",J822&gt;=Settings!$C$5,OR(O822="untested",O822&gt;=Settings!$C$6)),"A",IF(AND(OR(X822="full",X822="reduced"),J822&gt;=Settings!$C$7,OR(O822="untested",O822&gt;=Settings!$C$8)),"B","C")))))</f>
        <v/>
      </c>
      <c r="Z822" s="11" t="str">
        <f aca="false">IF(C822="","",IF(P822&lt;&gt;"",P822,Y822))</f>
        <v/>
      </c>
    </row>
    <row r="823" customFormat="false" ht="15" hidden="false" customHeight="false" outlineLevel="0" collapsed="false">
      <c r="A823" s="9"/>
      <c r="B823" s="10" t="str">
        <f aca="false">IF(A823="","",IFERROR(INDEX(Parks!$A$2:$A$255,MATCH(A823,Parks!$B$2:$B$255,0)),"?"))</f>
        <v/>
      </c>
      <c r="C823" s="9"/>
      <c r="D823" s="10" t="str">
        <f aca="false">IF(C823="","",IF(SUMPRODUCT(--ISNUMBER(SEARCH({"Nets","Wicket","Diamond","Softball","T-ball","Baseball","Netball","Tennis","Bocce","Pentaque","Petanque","Skate","Car Park","Pond","Bridle","Amphitheatre","Perimeter","Passive"},C823)))&gt;0,"no",IF(SUMPRODUCT(--ISNUMBER(SEARCH({"Cricket","Junior","Mini","Summer Football","Small"},C823)))&gt;0,"reduced",IF(SUMPRODUCT(--ISNUMBER(SEARCH({"Rugby","Football","League","Touch","Gaelic","Australian","Lacrosse","General Sport","Training Area","Ultimate"},C823)))&gt;0,"full","unknown"))))</f>
        <v/>
      </c>
      <c r="E823" s="9"/>
      <c r="F823" s="9"/>
      <c r="G823" s="9"/>
      <c r="H823" s="9"/>
      <c r="I823" s="12"/>
      <c r="J823" s="9"/>
      <c r="K823" s="9"/>
      <c r="L823" s="9"/>
      <c r="M823" s="9"/>
      <c r="N823" s="9"/>
      <c r="O823" s="13" t="str">
        <f aca="false">IF(C823="","",IF(N(M823)+N(N823)&lt;Settings!$C$9,"untested",M823/(M823+N823)))</f>
        <v/>
      </c>
      <c r="P823" s="9"/>
      <c r="Q823" s="9"/>
      <c r="R823" s="9"/>
      <c r="S823" s="12"/>
      <c r="T823" s="9"/>
      <c r="U823" s="9"/>
      <c r="V823" s="9"/>
      <c r="W823" s="10" t="str">
        <f aca="false">IF(C823="","",IF(OR(G823="training",G823="full"),"Yes",IF(G823="none","No","?")))</f>
        <v/>
      </c>
      <c r="X823" s="10" t="str">
        <f aca="false">IF(C823="","",IF(OR(E823="",E823="unknown"),D823,E823))</f>
        <v/>
      </c>
      <c r="Y823" s="10" t="str">
        <f aca="false">IF(C823="","",IF(OR(T823="unsuitable",T823="retired",X823="no"),"—",IF(J823="","unrated",IF(AND(X823="full",J823&gt;=Settings!$C$5,OR(O823="untested",O823&gt;=Settings!$C$6)),"A",IF(AND(OR(X823="full",X823="reduced"),J823&gt;=Settings!$C$7,OR(O823="untested",O823&gt;=Settings!$C$8)),"B","C")))))</f>
        <v/>
      </c>
      <c r="Z823" s="11" t="str">
        <f aca="false">IF(C823="","",IF(P823&lt;&gt;"",P823,Y823))</f>
        <v/>
      </c>
    </row>
    <row r="824" customFormat="false" ht="15" hidden="false" customHeight="false" outlineLevel="0" collapsed="false">
      <c r="A824" s="9"/>
      <c r="B824" s="10" t="str">
        <f aca="false">IF(A824="","",IFERROR(INDEX(Parks!$A$2:$A$255,MATCH(A824,Parks!$B$2:$B$255,0)),"?"))</f>
        <v/>
      </c>
      <c r="C824" s="9"/>
      <c r="D824" s="10" t="str">
        <f aca="false">IF(C824="","",IF(SUMPRODUCT(--ISNUMBER(SEARCH({"Nets","Wicket","Diamond","Softball","T-ball","Baseball","Netball","Tennis","Bocce","Pentaque","Petanque","Skate","Car Park","Pond","Bridle","Amphitheatre","Perimeter","Passive"},C824)))&gt;0,"no",IF(SUMPRODUCT(--ISNUMBER(SEARCH({"Cricket","Junior","Mini","Summer Football","Small"},C824)))&gt;0,"reduced",IF(SUMPRODUCT(--ISNUMBER(SEARCH({"Rugby","Football","League","Touch","Gaelic","Australian","Lacrosse","General Sport","Training Area","Ultimate"},C824)))&gt;0,"full","unknown"))))</f>
        <v/>
      </c>
      <c r="E824" s="9"/>
      <c r="F824" s="9"/>
      <c r="G824" s="9"/>
      <c r="H824" s="9"/>
      <c r="I824" s="12"/>
      <c r="J824" s="9"/>
      <c r="K824" s="9"/>
      <c r="L824" s="9"/>
      <c r="M824" s="9"/>
      <c r="N824" s="9"/>
      <c r="O824" s="13" t="str">
        <f aca="false">IF(C824="","",IF(N(M824)+N(N824)&lt;Settings!$C$9,"untested",M824/(M824+N824)))</f>
        <v/>
      </c>
      <c r="P824" s="9"/>
      <c r="Q824" s="9"/>
      <c r="R824" s="9"/>
      <c r="S824" s="12"/>
      <c r="T824" s="9"/>
      <c r="U824" s="9"/>
      <c r="V824" s="9"/>
      <c r="W824" s="10" t="str">
        <f aca="false">IF(C824="","",IF(OR(G824="training",G824="full"),"Yes",IF(G824="none","No","?")))</f>
        <v/>
      </c>
      <c r="X824" s="10" t="str">
        <f aca="false">IF(C824="","",IF(OR(E824="",E824="unknown"),D824,E824))</f>
        <v/>
      </c>
      <c r="Y824" s="10" t="str">
        <f aca="false">IF(C824="","",IF(OR(T824="unsuitable",T824="retired",X824="no"),"—",IF(J824="","unrated",IF(AND(X824="full",J824&gt;=Settings!$C$5,OR(O824="untested",O824&gt;=Settings!$C$6)),"A",IF(AND(OR(X824="full",X824="reduced"),J824&gt;=Settings!$C$7,OR(O824="untested",O824&gt;=Settings!$C$8)),"B","C")))))</f>
        <v/>
      </c>
      <c r="Z824" s="11" t="str">
        <f aca="false">IF(C824="","",IF(P824&lt;&gt;"",P824,Y824))</f>
        <v/>
      </c>
    </row>
    <row r="825" customFormat="false" ht="15" hidden="false" customHeight="false" outlineLevel="0" collapsed="false">
      <c r="A825" s="9"/>
      <c r="B825" s="10" t="str">
        <f aca="false">IF(A825="","",IFERROR(INDEX(Parks!$A$2:$A$255,MATCH(A825,Parks!$B$2:$B$255,0)),"?"))</f>
        <v/>
      </c>
      <c r="C825" s="9"/>
      <c r="D825" s="10" t="str">
        <f aca="false">IF(C825="","",IF(SUMPRODUCT(--ISNUMBER(SEARCH({"Nets","Wicket","Diamond","Softball","T-ball","Baseball","Netball","Tennis","Bocce","Pentaque","Petanque","Skate","Car Park","Pond","Bridle","Amphitheatre","Perimeter","Passive"},C825)))&gt;0,"no",IF(SUMPRODUCT(--ISNUMBER(SEARCH({"Cricket","Junior","Mini","Summer Football","Small"},C825)))&gt;0,"reduced",IF(SUMPRODUCT(--ISNUMBER(SEARCH({"Rugby","Football","League","Touch","Gaelic","Australian","Lacrosse","General Sport","Training Area","Ultimate"},C825)))&gt;0,"full","unknown"))))</f>
        <v/>
      </c>
      <c r="E825" s="9"/>
      <c r="F825" s="9"/>
      <c r="G825" s="9"/>
      <c r="H825" s="9"/>
      <c r="I825" s="12"/>
      <c r="J825" s="9"/>
      <c r="K825" s="9"/>
      <c r="L825" s="9"/>
      <c r="M825" s="9"/>
      <c r="N825" s="9"/>
      <c r="O825" s="13" t="str">
        <f aca="false">IF(C825="","",IF(N(M825)+N(N825)&lt;Settings!$C$9,"untested",M825/(M825+N825)))</f>
        <v/>
      </c>
      <c r="P825" s="9"/>
      <c r="Q825" s="9"/>
      <c r="R825" s="9"/>
      <c r="S825" s="12"/>
      <c r="T825" s="9"/>
      <c r="U825" s="9"/>
      <c r="V825" s="9"/>
      <c r="W825" s="10" t="str">
        <f aca="false">IF(C825="","",IF(OR(G825="training",G825="full"),"Yes",IF(G825="none","No","?")))</f>
        <v/>
      </c>
      <c r="X825" s="10" t="str">
        <f aca="false">IF(C825="","",IF(OR(E825="",E825="unknown"),D825,E825))</f>
        <v/>
      </c>
      <c r="Y825" s="10" t="str">
        <f aca="false">IF(C825="","",IF(OR(T825="unsuitable",T825="retired",X825="no"),"—",IF(J825="","unrated",IF(AND(X825="full",J825&gt;=Settings!$C$5,OR(O825="untested",O825&gt;=Settings!$C$6)),"A",IF(AND(OR(X825="full",X825="reduced"),J825&gt;=Settings!$C$7,OR(O825="untested",O825&gt;=Settings!$C$8)),"B","C")))))</f>
        <v/>
      </c>
      <c r="Z825" s="11" t="str">
        <f aca="false">IF(C825="","",IF(P825&lt;&gt;"",P825,Y825))</f>
        <v/>
      </c>
    </row>
    <row r="826" customFormat="false" ht="15" hidden="false" customHeight="false" outlineLevel="0" collapsed="false">
      <c r="A826" s="9"/>
      <c r="B826" s="10" t="str">
        <f aca="false">IF(A826="","",IFERROR(INDEX(Parks!$A$2:$A$255,MATCH(A826,Parks!$B$2:$B$255,0)),"?"))</f>
        <v/>
      </c>
      <c r="C826" s="9"/>
      <c r="D826" s="10" t="str">
        <f aca="false">IF(C826="","",IF(SUMPRODUCT(--ISNUMBER(SEARCH({"Nets","Wicket","Diamond","Softball","T-ball","Baseball","Netball","Tennis","Bocce","Pentaque","Petanque","Skate","Car Park","Pond","Bridle","Amphitheatre","Perimeter","Passive"},C826)))&gt;0,"no",IF(SUMPRODUCT(--ISNUMBER(SEARCH({"Cricket","Junior","Mini","Summer Football","Small"},C826)))&gt;0,"reduced",IF(SUMPRODUCT(--ISNUMBER(SEARCH({"Rugby","Football","League","Touch","Gaelic","Australian","Lacrosse","General Sport","Training Area","Ultimate"},C826)))&gt;0,"full","unknown"))))</f>
        <v/>
      </c>
      <c r="E826" s="9"/>
      <c r="F826" s="9"/>
      <c r="G826" s="9"/>
      <c r="H826" s="9"/>
      <c r="I826" s="12"/>
      <c r="J826" s="9"/>
      <c r="K826" s="9"/>
      <c r="L826" s="9"/>
      <c r="M826" s="9"/>
      <c r="N826" s="9"/>
      <c r="O826" s="13" t="str">
        <f aca="false">IF(C826="","",IF(N(M826)+N(N826)&lt;Settings!$C$9,"untested",M826/(M826+N826)))</f>
        <v/>
      </c>
      <c r="P826" s="9"/>
      <c r="Q826" s="9"/>
      <c r="R826" s="9"/>
      <c r="S826" s="12"/>
      <c r="T826" s="9"/>
      <c r="U826" s="9"/>
      <c r="V826" s="9"/>
      <c r="W826" s="10" t="str">
        <f aca="false">IF(C826="","",IF(OR(G826="training",G826="full"),"Yes",IF(G826="none","No","?")))</f>
        <v/>
      </c>
      <c r="X826" s="10" t="str">
        <f aca="false">IF(C826="","",IF(OR(E826="",E826="unknown"),D826,E826))</f>
        <v/>
      </c>
      <c r="Y826" s="10" t="str">
        <f aca="false">IF(C826="","",IF(OR(T826="unsuitable",T826="retired",X826="no"),"—",IF(J826="","unrated",IF(AND(X826="full",J826&gt;=Settings!$C$5,OR(O826="untested",O826&gt;=Settings!$C$6)),"A",IF(AND(OR(X826="full",X826="reduced"),J826&gt;=Settings!$C$7,OR(O826="untested",O826&gt;=Settings!$C$8)),"B","C")))))</f>
        <v/>
      </c>
      <c r="Z826" s="11" t="str">
        <f aca="false">IF(C826="","",IF(P826&lt;&gt;"",P826,Y826))</f>
        <v/>
      </c>
    </row>
    <row r="827" customFormat="false" ht="15" hidden="false" customHeight="false" outlineLevel="0" collapsed="false">
      <c r="A827" s="9"/>
      <c r="B827" s="10" t="str">
        <f aca="false">IF(A827="","",IFERROR(INDEX(Parks!$A$2:$A$255,MATCH(A827,Parks!$B$2:$B$255,0)),"?"))</f>
        <v/>
      </c>
      <c r="C827" s="9"/>
      <c r="D827" s="10" t="str">
        <f aca="false">IF(C827="","",IF(SUMPRODUCT(--ISNUMBER(SEARCH({"Nets","Wicket","Diamond","Softball","T-ball","Baseball","Netball","Tennis","Bocce","Pentaque","Petanque","Skate","Car Park","Pond","Bridle","Amphitheatre","Perimeter","Passive"},C827)))&gt;0,"no",IF(SUMPRODUCT(--ISNUMBER(SEARCH({"Cricket","Junior","Mini","Summer Football","Small"},C827)))&gt;0,"reduced",IF(SUMPRODUCT(--ISNUMBER(SEARCH({"Rugby","Football","League","Touch","Gaelic","Australian","Lacrosse","General Sport","Training Area","Ultimate"},C827)))&gt;0,"full","unknown"))))</f>
        <v/>
      </c>
      <c r="E827" s="9"/>
      <c r="F827" s="9"/>
      <c r="G827" s="9"/>
      <c r="H827" s="9"/>
      <c r="I827" s="12"/>
      <c r="J827" s="9"/>
      <c r="K827" s="9"/>
      <c r="L827" s="9"/>
      <c r="M827" s="9"/>
      <c r="N827" s="9"/>
      <c r="O827" s="13" t="str">
        <f aca="false">IF(C827="","",IF(N(M827)+N(N827)&lt;Settings!$C$9,"untested",M827/(M827+N827)))</f>
        <v/>
      </c>
      <c r="P827" s="9"/>
      <c r="Q827" s="9"/>
      <c r="R827" s="9"/>
      <c r="S827" s="12"/>
      <c r="T827" s="9"/>
      <c r="U827" s="9"/>
      <c r="V827" s="9"/>
      <c r="W827" s="10" t="str">
        <f aca="false">IF(C827="","",IF(OR(G827="training",G827="full"),"Yes",IF(G827="none","No","?")))</f>
        <v/>
      </c>
      <c r="X827" s="10" t="str">
        <f aca="false">IF(C827="","",IF(OR(E827="",E827="unknown"),D827,E827))</f>
        <v/>
      </c>
      <c r="Y827" s="10" t="str">
        <f aca="false">IF(C827="","",IF(OR(T827="unsuitable",T827="retired",X827="no"),"—",IF(J827="","unrated",IF(AND(X827="full",J827&gt;=Settings!$C$5,OR(O827="untested",O827&gt;=Settings!$C$6)),"A",IF(AND(OR(X827="full",X827="reduced"),J827&gt;=Settings!$C$7,OR(O827="untested",O827&gt;=Settings!$C$8)),"B","C")))))</f>
        <v/>
      </c>
      <c r="Z827" s="11" t="str">
        <f aca="false">IF(C827="","",IF(P827&lt;&gt;"",P827,Y827))</f>
        <v/>
      </c>
    </row>
    <row r="828" customFormat="false" ht="15" hidden="false" customHeight="false" outlineLevel="0" collapsed="false">
      <c r="A828" s="9"/>
      <c r="B828" s="10" t="str">
        <f aca="false">IF(A828="","",IFERROR(INDEX(Parks!$A$2:$A$255,MATCH(A828,Parks!$B$2:$B$255,0)),"?"))</f>
        <v/>
      </c>
      <c r="C828" s="9"/>
      <c r="D828" s="10" t="str">
        <f aca="false">IF(C828="","",IF(SUMPRODUCT(--ISNUMBER(SEARCH({"Nets","Wicket","Diamond","Softball","T-ball","Baseball","Netball","Tennis","Bocce","Pentaque","Petanque","Skate","Car Park","Pond","Bridle","Amphitheatre","Perimeter","Passive"},C828)))&gt;0,"no",IF(SUMPRODUCT(--ISNUMBER(SEARCH({"Cricket","Junior","Mini","Summer Football","Small"},C828)))&gt;0,"reduced",IF(SUMPRODUCT(--ISNUMBER(SEARCH({"Rugby","Football","League","Touch","Gaelic","Australian","Lacrosse","General Sport","Training Area","Ultimate"},C828)))&gt;0,"full","unknown"))))</f>
        <v/>
      </c>
      <c r="E828" s="9"/>
      <c r="F828" s="9"/>
      <c r="G828" s="9"/>
      <c r="H828" s="9"/>
      <c r="I828" s="12"/>
      <c r="J828" s="9"/>
      <c r="K828" s="9"/>
      <c r="L828" s="9"/>
      <c r="M828" s="9"/>
      <c r="N828" s="9"/>
      <c r="O828" s="13" t="str">
        <f aca="false">IF(C828="","",IF(N(M828)+N(N828)&lt;Settings!$C$9,"untested",M828/(M828+N828)))</f>
        <v/>
      </c>
      <c r="P828" s="9"/>
      <c r="Q828" s="9"/>
      <c r="R828" s="9"/>
      <c r="S828" s="12"/>
      <c r="T828" s="9"/>
      <c r="U828" s="9"/>
      <c r="V828" s="9"/>
      <c r="W828" s="10" t="str">
        <f aca="false">IF(C828="","",IF(OR(G828="training",G828="full"),"Yes",IF(G828="none","No","?")))</f>
        <v/>
      </c>
      <c r="X828" s="10" t="str">
        <f aca="false">IF(C828="","",IF(OR(E828="",E828="unknown"),D828,E828))</f>
        <v/>
      </c>
      <c r="Y828" s="10" t="str">
        <f aca="false">IF(C828="","",IF(OR(T828="unsuitable",T828="retired",X828="no"),"—",IF(J828="","unrated",IF(AND(X828="full",J828&gt;=Settings!$C$5,OR(O828="untested",O828&gt;=Settings!$C$6)),"A",IF(AND(OR(X828="full",X828="reduced"),J828&gt;=Settings!$C$7,OR(O828="untested",O828&gt;=Settings!$C$8)),"B","C")))))</f>
        <v/>
      </c>
      <c r="Z828" s="11" t="str">
        <f aca="false">IF(C828="","",IF(P828&lt;&gt;"",P828,Y828))</f>
        <v/>
      </c>
    </row>
    <row r="829" customFormat="false" ht="15" hidden="false" customHeight="false" outlineLevel="0" collapsed="false">
      <c r="A829" s="9"/>
      <c r="B829" s="10" t="str">
        <f aca="false">IF(A829="","",IFERROR(INDEX(Parks!$A$2:$A$255,MATCH(A829,Parks!$B$2:$B$255,0)),"?"))</f>
        <v/>
      </c>
      <c r="C829" s="9"/>
      <c r="D829" s="10" t="str">
        <f aca="false">IF(C829="","",IF(SUMPRODUCT(--ISNUMBER(SEARCH({"Nets","Wicket","Diamond","Softball","T-ball","Baseball","Netball","Tennis","Bocce","Pentaque","Petanque","Skate","Car Park","Pond","Bridle","Amphitheatre","Perimeter","Passive"},C829)))&gt;0,"no",IF(SUMPRODUCT(--ISNUMBER(SEARCH({"Cricket","Junior","Mini","Summer Football","Small"},C829)))&gt;0,"reduced",IF(SUMPRODUCT(--ISNUMBER(SEARCH({"Rugby","Football","League","Touch","Gaelic","Australian","Lacrosse","General Sport","Training Area","Ultimate"},C829)))&gt;0,"full","unknown"))))</f>
        <v/>
      </c>
      <c r="E829" s="9"/>
      <c r="F829" s="9"/>
      <c r="G829" s="9"/>
      <c r="H829" s="9"/>
      <c r="I829" s="12"/>
      <c r="J829" s="9"/>
      <c r="K829" s="9"/>
      <c r="L829" s="9"/>
      <c r="M829" s="9"/>
      <c r="N829" s="9"/>
      <c r="O829" s="13" t="str">
        <f aca="false">IF(C829="","",IF(N(M829)+N(N829)&lt;Settings!$C$9,"untested",M829/(M829+N829)))</f>
        <v/>
      </c>
      <c r="P829" s="9"/>
      <c r="Q829" s="9"/>
      <c r="R829" s="9"/>
      <c r="S829" s="12"/>
      <c r="T829" s="9"/>
      <c r="U829" s="9"/>
      <c r="V829" s="9"/>
      <c r="W829" s="10" t="str">
        <f aca="false">IF(C829="","",IF(OR(G829="training",G829="full"),"Yes",IF(G829="none","No","?")))</f>
        <v/>
      </c>
      <c r="X829" s="10" t="str">
        <f aca="false">IF(C829="","",IF(OR(E829="",E829="unknown"),D829,E829))</f>
        <v/>
      </c>
      <c r="Y829" s="10" t="str">
        <f aca="false">IF(C829="","",IF(OR(T829="unsuitable",T829="retired",X829="no"),"—",IF(J829="","unrated",IF(AND(X829="full",J829&gt;=Settings!$C$5,OR(O829="untested",O829&gt;=Settings!$C$6)),"A",IF(AND(OR(X829="full",X829="reduced"),J829&gt;=Settings!$C$7,OR(O829="untested",O829&gt;=Settings!$C$8)),"B","C")))))</f>
        <v/>
      </c>
      <c r="Z829" s="11" t="str">
        <f aca="false">IF(C829="","",IF(P829&lt;&gt;"",P829,Y829))</f>
        <v/>
      </c>
    </row>
    <row r="830" customFormat="false" ht="15" hidden="false" customHeight="false" outlineLevel="0" collapsed="false">
      <c r="A830" s="9"/>
      <c r="B830" s="10" t="str">
        <f aca="false">IF(A830="","",IFERROR(INDEX(Parks!$A$2:$A$255,MATCH(A830,Parks!$B$2:$B$255,0)),"?"))</f>
        <v/>
      </c>
      <c r="C830" s="9"/>
      <c r="D830" s="10" t="str">
        <f aca="false">IF(C830="","",IF(SUMPRODUCT(--ISNUMBER(SEARCH({"Nets","Wicket","Diamond","Softball","T-ball","Baseball","Netball","Tennis","Bocce","Pentaque","Petanque","Skate","Car Park","Pond","Bridle","Amphitheatre","Perimeter","Passive"},C830)))&gt;0,"no",IF(SUMPRODUCT(--ISNUMBER(SEARCH({"Cricket","Junior","Mini","Summer Football","Small"},C830)))&gt;0,"reduced",IF(SUMPRODUCT(--ISNUMBER(SEARCH({"Rugby","Football","League","Touch","Gaelic","Australian","Lacrosse","General Sport","Training Area","Ultimate"},C830)))&gt;0,"full","unknown"))))</f>
        <v/>
      </c>
      <c r="E830" s="9"/>
      <c r="F830" s="9"/>
      <c r="G830" s="9"/>
      <c r="H830" s="9"/>
      <c r="I830" s="12"/>
      <c r="J830" s="9"/>
      <c r="K830" s="9"/>
      <c r="L830" s="9"/>
      <c r="M830" s="9"/>
      <c r="N830" s="9"/>
      <c r="O830" s="13" t="str">
        <f aca="false">IF(C830="","",IF(N(M830)+N(N830)&lt;Settings!$C$9,"untested",M830/(M830+N830)))</f>
        <v/>
      </c>
      <c r="P830" s="9"/>
      <c r="Q830" s="9"/>
      <c r="R830" s="9"/>
      <c r="S830" s="12"/>
      <c r="T830" s="9"/>
      <c r="U830" s="9"/>
      <c r="V830" s="9"/>
      <c r="W830" s="10" t="str">
        <f aca="false">IF(C830="","",IF(OR(G830="training",G830="full"),"Yes",IF(G830="none","No","?")))</f>
        <v/>
      </c>
      <c r="X830" s="10" t="str">
        <f aca="false">IF(C830="","",IF(OR(E830="",E830="unknown"),D830,E830))</f>
        <v/>
      </c>
      <c r="Y830" s="10" t="str">
        <f aca="false">IF(C830="","",IF(OR(T830="unsuitable",T830="retired",X830="no"),"—",IF(J830="","unrated",IF(AND(X830="full",J830&gt;=Settings!$C$5,OR(O830="untested",O830&gt;=Settings!$C$6)),"A",IF(AND(OR(X830="full",X830="reduced"),J830&gt;=Settings!$C$7,OR(O830="untested",O830&gt;=Settings!$C$8)),"B","C")))))</f>
        <v/>
      </c>
      <c r="Z830" s="11" t="str">
        <f aca="false">IF(C830="","",IF(P830&lt;&gt;"",P830,Y830))</f>
        <v/>
      </c>
    </row>
    <row r="831" customFormat="false" ht="15" hidden="false" customHeight="false" outlineLevel="0" collapsed="false">
      <c r="A831" s="9"/>
      <c r="B831" s="10" t="str">
        <f aca="false">IF(A831="","",IFERROR(INDEX(Parks!$A$2:$A$255,MATCH(A831,Parks!$B$2:$B$255,0)),"?"))</f>
        <v/>
      </c>
      <c r="C831" s="9"/>
      <c r="D831" s="10" t="str">
        <f aca="false">IF(C831="","",IF(SUMPRODUCT(--ISNUMBER(SEARCH({"Nets","Wicket","Diamond","Softball","T-ball","Baseball","Netball","Tennis","Bocce","Pentaque","Petanque","Skate","Car Park","Pond","Bridle","Amphitheatre","Perimeter","Passive"},C831)))&gt;0,"no",IF(SUMPRODUCT(--ISNUMBER(SEARCH({"Cricket","Junior","Mini","Summer Football","Small"},C831)))&gt;0,"reduced",IF(SUMPRODUCT(--ISNUMBER(SEARCH({"Rugby","Football","League","Touch","Gaelic","Australian","Lacrosse","General Sport","Training Area","Ultimate"},C831)))&gt;0,"full","unknown"))))</f>
        <v/>
      </c>
      <c r="E831" s="9"/>
      <c r="F831" s="9"/>
      <c r="G831" s="9"/>
      <c r="H831" s="9"/>
      <c r="I831" s="12"/>
      <c r="J831" s="9"/>
      <c r="K831" s="9"/>
      <c r="L831" s="9"/>
      <c r="M831" s="9"/>
      <c r="N831" s="9"/>
      <c r="O831" s="13" t="str">
        <f aca="false">IF(C831="","",IF(N(M831)+N(N831)&lt;Settings!$C$9,"untested",M831/(M831+N831)))</f>
        <v/>
      </c>
      <c r="P831" s="9"/>
      <c r="Q831" s="9"/>
      <c r="R831" s="9"/>
      <c r="S831" s="12"/>
      <c r="T831" s="9"/>
      <c r="U831" s="9"/>
      <c r="V831" s="9"/>
      <c r="W831" s="10" t="str">
        <f aca="false">IF(C831="","",IF(OR(G831="training",G831="full"),"Yes",IF(G831="none","No","?")))</f>
        <v/>
      </c>
      <c r="X831" s="10" t="str">
        <f aca="false">IF(C831="","",IF(OR(E831="",E831="unknown"),D831,E831))</f>
        <v/>
      </c>
      <c r="Y831" s="10" t="str">
        <f aca="false">IF(C831="","",IF(OR(T831="unsuitable",T831="retired",X831="no"),"—",IF(J831="","unrated",IF(AND(X831="full",J831&gt;=Settings!$C$5,OR(O831="untested",O831&gt;=Settings!$C$6)),"A",IF(AND(OR(X831="full",X831="reduced"),J831&gt;=Settings!$C$7,OR(O831="untested",O831&gt;=Settings!$C$8)),"B","C")))))</f>
        <v/>
      </c>
      <c r="Z831" s="11" t="str">
        <f aca="false">IF(C831="","",IF(P831&lt;&gt;"",P831,Y831))</f>
        <v/>
      </c>
    </row>
    <row r="832" customFormat="false" ht="15" hidden="false" customHeight="false" outlineLevel="0" collapsed="false">
      <c r="A832" s="9"/>
      <c r="B832" s="10" t="str">
        <f aca="false">IF(A832="","",IFERROR(INDEX(Parks!$A$2:$A$255,MATCH(A832,Parks!$B$2:$B$255,0)),"?"))</f>
        <v/>
      </c>
      <c r="C832" s="9"/>
      <c r="D832" s="10" t="str">
        <f aca="false">IF(C832="","",IF(SUMPRODUCT(--ISNUMBER(SEARCH({"Nets","Wicket","Diamond","Softball","T-ball","Baseball","Netball","Tennis","Bocce","Pentaque","Petanque","Skate","Car Park","Pond","Bridle","Amphitheatre","Perimeter","Passive"},C832)))&gt;0,"no",IF(SUMPRODUCT(--ISNUMBER(SEARCH({"Cricket","Junior","Mini","Summer Football","Small"},C832)))&gt;0,"reduced",IF(SUMPRODUCT(--ISNUMBER(SEARCH({"Rugby","Football","League","Touch","Gaelic","Australian","Lacrosse","General Sport","Training Area","Ultimate"},C832)))&gt;0,"full","unknown"))))</f>
        <v/>
      </c>
      <c r="E832" s="9"/>
      <c r="F832" s="9"/>
      <c r="G832" s="9"/>
      <c r="H832" s="9"/>
      <c r="I832" s="12"/>
      <c r="J832" s="9"/>
      <c r="K832" s="9"/>
      <c r="L832" s="9"/>
      <c r="M832" s="9"/>
      <c r="N832" s="9"/>
      <c r="O832" s="13" t="str">
        <f aca="false">IF(C832="","",IF(N(M832)+N(N832)&lt;Settings!$C$9,"untested",M832/(M832+N832)))</f>
        <v/>
      </c>
      <c r="P832" s="9"/>
      <c r="Q832" s="9"/>
      <c r="R832" s="9"/>
      <c r="S832" s="12"/>
      <c r="T832" s="9"/>
      <c r="U832" s="9"/>
      <c r="V832" s="9"/>
      <c r="W832" s="10" t="str">
        <f aca="false">IF(C832="","",IF(OR(G832="training",G832="full"),"Yes",IF(G832="none","No","?")))</f>
        <v/>
      </c>
      <c r="X832" s="10" t="str">
        <f aca="false">IF(C832="","",IF(OR(E832="",E832="unknown"),D832,E832))</f>
        <v/>
      </c>
      <c r="Y832" s="10" t="str">
        <f aca="false">IF(C832="","",IF(OR(T832="unsuitable",T832="retired",X832="no"),"—",IF(J832="","unrated",IF(AND(X832="full",J832&gt;=Settings!$C$5,OR(O832="untested",O832&gt;=Settings!$C$6)),"A",IF(AND(OR(X832="full",X832="reduced"),J832&gt;=Settings!$C$7,OR(O832="untested",O832&gt;=Settings!$C$8)),"B","C")))))</f>
        <v/>
      </c>
      <c r="Z832" s="11" t="str">
        <f aca="false">IF(C832="","",IF(P832&lt;&gt;"",P832,Y832))</f>
        <v/>
      </c>
    </row>
    <row r="833" customFormat="false" ht="15" hidden="false" customHeight="false" outlineLevel="0" collapsed="false">
      <c r="A833" s="9"/>
      <c r="B833" s="10" t="str">
        <f aca="false">IF(A833="","",IFERROR(INDEX(Parks!$A$2:$A$255,MATCH(A833,Parks!$B$2:$B$255,0)),"?"))</f>
        <v/>
      </c>
      <c r="C833" s="9"/>
      <c r="D833" s="10" t="str">
        <f aca="false">IF(C833="","",IF(SUMPRODUCT(--ISNUMBER(SEARCH({"Nets","Wicket","Diamond","Softball","T-ball","Baseball","Netball","Tennis","Bocce","Pentaque","Petanque","Skate","Car Park","Pond","Bridle","Amphitheatre","Perimeter","Passive"},C833)))&gt;0,"no",IF(SUMPRODUCT(--ISNUMBER(SEARCH({"Cricket","Junior","Mini","Summer Football","Small"},C833)))&gt;0,"reduced",IF(SUMPRODUCT(--ISNUMBER(SEARCH({"Rugby","Football","League","Touch","Gaelic","Australian","Lacrosse","General Sport","Training Area","Ultimate"},C833)))&gt;0,"full","unknown"))))</f>
        <v/>
      </c>
      <c r="E833" s="9"/>
      <c r="F833" s="9"/>
      <c r="G833" s="9"/>
      <c r="H833" s="9"/>
      <c r="I833" s="12"/>
      <c r="J833" s="9"/>
      <c r="K833" s="9"/>
      <c r="L833" s="9"/>
      <c r="M833" s="9"/>
      <c r="N833" s="9"/>
      <c r="O833" s="13" t="str">
        <f aca="false">IF(C833="","",IF(N(M833)+N(N833)&lt;Settings!$C$9,"untested",M833/(M833+N833)))</f>
        <v/>
      </c>
      <c r="P833" s="9"/>
      <c r="Q833" s="9"/>
      <c r="R833" s="9"/>
      <c r="S833" s="12"/>
      <c r="T833" s="9"/>
      <c r="U833" s="9"/>
      <c r="V833" s="9"/>
      <c r="W833" s="10" t="str">
        <f aca="false">IF(C833="","",IF(OR(G833="training",G833="full"),"Yes",IF(G833="none","No","?")))</f>
        <v/>
      </c>
      <c r="X833" s="10" t="str">
        <f aca="false">IF(C833="","",IF(OR(E833="",E833="unknown"),D833,E833))</f>
        <v/>
      </c>
      <c r="Y833" s="10" t="str">
        <f aca="false">IF(C833="","",IF(OR(T833="unsuitable",T833="retired",X833="no"),"—",IF(J833="","unrated",IF(AND(X833="full",J833&gt;=Settings!$C$5,OR(O833="untested",O833&gt;=Settings!$C$6)),"A",IF(AND(OR(X833="full",X833="reduced"),J833&gt;=Settings!$C$7,OR(O833="untested",O833&gt;=Settings!$C$8)),"B","C")))))</f>
        <v/>
      </c>
      <c r="Z833" s="11" t="str">
        <f aca="false">IF(C833="","",IF(P833&lt;&gt;"",P833,Y833))</f>
        <v/>
      </c>
    </row>
    <row r="834" customFormat="false" ht="15" hidden="false" customHeight="false" outlineLevel="0" collapsed="false">
      <c r="A834" s="9"/>
      <c r="B834" s="10" t="str">
        <f aca="false">IF(A834="","",IFERROR(INDEX(Parks!$A$2:$A$255,MATCH(A834,Parks!$B$2:$B$255,0)),"?"))</f>
        <v/>
      </c>
      <c r="C834" s="9"/>
      <c r="D834" s="10" t="str">
        <f aca="false">IF(C834="","",IF(SUMPRODUCT(--ISNUMBER(SEARCH({"Nets","Wicket","Diamond","Softball","T-ball","Baseball","Netball","Tennis","Bocce","Pentaque","Petanque","Skate","Car Park","Pond","Bridle","Amphitheatre","Perimeter","Passive"},C834)))&gt;0,"no",IF(SUMPRODUCT(--ISNUMBER(SEARCH({"Cricket","Junior","Mini","Summer Football","Small"},C834)))&gt;0,"reduced",IF(SUMPRODUCT(--ISNUMBER(SEARCH({"Rugby","Football","League","Touch","Gaelic","Australian","Lacrosse","General Sport","Training Area","Ultimate"},C834)))&gt;0,"full","unknown"))))</f>
        <v/>
      </c>
      <c r="E834" s="9"/>
      <c r="F834" s="9"/>
      <c r="G834" s="9"/>
      <c r="H834" s="9"/>
      <c r="I834" s="12"/>
      <c r="J834" s="9"/>
      <c r="K834" s="9"/>
      <c r="L834" s="9"/>
      <c r="M834" s="9"/>
      <c r="N834" s="9"/>
      <c r="O834" s="13" t="str">
        <f aca="false">IF(C834="","",IF(N(M834)+N(N834)&lt;Settings!$C$9,"untested",M834/(M834+N834)))</f>
        <v/>
      </c>
      <c r="P834" s="9"/>
      <c r="Q834" s="9"/>
      <c r="R834" s="9"/>
      <c r="S834" s="12"/>
      <c r="T834" s="9"/>
      <c r="U834" s="9"/>
      <c r="V834" s="9"/>
      <c r="W834" s="10" t="str">
        <f aca="false">IF(C834="","",IF(OR(G834="training",G834="full"),"Yes",IF(G834="none","No","?")))</f>
        <v/>
      </c>
      <c r="X834" s="10" t="str">
        <f aca="false">IF(C834="","",IF(OR(E834="",E834="unknown"),D834,E834))</f>
        <v/>
      </c>
      <c r="Y834" s="10" t="str">
        <f aca="false">IF(C834="","",IF(OR(T834="unsuitable",T834="retired",X834="no"),"—",IF(J834="","unrated",IF(AND(X834="full",J834&gt;=Settings!$C$5,OR(O834="untested",O834&gt;=Settings!$C$6)),"A",IF(AND(OR(X834="full",X834="reduced"),J834&gt;=Settings!$C$7,OR(O834="untested",O834&gt;=Settings!$C$8)),"B","C")))))</f>
        <v/>
      </c>
      <c r="Z834" s="11" t="str">
        <f aca="false">IF(C834="","",IF(P834&lt;&gt;"",P834,Y834))</f>
        <v/>
      </c>
    </row>
    <row r="835" customFormat="false" ht="15" hidden="false" customHeight="false" outlineLevel="0" collapsed="false">
      <c r="A835" s="9"/>
      <c r="B835" s="10" t="str">
        <f aca="false">IF(A835="","",IFERROR(INDEX(Parks!$A$2:$A$255,MATCH(A835,Parks!$B$2:$B$255,0)),"?"))</f>
        <v/>
      </c>
      <c r="C835" s="9"/>
      <c r="D835" s="10" t="str">
        <f aca="false">IF(C835="","",IF(SUMPRODUCT(--ISNUMBER(SEARCH({"Nets","Wicket","Diamond","Softball","T-ball","Baseball","Netball","Tennis","Bocce","Pentaque","Petanque","Skate","Car Park","Pond","Bridle","Amphitheatre","Perimeter","Passive"},C835)))&gt;0,"no",IF(SUMPRODUCT(--ISNUMBER(SEARCH({"Cricket","Junior","Mini","Summer Football","Small"},C835)))&gt;0,"reduced",IF(SUMPRODUCT(--ISNUMBER(SEARCH({"Rugby","Football","League","Touch","Gaelic","Australian","Lacrosse","General Sport","Training Area","Ultimate"},C835)))&gt;0,"full","unknown"))))</f>
        <v/>
      </c>
      <c r="E835" s="9"/>
      <c r="F835" s="9"/>
      <c r="G835" s="9"/>
      <c r="H835" s="9"/>
      <c r="I835" s="12"/>
      <c r="J835" s="9"/>
      <c r="K835" s="9"/>
      <c r="L835" s="9"/>
      <c r="M835" s="9"/>
      <c r="N835" s="9"/>
      <c r="O835" s="13" t="str">
        <f aca="false">IF(C835="","",IF(N(M835)+N(N835)&lt;Settings!$C$9,"untested",M835/(M835+N835)))</f>
        <v/>
      </c>
      <c r="P835" s="9"/>
      <c r="Q835" s="9"/>
      <c r="R835" s="9"/>
      <c r="S835" s="12"/>
      <c r="T835" s="9"/>
      <c r="U835" s="9"/>
      <c r="V835" s="9"/>
      <c r="W835" s="10" t="str">
        <f aca="false">IF(C835="","",IF(OR(G835="training",G835="full"),"Yes",IF(G835="none","No","?")))</f>
        <v/>
      </c>
      <c r="X835" s="10" t="str">
        <f aca="false">IF(C835="","",IF(OR(E835="",E835="unknown"),D835,E835))</f>
        <v/>
      </c>
      <c r="Y835" s="10" t="str">
        <f aca="false">IF(C835="","",IF(OR(T835="unsuitable",T835="retired",X835="no"),"—",IF(J835="","unrated",IF(AND(X835="full",J835&gt;=Settings!$C$5,OR(O835="untested",O835&gt;=Settings!$C$6)),"A",IF(AND(OR(X835="full",X835="reduced"),J835&gt;=Settings!$C$7,OR(O835="untested",O835&gt;=Settings!$C$8)),"B","C")))))</f>
        <v/>
      </c>
      <c r="Z835" s="11" t="str">
        <f aca="false">IF(C835="","",IF(P835&lt;&gt;"",P835,Y835))</f>
        <v/>
      </c>
    </row>
    <row r="836" customFormat="false" ht="15" hidden="false" customHeight="false" outlineLevel="0" collapsed="false">
      <c r="A836" s="9"/>
      <c r="B836" s="10" t="str">
        <f aca="false">IF(A836="","",IFERROR(INDEX(Parks!$A$2:$A$255,MATCH(A836,Parks!$B$2:$B$255,0)),"?"))</f>
        <v/>
      </c>
      <c r="C836" s="9"/>
      <c r="D836" s="10" t="str">
        <f aca="false">IF(C836="","",IF(SUMPRODUCT(--ISNUMBER(SEARCH({"Nets","Wicket","Diamond","Softball","T-ball","Baseball","Netball","Tennis","Bocce","Pentaque","Petanque","Skate","Car Park","Pond","Bridle","Amphitheatre","Perimeter","Passive"},C836)))&gt;0,"no",IF(SUMPRODUCT(--ISNUMBER(SEARCH({"Cricket","Junior","Mini","Summer Football","Small"},C836)))&gt;0,"reduced",IF(SUMPRODUCT(--ISNUMBER(SEARCH({"Rugby","Football","League","Touch","Gaelic","Australian","Lacrosse","General Sport","Training Area","Ultimate"},C836)))&gt;0,"full","unknown"))))</f>
        <v/>
      </c>
      <c r="E836" s="9"/>
      <c r="F836" s="9"/>
      <c r="G836" s="9"/>
      <c r="H836" s="9"/>
      <c r="I836" s="12"/>
      <c r="J836" s="9"/>
      <c r="K836" s="9"/>
      <c r="L836" s="9"/>
      <c r="M836" s="9"/>
      <c r="N836" s="9"/>
      <c r="O836" s="13" t="str">
        <f aca="false">IF(C836="","",IF(N(M836)+N(N836)&lt;Settings!$C$9,"untested",M836/(M836+N836)))</f>
        <v/>
      </c>
      <c r="P836" s="9"/>
      <c r="Q836" s="9"/>
      <c r="R836" s="9"/>
      <c r="S836" s="12"/>
      <c r="T836" s="9"/>
      <c r="U836" s="9"/>
      <c r="V836" s="9"/>
      <c r="W836" s="10" t="str">
        <f aca="false">IF(C836="","",IF(OR(G836="training",G836="full"),"Yes",IF(G836="none","No","?")))</f>
        <v/>
      </c>
      <c r="X836" s="10" t="str">
        <f aca="false">IF(C836="","",IF(OR(E836="",E836="unknown"),D836,E836))</f>
        <v/>
      </c>
      <c r="Y836" s="10" t="str">
        <f aca="false">IF(C836="","",IF(OR(T836="unsuitable",T836="retired",X836="no"),"—",IF(J836="","unrated",IF(AND(X836="full",J836&gt;=Settings!$C$5,OR(O836="untested",O836&gt;=Settings!$C$6)),"A",IF(AND(OR(X836="full",X836="reduced"),J836&gt;=Settings!$C$7,OR(O836="untested",O836&gt;=Settings!$C$8)),"B","C")))))</f>
        <v/>
      </c>
      <c r="Z836" s="11" t="str">
        <f aca="false">IF(C836="","",IF(P836&lt;&gt;"",P836,Y836))</f>
        <v/>
      </c>
    </row>
    <row r="837" customFormat="false" ht="15" hidden="false" customHeight="false" outlineLevel="0" collapsed="false">
      <c r="A837" s="9"/>
      <c r="B837" s="10" t="str">
        <f aca="false">IF(A837="","",IFERROR(INDEX(Parks!$A$2:$A$255,MATCH(A837,Parks!$B$2:$B$255,0)),"?"))</f>
        <v/>
      </c>
      <c r="C837" s="9"/>
      <c r="D837" s="10" t="str">
        <f aca="false">IF(C837="","",IF(SUMPRODUCT(--ISNUMBER(SEARCH({"Nets","Wicket","Diamond","Softball","T-ball","Baseball","Netball","Tennis","Bocce","Pentaque","Petanque","Skate","Car Park","Pond","Bridle","Amphitheatre","Perimeter","Passive"},C837)))&gt;0,"no",IF(SUMPRODUCT(--ISNUMBER(SEARCH({"Cricket","Junior","Mini","Summer Football","Small"},C837)))&gt;0,"reduced",IF(SUMPRODUCT(--ISNUMBER(SEARCH({"Rugby","Football","League","Touch","Gaelic","Australian","Lacrosse","General Sport","Training Area","Ultimate"},C837)))&gt;0,"full","unknown"))))</f>
        <v/>
      </c>
      <c r="E837" s="9"/>
      <c r="F837" s="9"/>
      <c r="G837" s="9"/>
      <c r="H837" s="9"/>
      <c r="I837" s="12"/>
      <c r="J837" s="9"/>
      <c r="K837" s="9"/>
      <c r="L837" s="9"/>
      <c r="M837" s="9"/>
      <c r="N837" s="9"/>
      <c r="O837" s="13" t="str">
        <f aca="false">IF(C837="","",IF(N(M837)+N(N837)&lt;Settings!$C$9,"untested",M837/(M837+N837)))</f>
        <v/>
      </c>
      <c r="P837" s="9"/>
      <c r="Q837" s="9"/>
      <c r="R837" s="9"/>
      <c r="S837" s="12"/>
      <c r="T837" s="9"/>
      <c r="U837" s="9"/>
      <c r="V837" s="9"/>
      <c r="W837" s="10" t="str">
        <f aca="false">IF(C837="","",IF(OR(G837="training",G837="full"),"Yes",IF(G837="none","No","?")))</f>
        <v/>
      </c>
      <c r="X837" s="10" t="str">
        <f aca="false">IF(C837="","",IF(OR(E837="",E837="unknown"),D837,E837))</f>
        <v/>
      </c>
      <c r="Y837" s="10" t="str">
        <f aca="false">IF(C837="","",IF(OR(T837="unsuitable",T837="retired",X837="no"),"—",IF(J837="","unrated",IF(AND(X837="full",J837&gt;=Settings!$C$5,OR(O837="untested",O837&gt;=Settings!$C$6)),"A",IF(AND(OR(X837="full",X837="reduced"),J837&gt;=Settings!$C$7,OR(O837="untested",O837&gt;=Settings!$C$8)),"B","C")))))</f>
        <v/>
      </c>
      <c r="Z837" s="11" t="str">
        <f aca="false">IF(C837="","",IF(P837&lt;&gt;"",P837,Y837))</f>
        <v/>
      </c>
    </row>
    <row r="838" customFormat="false" ht="15" hidden="false" customHeight="false" outlineLevel="0" collapsed="false">
      <c r="A838" s="9"/>
      <c r="B838" s="10" t="str">
        <f aca="false">IF(A838="","",IFERROR(INDEX(Parks!$A$2:$A$255,MATCH(A838,Parks!$B$2:$B$255,0)),"?"))</f>
        <v/>
      </c>
      <c r="C838" s="9"/>
      <c r="D838" s="10" t="str">
        <f aca="false">IF(C838="","",IF(SUMPRODUCT(--ISNUMBER(SEARCH({"Nets","Wicket","Diamond","Softball","T-ball","Baseball","Netball","Tennis","Bocce","Pentaque","Petanque","Skate","Car Park","Pond","Bridle","Amphitheatre","Perimeter","Passive"},C838)))&gt;0,"no",IF(SUMPRODUCT(--ISNUMBER(SEARCH({"Cricket","Junior","Mini","Summer Football","Small"},C838)))&gt;0,"reduced",IF(SUMPRODUCT(--ISNUMBER(SEARCH({"Rugby","Football","League","Touch","Gaelic","Australian","Lacrosse","General Sport","Training Area","Ultimate"},C838)))&gt;0,"full","unknown"))))</f>
        <v/>
      </c>
      <c r="E838" s="9"/>
      <c r="F838" s="9"/>
      <c r="G838" s="9"/>
      <c r="H838" s="9"/>
      <c r="I838" s="12"/>
      <c r="J838" s="9"/>
      <c r="K838" s="9"/>
      <c r="L838" s="9"/>
      <c r="M838" s="9"/>
      <c r="N838" s="9"/>
      <c r="O838" s="13" t="str">
        <f aca="false">IF(C838="","",IF(N(M838)+N(N838)&lt;Settings!$C$9,"untested",M838/(M838+N838)))</f>
        <v/>
      </c>
      <c r="P838" s="9"/>
      <c r="Q838" s="9"/>
      <c r="R838" s="9"/>
      <c r="S838" s="12"/>
      <c r="T838" s="9"/>
      <c r="U838" s="9"/>
      <c r="V838" s="9"/>
      <c r="W838" s="10" t="str">
        <f aca="false">IF(C838="","",IF(OR(G838="training",G838="full"),"Yes",IF(G838="none","No","?")))</f>
        <v/>
      </c>
      <c r="X838" s="10" t="str">
        <f aca="false">IF(C838="","",IF(OR(E838="",E838="unknown"),D838,E838))</f>
        <v/>
      </c>
      <c r="Y838" s="10" t="str">
        <f aca="false">IF(C838="","",IF(OR(T838="unsuitable",T838="retired",X838="no"),"—",IF(J838="","unrated",IF(AND(X838="full",J838&gt;=Settings!$C$5,OR(O838="untested",O838&gt;=Settings!$C$6)),"A",IF(AND(OR(X838="full",X838="reduced"),J838&gt;=Settings!$C$7,OR(O838="untested",O838&gt;=Settings!$C$8)),"B","C")))))</f>
        <v/>
      </c>
      <c r="Z838" s="11" t="str">
        <f aca="false">IF(C838="","",IF(P838&lt;&gt;"",P838,Y838))</f>
        <v/>
      </c>
    </row>
    <row r="839" customFormat="false" ht="15" hidden="false" customHeight="false" outlineLevel="0" collapsed="false">
      <c r="A839" s="9"/>
      <c r="B839" s="10" t="str">
        <f aca="false">IF(A839="","",IFERROR(INDEX(Parks!$A$2:$A$255,MATCH(A839,Parks!$B$2:$B$255,0)),"?"))</f>
        <v/>
      </c>
      <c r="C839" s="9"/>
      <c r="D839" s="10" t="str">
        <f aca="false">IF(C839="","",IF(SUMPRODUCT(--ISNUMBER(SEARCH({"Nets","Wicket","Diamond","Softball","T-ball","Baseball","Netball","Tennis","Bocce","Pentaque","Petanque","Skate","Car Park","Pond","Bridle","Amphitheatre","Perimeter","Passive"},C839)))&gt;0,"no",IF(SUMPRODUCT(--ISNUMBER(SEARCH({"Cricket","Junior","Mini","Summer Football","Small"},C839)))&gt;0,"reduced",IF(SUMPRODUCT(--ISNUMBER(SEARCH({"Rugby","Football","League","Touch","Gaelic","Australian","Lacrosse","General Sport","Training Area","Ultimate"},C839)))&gt;0,"full","unknown"))))</f>
        <v/>
      </c>
      <c r="E839" s="9"/>
      <c r="F839" s="9"/>
      <c r="G839" s="9"/>
      <c r="H839" s="9"/>
      <c r="I839" s="12"/>
      <c r="J839" s="9"/>
      <c r="K839" s="9"/>
      <c r="L839" s="9"/>
      <c r="M839" s="9"/>
      <c r="N839" s="9"/>
      <c r="O839" s="13" t="str">
        <f aca="false">IF(C839="","",IF(N(M839)+N(N839)&lt;Settings!$C$9,"untested",M839/(M839+N839)))</f>
        <v/>
      </c>
      <c r="P839" s="9"/>
      <c r="Q839" s="9"/>
      <c r="R839" s="9"/>
      <c r="S839" s="12"/>
      <c r="T839" s="9"/>
      <c r="U839" s="9"/>
      <c r="V839" s="9"/>
      <c r="W839" s="10" t="str">
        <f aca="false">IF(C839="","",IF(OR(G839="training",G839="full"),"Yes",IF(G839="none","No","?")))</f>
        <v/>
      </c>
      <c r="X839" s="10" t="str">
        <f aca="false">IF(C839="","",IF(OR(E839="",E839="unknown"),D839,E839))</f>
        <v/>
      </c>
      <c r="Y839" s="10" t="str">
        <f aca="false">IF(C839="","",IF(OR(T839="unsuitable",T839="retired",X839="no"),"—",IF(J839="","unrated",IF(AND(X839="full",J839&gt;=Settings!$C$5,OR(O839="untested",O839&gt;=Settings!$C$6)),"A",IF(AND(OR(X839="full",X839="reduced"),J839&gt;=Settings!$C$7,OR(O839="untested",O839&gt;=Settings!$C$8)),"B","C")))))</f>
        <v/>
      </c>
      <c r="Z839" s="11" t="str">
        <f aca="false">IF(C839="","",IF(P839&lt;&gt;"",P839,Y839))</f>
        <v/>
      </c>
    </row>
    <row r="840" customFormat="false" ht="15" hidden="false" customHeight="false" outlineLevel="0" collapsed="false">
      <c r="A840" s="9"/>
      <c r="B840" s="10" t="str">
        <f aca="false">IF(A840="","",IFERROR(INDEX(Parks!$A$2:$A$255,MATCH(A840,Parks!$B$2:$B$255,0)),"?"))</f>
        <v/>
      </c>
      <c r="C840" s="9"/>
      <c r="D840" s="10" t="str">
        <f aca="false">IF(C840="","",IF(SUMPRODUCT(--ISNUMBER(SEARCH({"Nets","Wicket","Diamond","Softball","T-ball","Baseball","Netball","Tennis","Bocce","Pentaque","Petanque","Skate","Car Park","Pond","Bridle","Amphitheatre","Perimeter","Passive"},C840)))&gt;0,"no",IF(SUMPRODUCT(--ISNUMBER(SEARCH({"Cricket","Junior","Mini","Summer Football","Small"},C840)))&gt;0,"reduced",IF(SUMPRODUCT(--ISNUMBER(SEARCH({"Rugby","Football","League","Touch","Gaelic","Australian","Lacrosse","General Sport","Training Area","Ultimate"},C840)))&gt;0,"full","unknown"))))</f>
        <v/>
      </c>
      <c r="E840" s="9"/>
      <c r="F840" s="9"/>
      <c r="G840" s="9"/>
      <c r="H840" s="9"/>
      <c r="I840" s="12"/>
      <c r="J840" s="9"/>
      <c r="K840" s="9"/>
      <c r="L840" s="9"/>
      <c r="M840" s="9"/>
      <c r="N840" s="9"/>
      <c r="O840" s="13" t="str">
        <f aca="false">IF(C840="","",IF(N(M840)+N(N840)&lt;Settings!$C$9,"untested",M840/(M840+N840)))</f>
        <v/>
      </c>
      <c r="P840" s="9"/>
      <c r="Q840" s="9"/>
      <c r="R840" s="9"/>
      <c r="S840" s="12"/>
      <c r="T840" s="9"/>
      <c r="U840" s="9"/>
      <c r="V840" s="9"/>
      <c r="W840" s="10" t="str">
        <f aca="false">IF(C840="","",IF(OR(G840="training",G840="full"),"Yes",IF(G840="none","No","?")))</f>
        <v/>
      </c>
      <c r="X840" s="10" t="str">
        <f aca="false">IF(C840="","",IF(OR(E840="",E840="unknown"),D840,E840))</f>
        <v/>
      </c>
      <c r="Y840" s="10" t="str">
        <f aca="false">IF(C840="","",IF(OR(T840="unsuitable",T840="retired",X840="no"),"—",IF(J840="","unrated",IF(AND(X840="full",J840&gt;=Settings!$C$5,OR(O840="untested",O840&gt;=Settings!$C$6)),"A",IF(AND(OR(X840="full",X840="reduced"),J840&gt;=Settings!$C$7,OR(O840="untested",O840&gt;=Settings!$C$8)),"B","C")))))</f>
        <v/>
      </c>
      <c r="Z840" s="11" t="str">
        <f aca="false">IF(C840="","",IF(P840&lt;&gt;"",P840,Y840))</f>
        <v/>
      </c>
    </row>
    <row r="841" customFormat="false" ht="15" hidden="false" customHeight="false" outlineLevel="0" collapsed="false">
      <c r="A841" s="9"/>
      <c r="B841" s="10" t="str">
        <f aca="false">IF(A841="","",IFERROR(INDEX(Parks!$A$2:$A$255,MATCH(A841,Parks!$B$2:$B$255,0)),"?"))</f>
        <v/>
      </c>
      <c r="C841" s="9"/>
      <c r="D841" s="10" t="str">
        <f aca="false">IF(C841="","",IF(SUMPRODUCT(--ISNUMBER(SEARCH({"Nets","Wicket","Diamond","Softball","T-ball","Baseball","Netball","Tennis","Bocce","Pentaque","Petanque","Skate","Car Park","Pond","Bridle","Amphitheatre","Perimeter","Passive"},C841)))&gt;0,"no",IF(SUMPRODUCT(--ISNUMBER(SEARCH({"Cricket","Junior","Mini","Summer Football","Small"},C841)))&gt;0,"reduced",IF(SUMPRODUCT(--ISNUMBER(SEARCH({"Rugby","Football","League","Touch","Gaelic","Australian","Lacrosse","General Sport","Training Area","Ultimate"},C841)))&gt;0,"full","unknown"))))</f>
        <v/>
      </c>
      <c r="E841" s="9"/>
      <c r="F841" s="9"/>
      <c r="G841" s="9"/>
      <c r="H841" s="9"/>
      <c r="I841" s="12"/>
      <c r="J841" s="9"/>
      <c r="K841" s="9"/>
      <c r="L841" s="9"/>
      <c r="M841" s="9"/>
      <c r="N841" s="9"/>
      <c r="O841" s="13" t="str">
        <f aca="false">IF(C841="","",IF(N(M841)+N(N841)&lt;Settings!$C$9,"untested",M841/(M841+N841)))</f>
        <v/>
      </c>
      <c r="P841" s="9"/>
      <c r="Q841" s="9"/>
      <c r="R841" s="9"/>
      <c r="S841" s="12"/>
      <c r="T841" s="9"/>
      <c r="U841" s="9"/>
      <c r="V841" s="9"/>
      <c r="W841" s="10" t="str">
        <f aca="false">IF(C841="","",IF(OR(G841="training",G841="full"),"Yes",IF(G841="none","No","?")))</f>
        <v/>
      </c>
      <c r="X841" s="10" t="str">
        <f aca="false">IF(C841="","",IF(OR(E841="",E841="unknown"),D841,E841))</f>
        <v/>
      </c>
      <c r="Y841" s="10" t="str">
        <f aca="false">IF(C841="","",IF(OR(T841="unsuitable",T841="retired",X841="no"),"—",IF(J841="","unrated",IF(AND(X841="full",J841&gt;=Settings!$C$5,OR(O841="untested",O841&gt;=Settings!$C$6)),"A",IF(AND(OR(X841="full",X841="reduced"),J841&gt;=Settings!$C$7,OR(O841="untested",O841&gt;=Settings!$C$8)),"B","C")))))</f>
        <v/>
      </c>
      <c r="Z841" s="11" t="str">
        <f aca="false">IF(C841="","",IF(P841&lt;&gt;"",P841,Y841))</f>
        <v/>
      </c>
    </row>
    <row r="842" customFormat="false" ht="15" hidden="false" customHeight="false" outlineLevel="0" collapsed="false">
      <c r="A842" s="9"/>
      <c r="B842" s="10" t="str">
        <f aca="false">IF(A842="","",IFERROR(INDEX(Parks!$A$2:$A$255,MATCH(A842,Parks!$B$2:$B$255,0)),"?"))</f>
        <v/>
      </c>
      <c r="C842" s="9"/>
      <c r="D842" s="10" t="str">
        <f aca="false">IF(C842="","",IF(SUMPRODUCT(--ISNUMBER(SEARCH({"Nets","Wicket","Diamond","Softball","T-ball","Baseball","Netball","Tennis","Bocce","Pentaque","Petanque","Skate","Car Park","Pond","Bridle","Amphitheatre","Perimeter","Passive"},C842)))&gt;0,"no",IF(SUMPRODUCT(--ISNUMBER(SEARCH({"Cricket","Junior","Mini","Summer Football","Small"},C842)))&gt;0,"reduced",IF(SUMPRODUCT(--ISNUMBER(SEARCH({"Rugby","Football","League","Touch","Gaelic","Australian","Lacrosse","General Sport","Training Area","Ultimate"},C842)))&gt;0,"full","unknown"))))</f>
        <v/>
      </c>
      <c r="E842" s="9"/>
      <c r="F842" s="9"/>
      <c r="G842" s="9"/>
      <c r="H842" s="9"/>
      <c r="I842" s="12"/>
      <c r="J842" s="9"/>
      <c r="K842" s="9"/>
      <c r="L842" s="9"/>
      <c r="M842" s="9"/>
      <c r="N842" s="9"/>
      <c r="O842" s="13" t="str">
        <f aca="false">IF(C842="","",IF(N(M842)+N(N842)&lt;Settings!$C$9,"untested",M842/(M842+N842)))</f>
        <v/>
      </c>
      <c r="P842" s="9"/>
      <c r="Q842" s="9"/>
      <c r="R842" s="9"/>
      <c r="S842" s="12"/>
      <c r="T842" s="9"/>
      <c r="U842" s="9"/>
      <c r="V842" s="9"/>
      <c r="W842" s="10" t="str">
        <f aca="false">IF(C842="","",IF(OR(G842="training",G842="full"),"Yes",IF(G842="none","No","?")))</f>
        <v/>
      </c>
      <c r="X842" s="10" t="str">
        <f aca="false">IF(C842="","",IF(OR(E842="",E842="unknown"),D842,E842))</f>
        <v/>
      </c>
      <c r="Y842" s="10" t="str">
        <f aca="false">IF(C842="","",IF(OR(T842="unsuitable",T842="retired",X842="no"),"—",IF(J842="","unrated",IF(AND(X842="full",J842&gt;=Settings!$C$5,OR(O842="untested",O842&gt;=Settings!$C$6)),"A",IF(AND(OR(X842="full",X842="reduced"),J842&gt;=Settings!$C$7,OR(O842="untested",O842&gt;=Settings!$C$8)),"B","C")))))</f>
        <v/>
      </c>
      <c r="Z842" s="11" t="str">
        <f aca="false">IF(C842="","",IF(P842&lt;&gt;"",P842,Y842))</f>
        <v/>
      </c>
    </row>
    <row r="843" customFormat="false" ht="15" hidden="false" customHeight="false" outlineLevel="0" collapsed="false">
      <c r="A843" s="9"/>
      <c r="B843" s="10" t="str">
        <f aca="false">IF(A843="","",IFERROR(INDEX(Parks!$A$2:$A$255,MATCH(A843,Parks!$B$2:$B$255,0)),"?"))</f>
        <v/>
      </c>
      <c r="C843" s="9"/>
      <c r="D843" s="10" t="str">
        <f aca="false">IF(C843="","",IF(SUMPRODUCT(--ISNUMBER(SEARCH({"Nets","Wicket","Diamond","Softball","T-ball","Baseball","Netball","Tennis","Bocce","Pentaque","Petanque","Skate","Car Park","Pond","Bridle","Amphitheatre","Perimeter","Passive"},C843)))&gt;0,"no",IF(SUMPRODUCT(--ISNUMBER(SEARCH({"Cricket","Junior","Mini","Summer Football","Small"},C843)))&gt;0,"reduced",IF(SUMPRODUCT(--ISNUMBER(SEARCH({"Rugby","Football","League","Touch","Gaelic","Australian","Lacrosse","General Sport","Training Area","Ultimate"},C843)))&gt;0,"full","unknown"))))</f>
        <v/>
      </c>
      <c r="E843" s="9"/>
      <c r="F843" s="9"/>
      <c r="G843" s="9"/>
      <c r="H843" s="9"/>
      <c r="I843" s="12"/>
      <c r="J843" s="9"/>
      <c r="K843" s="9"/>
      <c r="L843" s="9"/>
      <c r="M843" s="9"/>
      <c r="N843" s="9"/>
      <c r="O843" s="13" t="str">
        <f aca="false">IF(C843="","",IF(N(M843)+N(N843)&lt;Settings!$C$9,"untested",M843/(M843+N843)))</f>
        <v/>
      </c>
      <c r="P843" s="9"/>
      <c r="Q843" s="9"/>
      <c r="R843" s="9"/>
      <c r="S843" s="12"/>
      <c r="T843" s="9"/>
      <c r="U843" s="9"/>
      <c r="V843" s="9"/>
      <c r="W843" s="10" t="str">
        <f aca="false">IF(C843="","",IF(OR(G843="training",G843="full"),"Yes",IF(G843="none","No","?")))</f>
        <v/>
      </c>
      <c r="X843" s="10" t="str">
        <f aca="false">IF(C843="","",IF(OR(E843="",E843="unknown"),D843,E843))</f>
        <v/>
      </c>
      <c r="Y843" s="10" t="str">
        <f aca="false">IF(C843="","",IF(OR(T843="unsuitable",T843="retired",X843="no"),"—",IF(J843="","unrated",IF(AND(X843="full",J843&gt;=Settings!$C$5,OR(O843="untested",O843&gt;=Settings!$C$6)),"A",IF(AND(OR(X843="full",X843="reduced"),J843&gt;=Settings!$C$7,OR(O843="untested",O843&gt;=Settings!$C$8)),"B","C")))))</f>
        <v/>
      </c>
      <c r="Z843" s="11" t="str">
        <f aca="false">IF(C843="","",IF(P843&lt;&gt;"",P843,Y843))</f>
        <v/>
      </c>
    </row>
    <row r="844" customFormat="false" ht="15" hidden="false" customHeight="false" outlineLevel="0" collapsed="false">
      <c r="A844" s="9"/>
      <c r="B844" s="10" t="str">
        <f aca="false">IF(A844="","",IFERROR(INDEX(Parks!$A$2:$A$255,MATCH(A844,Parks!$B$2:$B$255,0)),"?"))</f>
        <v/>
      </c>
      <c r="C844" s="9"/>
      <c r="D844" s="10" t="str">
        <f aca="false">IF(C844="","",IF(SUMPRODUCT(--ISNUMBER(SEARCH({"Nets","Wicket","Diamond","Softball","T-ball","Baseball","Netball","Tennis","Bocce","Pentaque","Petanque","Skate","Car Park","Pond","Bridle","Amphitheatre","Perimeter","Passive"},C844)))&gt;0,"no",IF(SUMPRODUCT(--ISNUMBER(SEARCH({"Cricket","Junior","Mini","Summer Football","Small"},C844)))&gt;0,"reduced",IF(SUMPRODUCT(--ISNUMBER(SEARCH({"Rugby","Football","League","Touch","Gaelic","Australian","Lacrosse","General Sport","Training Area","Ultimate"},C844)))&gt;0,"full","unknown"))))</f>
        <v/>
      </c>
      <c r="E844" s="9"/>
      <c r="F844" s="9"/>
      <c r="G844" s="9"/>
      <c r="H844" s="9"/>
      <c r="I844" s="12"/>
      <c r="J844" s="9"/>
      <c r="K844" s="9"/>
      <c r="L844" s="9"/>
      <c r="M844" s="9"/>
      <c r="N844" s="9"/>
      <c r="O844" s="13" t="str">
        <f aca="false">IF(C844="","",IF(N(M844)+N(N844)&lt;Settings!$C$9,"untested",M844/(M844+N844)))</f>
        <v/>
      </c>
      <c r="P844" s="9"/>
      <c r="Q844" s="9"/>
      <c r="R844" s="9"/>
      <c r="S844" s="12"/>
      <c r="T844" s="9"/>
      <c r="U844" s="9"/>
      <c r="V844" s="9"/>
      <c r="W844" s="10" t="str">
        <f aca="false">IF(C844="","",IF(OR(G844="training",G844="full"),"Yes",IF(G844="none","No","?")))</f>
        <v/>
      </c>
      <c r="X844" s="10" t="str">
        <f aca="false">IF(C844="","",IF(OR(E844="",E844="unknown"),D844,E844))</f>
        <v/>
      </c>
      <c r="Y844" s="10" t="str">
        <f aca="false">IF(C844="","",IF(OR(T844="unsuitable",T844="retired",X844="no"),"—",IF(J844="","unrated",IF(AND(X844="full",J844&gt;=Settings!$C$5,OR(O844="untested",O844&gt;=Settings!$C$6)),"A",IF(AND(OR(X844="full",X844="reduced"),J844&gt;=Settings!$C$7,OR(O844="untested",O844&gt;=Settings!$C$8)),"B","C")))))</f>
        <v/>
      </c>
      <c r="Z844" s="11" t="str">
        <f aca="false">IF(C844="","",IF(P844&lt;&gt;"",P844,Y844))</f>
        <v/>
      </c>
    </row>
    <row r="845" customFormat="false" ht="15" hidden="false" customHeight="false" outlineLevel="0" collapsed="false">
      <c r="A845" s="9"/>
      <c r="B845" s="10" t="str">
        <f aca="false">IF(A845="","",IFERROR(INDEX(Parks!$A$2:$A$255,MATCH(A845,Parks!$B$2:$B$255,0)),"?"))</f>
        <v/>
      </c>
      <c r="C845" s="9"/>
      <c r="D845" s="10" t="str">
        <f aca="false">IF(C845="","",IF(SUMPRODUCT(--ISNUMBER(SEARCH({"Nets","Wicket","Diamond","Softball","T-ball","Baseball","Netball","Tennis","Bocce","Pentaque","Petanque","Skate","Car Park","Pond","Bridle","Amphitheatre","Perimeter","Passive"},C845)))&gt;0,"no",IF(SUMPRODUCT(--ISNUMBER(SEARCH({"Cricket","Junior","Mini","Summer Football","Small"},C845)))&gt;0,"reduced",IF(SUMPRODUCT(--ISNUMBER(SEARCH({"Rugby","Football","League","Touch","Gaelic","Australian","Lacrosse","General Sport","Training Area","Ultimate"},C845)))&gt;0,"full","unknown"))))</f>
        <v/>
      </c>
      <c r="E845" s="9"/>
      <c r="F845" s="9"/>
      <c r="G845" s="9"/>
      <c r="H845" s="9"/>
      <c r="I845" s="12"/>
      <c r="J845" s="9"/>
      <c r="K845" s="9"/>
      <c r="L845" s="9"/>
      <c r="M845" s="9"/>
      <c r="N845" s="9"/>
      <c r="O845" s="13" t="str">
        <f aca="false">IF(C845="","",IF(N(M845)+N(N845)&lt;Settings!$C$9,"untested",M845/(M845+N845)))</f>
        <v/>
      </c>
      <c r="P845" s="9"/>
      <c r="Q845" s="9"/>
      <c r="R845" s="9"/>
      <c r="S845" s="12"/>
      <c r="T845" s="9"/>
      <c r="U845" s="9"/>
      <c r="V845" s="9"/>
      <c r="W845" s="10" t="str">
        <f aca="false">IF(C845="","",IF(OR(G845="training",G845="full"),"Yes",IF(G845="none","No","?")))</f>
        <v/>
      </c>
      <c r="X845" s="10" t="str">
        <f aca="false">IF(C845="","",IF(OR(E845="",E845="unknown"),D845,E845))</f>
        <v/>
      </c>
      <c r="Y845" s="10" t="str">
        <f aca="false">IF(C845="","",IF(OR(T845="unsuitable",T845="retired",X845="no"),"—",IF(J845="","unrated",IF(AND(X845="full",J845&gt;=Settings!$C$5,OR(O845="untested",O845&gt;=Settings!$C$6)),"A",IF(AND(OR(X845="full",X845="reduced"),J845&gt;=Settings!$C$7,OR(O845="untested",O845&gt;=Settings!$C$8)),"B","C")))))</f>
        <v/>
      </c>
      <c r="Z845" s="11" t="str">
        <f aca="false">IF(C845="","",IF(P845&lt;&gt;"",P845,Y845))</f>
        <v/>
      </c>
    </row>
    <row r="846" customFormat="false" ht="15" hidden="false" customHeight="false" outlineLevel="0" collapsed="false">
      <c r="A846" s="9"/>
      <c r="B846" s="10" t="str">
        <f aca="false">IF(A846="","",IFERROR(INDEX(Parks!$A$2:$A$255,MATCH(A846,Parks!$B$2:$B$255,0)),"?"))</f>
        <v/>
      </c>
      <c r="C846" s="9"/>
      <c r="D846" s="10" t="str">
        <f aca="false">IF(C846="","",IF(SUMPRODUCT(--ISNUMBER(SEARCH({"Nets","Wicket","Diamond","Softball","T-ball","Baseball","Netball","Tennis","Bocce","Pentaque","Petanque","Skate","Car Park","Pond","Bridle","Amphitheatre","Perimeter","Passive"},C846)))&gt;0,"no",IF(SUMPRODUCT(--ISNUMBER(SEARCH({"Cricket","Junior","Mini","Summer Football","Small"},C846)))&gt;0,"reduced",IF(SUMPRODUCT(--ISNUMBER(SEARCH({"Rugby","Football","League","Touch","Gaelic","Australian","Lacrosse","General Sport","Training Area","Ultimate"},C846)))&gt;0,"full","unknown"))))</f>
        <v/>
      </c>
      <c r="E846" s="9"/>
      <c r="F846" s="9"/>
      <c r="G846" s="9"/>
      <c r="H846" s="9"/>
      <c r="I846" s="12"/>
      <c r="J846" s="9"/>
      <c r="K846" s="9"/>
      <c r="L846" s="9"/>
      <c r="M846" s="9"/>
      <c r="N846" s="9"/>
      <c r="O846" s="13" t="str">
        <f aca="false">IF(C846="","",IF(N(M846)+N(N846)&lt;Settings!$C$9,"untested",M846/(M846+N846)))</f>
        <v/>
      </c>
      <c r="P846" s="9"/>
      <c r="Q846" s="9"/>
      <c r="R846" s="9"/>
      <c r="S846" s="12"/>
      <c r="T846" s="9"/>
      <c r="U846" s="9"/>
      <c r="V846" s="9"/>
      <c r="W846" s="10" t="str">
        <f aca="false">IF(C846="","",IF(OR(G846="training",G846="full"),"Yes",IF(G846="none","No","?")))</f>
        <v/>
      </c>
      <c r="X846" s="10" t="str">
        <f aca="false">IF(C846="","",IF(OR(E846="",E846="unknown"),D846,E846))</f>
        <v/>
      </c>
      <c r="Y846" s="10" t="str">
        <f aca="false">IF(C846="","",IF(OR(T846="unsuitable",T846="retired",X846="no"),"—",IF(J846="","unrated",IF(AND(X846="full",J846&gt;=Settings!$C$5,OR(O846="untested",O846&gt;=Settings!$C$6)),"A",IF(AND(OR(X846="full",X846="reduced"),J846&gt;=Settings!$C$7,OR(O846="untested",O846&gt;=Settings!$C$8)),"B","C")))))</f>
        <v/>
      </c>
      <c r="Z846" s="11" t="str">
        <f aca="false">IF(C846="","",IF(P846&lt;&gt;"",P846,Y846))</f>
        <v/>
      </c>
    </row>
    <row r="847" customFormat="false" ht="15" hidden="false" customHeight="false" outlineLevel="0" collapsed="false">
      <c r="A847" s="9"/>
      <c r="B847" s="10" t="str">
        <f aca="false">IF(A847="","",IFERROR(INDEX(Parks!$A$2:$A$255,MATCH(A847,Parks!$B$2:$B$255,0)),"?"))</f>
        <v/>
      </c>
      <c r="C847" s="9"/>
      <c r="D847" s="10" t="str">
        <f aca="false">IF(C847="","",IF(SUMPRODUCT(--ISNUMBER(SEARCH({"Nets","Wicket","Diamond","Softball","T-ball","Baseball","Netball","Tennis","Bocce","Pentaque","Petanque","Skate","Car Park","Pond","Bridle","Amphitheatre","Perimeter","Passive"},C847)))&gt;0,"no",IF(SUMPRODUCT(--ISNUMBER(SEARCH({"Cricket","Junior","Mini","Summer Football","Small"},C847)))&gt;0,"reduced",IF(SUMPRODUCT(--ISNUMBER(SEARCH({"Rugby","Football","League","Touch","Gaelic","Australian","Lacrosse","General Sport","Training Area","Ultimate"},C847)))&gt;0,"full","unknown"))))</f>
        <v/>
      </c>
      <c r="E847" s="9"/>
      <c r="F847" s="9"/>
      <c r="G847" s="9"/>
      <c r="H847" s="9"/>
      <c r="I847" s="12"/>
      <c r="J847" s="9"/>
      <c r="K847" s="9"/>
      <c r="L847" s="9"/>
      <c r="M847" s="9"/>
      <c r="N847" s="9"/>
      <c r="O847" s="13" t="str">
        <f aca="false">IF(C847="","",IF(N(M847)+N(N847)&lt;Settings!$C$9,"untested",M847/(M847+N847)))</f>
        <v/>
      </c>
      <c r="P847" s="9"/>
      <c r="Q847" s="9"/>
      <c r="R847" s="9"/>
      <c r="S847" s="12"/>
      <c r="T847" s="9"/>
      <c r="U847" s="9"/>
      <c r="V847" s="9"/>
      <c r="W847" s="10" t="str">
        <f aca="false">IF(C847="","",IF(OR(G847="training",G847="full"),"Yes",IF(G847="none","No","?")))</f>
        <v/>
      </c>
      <c r="X847" s="10" t="str">
        <f aca="false">IF(C847="","",IF(OR(E847="",E847="unknown"),D847,E847))</f>
        <v/>
      </c>
      <c r="Y847" s="10" t="str">
        <f aca="false">IF(C847="","",IF(OR(T847="unsuitable",T847="retired",X847="no"),"—",IF(J847="","unrated",IF(AND(X847="full",J847&gt;=Settings!$C$5,OR(O847="untested",O847&gt;=Settings!$C$6)),"A",IF(AND(OR(X847="full",X847="reduced"),J847&gt;=Settings!$C$7,OR(O847="untested",O847&gt;=Settings!$C$8)),"B","C")))))</f>
        <v/>
      </c>
      <c r="Z847" s="11" t="str">
        <f aca="false">IF(C847="","",IF(P847&lt;&gt;"",P847,Y847))</f>
        <v/>
      </c>
    </row>
    <row r="848" customFormat="false" ht="15" hidden="false" customHeight="false" outlineLevel="0" collapsed="false">
      <c r="A848" s="9"/>
      <c r="B848" s="10" t="str">
        <f aca="false">IF(A848="","",IFERROR(INDEX(Parks!$A$2:$A$255,MATCH(A848,Parks!$B$2:$B$255,0)),"?"))</f>
        <v/>
      </c>
      <c r="C848" s="9"/>
      <c r="D848" s="10" t="str">
        <f aca="false">IF(C848="","",IF(SUMPRODUCT(--ISNUMBER(SEARCH({"Nets","Wicket","Diamond","Softball","T-ball","Baseball","Netball","Tennis","Bocce","Pentaque","Petanque","Skate","Car Park","Pond","Bridle","Amphitheatre","Perimeter","Passive"},C848)))&gt;0,"no",IF(SUMPRODUCT(--ISNUMBER(SEARCH({"Cricket","Junior","Mini","Summer Football","Small"},C848)))&gt;0,"reduced",IF(SUMPRODUCT(--ISNUMBER(SEARCH({"Rugby","Football","League","Touch","Gaelic","Australian","Lacrosse","General Sport","Training Area","Ultimate"},C848)))&gt;0,"full","unknown"))))</f>
        <v/>
      </c>
      <c r="E848" s="9"/>
      <c r="F848" s="9"/>
      <c r="G848" s="9"/>
      <c r="H848" s="9"/>
      <c r="I848" s="12"/>
      <c r="J848" s="9"/>
      <c r="K848" s="9"/>
      <c r="L848" s="9"/>
      <c r="M848" s="9"/>
      <c r="N848" s="9"/>
      <c r="O848" s="13" t="str">
        <f aca="false">IF(C848="","",IF(N(M848)+N(N848)&lt;Settings!$C$9,"untested",M848/(M848+N848)))</f>
        <v/>
      </c>
      <c r="P848" s="9"/>
      <c r="Q848" s="9"/>
      <c r="R848" s="9"/>
      <c r="S848" s="12"/>
      <c r="T848" s="9"/>
      <c r="U848" s="9"/>
      <c r="V848" s="9"/>
      <c r="W848" s="10" t="str">
        <f aca="false">IF(C848="","",IF(OR(G848="training",G848="full"),"Yes",IF(G848="none","No","?")))</f>
        <v/>
      </c>
      <c r="X848" s="10" t="str">
        <f aca="false">IF(C848="","",IF(OR(E848="",E848="unknown"),D848,E848))</f>
        <v/>
      </c>
      <c r="Y848" s="10" t="str">
        <f aca="false">IF(C848="","",IF(OR(T848="unsuitable",T848="retired",X848="no"),"—",IF(J848="","unrated",IF(AND(X848="full",J848&gt;=Settings!$C$5,OR(O848="untested",O848&gt;=Settings!$C$6)),"A",IF(AND(OR(X848="full",X848="reduced"),J848&gt;=Settings!$C$7,OR(O848="untested",O848&gt;=Settings!$C$8)),"B","C")))))</f>
        <v/>
      </c>
      <c r="Z848" s="11" t="str">
        <f aca="false">IF(C848="","",IF(P848&lt;&gt;"",P848,Y848))</f>
        <v/>
      </c>
    </row>
    <row r="849" customFormat="false" ht="15" hidden="false" customHeight="false" outlineLevel="0" collapsed="false">
      <c r="A849" s="9"/>
      <c r="B849" s="10" t="str">
        <f aca="false">IF(A849="","",IFERROR(INDEX(Parks!$A$2:$A$255,MATCH(A849,Parks!$B$2:$B$255,0)),"?"))</f>
        <v/>
      </c>
      <c r="C849" s="9"/>
      <c r="D849" s="10" t="str">
        <f aca="false">IF(C849="","",IF(SUMPRODUCT(--ISNUMBER(SEARCH({"Nets","Wicket","Diamond","Softball","T-ball","Baseball","Netball","Tennis","Bocce","Pentaque","Petanque","Skate","Car Park","Pond","Bridle","Amphitheatre","Perimeter","Passive"},C849)))&gt;0,"no",IF(SUMPRODUCT(--ISNUMBER(SEARCH({"Cricket","Junior","Mini","Summer Football","Small"},C849)))&gt;0,"reduced",IF(SUMPRODUCT(--ISNUMBER(SEARCH({"Rugby","Football","League","Touch","Gaelic","Australian","Lacrosse","General Sport","Training Area","Ultimate"},C849)))&gt;0,"full","unknown"))))</f>
        <v/>
      </c>
      <c r="E849" s="9"/>
      <c r="F849" s="9"/>
      <c r="G849" s="9"/>
      <c r="H849" s="9"/>
      <c r="I849" s="12"/>
      <c r="J849" s="9"/>
      <c r="K849" s="9"/>
      <c r="L849" s="9"/>
      <c r="M849" s="9"/>
      <c r="N849" s="9"/>
      <c r="O849" s="13" t="str">
        <f aca="false">IF(C849="","",IF(N(M849)+N(N849)&lt;Settings!$C$9,"untested",M849/(M849+N849)))</f>
        <v/>
      </c>
      <c r="P849" s="9"/>
      <c r="Q849" s="9"/>
      <c r="R849" s="9"/>
      <c r="S849" s="12"/>
      <c r="T849" s="9"/>
      <c r="U849" s="9"/>
      <c r="V849" s="9"/>
      <c r="W849" s="10" t="str">
        <f aca="false">IF(C849="","",IF(OR(G849="training",G849="full"),"Yes",IF(G849="none","No","?")))</f>
        <v/>
      </c>
      <c r="X849" s="10" t="str">
        <f aca="false">IF(C849="","",IF(OR(E849="",E849="unknown"),D849,E849))</f>
        <v/>
      </c>
      <c r="Y849" s="10" t="str">
        <f aca="false">IF(C849="","",IF(OR(T849="unsuitable",T849="retired",X849="no"),"—",IF(J849="","unrated",IF(AND(X849="full",J849&gt;=Settings!$C$5,OR(O849="untested",O849&gt;=Settings!$C$6)),"A",IF(AND(OR(X849="full",X849="reduced"),J849&gt;=Settings!$C$7,OR(O849="untested",O849&gt;=Settings!$C$8)),"B","C")))))</f>
        <v/>
      </c>
      <c r="Z849" s="11" t="str">
        <f aca="false">IF(C849="","",IF(P849&lt;&gt;"",P849,Y849))</f>
        <v/>
      </c>
    </row>
    <row r="850" customFormat="false" ht="15" hidden="false" customHeight="false" outlineLevel="0" collapsed="false">
      <c r="A850" s="9"/>
      <c r="B850" s="10" t="str">
        <f aca="false">IF(A850="","",IFERROR(INDEX(Parks!$A$2:$A$255,MATCH(A850,Parks!$B$2:$B$255,0)),"?"))</f>
        <v/>
      </c>
      <c r="C850" s="9"/>
      <c r="D850" s="10" t="str">
        <f aca="false">IF(C850="","",IF(SUMPRODUCT(--ISNUMBER(SEARCH({"Nets","Wicket","Diamond","Softball","T-ball","Baseball","Netball","Tennis","Bocce","Pentaque","Petanque","Skate","Car Park","Pond","Bridle","Amphitheatre","Perimeter","Passive"},C850)))&gt;0,"no",IF(SUMPRODUCT(--ISNUMBER(SEARCH({"Cricket","Junior","Mini","Summer Football","Small"},C850)))&gt;0,"reduced",IF(SUMPRODUCT(--ISNUMBER(SEARCH({"Rugby","Football","League","Touch","Gaelic","Australian","Lacrosse","General Sport","Training Area","Ultimate"},C850)))&gt;0,"full","unknown"))))</f>
        <v/>
      </c>
      <c r="E850" s="9"/>
      <c r="F850" s="9"/>
      <c r="G850" s="9"/>
      <c r="H850" s="9"/>
      <c r="I850" s="12"/>
      <c r="J850" s="9"/>
      <c r="K850" s="9"/>
      <c r="L850" s="9"/>
      <c r="M850" s="9"/>
      <c r="N850" s="9"/>
      <c r="O850" s="13" t="str">
        <f aca="false">IF(C850="","",IF(N(M850)+N(N850)&lt;Settings!$C$9,"untested",M850/(M850+N850)))</f>
        <v/>
      </c>
      <c r="P850" s="9"/>
      <c r="Q850" s="9"/>
      <c r="R850" s="9"/>
      <c r="S850" s="12"/>
      <c r="T850" s="9"/>
      <c r="U850" s="9"/>
      <c r="V850" s="9"/>
      <c r="W850" s="10" t="str">
        <f aca="false">IF(C850="","",IF(OR(G850="training",G850="full"),"Yes",IF(G850="none","No","?")))</f>
        <v/>
      </c>
      <c r="X850" s="10" t="str">
        <f aca="false">IF(C850="","",IF(OR(E850="",E850="unknown"),D850,E850))</f>
        <v/>
      </c>
      <c r="Y850" s="10" t="str">
        <f aca="false">IF(C850="","",IF(OR(T850="unsuitable",T850="retired",X850="no"),"—",IF(J850="","unrated",IF(AND(X850="full",J850&gt;=Settings!$C$5,OR(O850="untested",O850&gt;=Settings!$C$6)),"A",IF(AND(OR(X850="full",X850="reduced"),J850&gt;=Settings!$C$7,OR(O850="untested",O850&gt;=Settings!$C$8)),"B","C")))))</f>
        <v/>
      </c>
      <c r="Z850" s="11" t="str">
        <f aca="false">IF(C850="","",IF(P850&lt;&gt;"",P850,Y850))</f>
        <v/>
      </c>
    </row>
    <row r="851" customFormat="false" ht="15" hidden="false" customHeight="false" outlineLevel="0" collapsed="false">
      <c r="A851" s="9"/>
      <c r="B851" s="10" t="str">
        <f aca="false">IF(A851="","",IFERROR(INDEX(Parks!$A$2:$A$255,MATCH(A851,Parks!$B$2:$B$255,0)),"?"))</f>
        <v/>
      </c>
      <c r="C851" s="9"/>
      <c r="D851" s="10" t="str">
        <f aca="false">IF(C851="","",IF(SUMPRODUCT(--ISNUMBER(SEARCH({"Nets","Wicket","Diamond","Softball","T-ball","Baseball","Netball","Tennis","Bocce","Pentaque","Petanque","Skate","Car Park","Pond","Bridle","Amphitheatre","Perimeter","Passive"},C851)))&gt;0,"no",IF(SUMPRODUCT(--ISNUMBER(SEARCH({"Cricket","Junior","Mini","Summer Football","Small"},C851)))&gt;0,"reduced",IF(SUMPRODUCT(--ISNUMBER(SEARCH({"Rugby","Football","League","Touch","Gaelic","Australian","Lacrosse","General Sport","Training Area","Ultimate"},C851)))&gt;0,"full","unknown"))))</f>
        <v/>
      </c>
      <c r="E851" s="9"/>
      <c r="F851" s="9"/>
      <c r="G851" s="9"/>
      <c r="H851" s="9"/>
      <c r="I851" s="12"/>
      <c r="J851" s="9"/>
      <c r="K851" s="9"/>
      <c r="L851" s="9"/>
      <c r="M851" s="9"/>
      <c r="N851" s="9"/>
      <c r="O851" s="13" t="str">
        <f aca="false">IF(C851="","",IF(N(M851)+N(N851)&lt;Settings!$C$9,"untested",M851/(M851+N851)))</f>
        <v/>
      </c>
      <c r="P851" s="9"/>
      <c r="Q851" s="9"/>
      <c r="R851" s="9"/>
      <c r="S851" s="12"/>
      <c r="T851" s="9"/>
      <c r="U851" s="9"/>
      <c r="V851" s="9"/>
      <c r="W851" s="10" t="str">
        <f aca="false">IF(C851="","",IF(OR(G851="training",G851="full"),"Yes",IF(G851="none","No","?")))</f>
        <v/>
      </c>
      <c r="X851" s="10" t="str">
        <f aca="false">IF(C851="","",IF(OR(E851="",E851="unknown"),D851,E851))</f>
        <v/>
      </c>
      <c r="Y851" s="10" t="str">
        <f aca="false">IF(C851="","",IF(OR(T851="unsuitable",T851="retired",X851="no"),"—",IF(J851="","unrated",IF(AND(X851="full",J851&gt;=Settings!$C$5,OR(O851="untested",O851&gt;=Settings!$C$6)),"A",IF(AND(OR(X851="full",X851="reduced"),J851&gt;=Settings!$C$7,OR(O851="untested",O851&gt;=Settings!$C$8)),"B","C")))))</f>
        <v/>
      </c>
      <c r="Z851" s="11" t="str">
        <f aca="false">IF(C851="","",IF(P851&lt;&gt;"",P851,Y851))</f>
        <v/>
      </c>
    </row>
    <row r="852" customFormat="false" ht="15" hidden="false" customHeight="false" outlineLevel="0" collapsed="false">
      <c r="A852" s="9"/>
      <c r="B852" s="10" t="str">
        <f aca="false">IF(A852="","",IFERROR(INDEX(Parks!$A$2:$A$255,MATCH(A852,Parks!$B$2:$B$255,0)),"?"))</f>
        <v/>
      </c>
      <c r="C852" s="9"/>
      <c r="D852" s="10" t="str">
        <f aca="false">IF(C852="","",IF(SUMPRODUCT(--ISNUMBER(SEARCH({"Nets","Wicket","Diamond","Softball","T-ball","Baseball","Netball","Tennis","Bocce","Pentaque","Petanque","Skate","Car Park","Pond","Bridle","Amphitheatre","Perimeter","Passive"},C852)))&gt;0,"no",IF(SUMPRODUCT(--ISNUMBER(SEARCH({"Cricket","Junior","Mini","Summer Football","Small"},C852)))&gt;0,"reduced",IF(SUMPRODUCT(--ISNUMBER(SEARCH({"Rugby","Football","League","Touch","Gaelic","Australian","Lacrosse","General Sport","Training Area","Ultimate"},C852)))&gt;0,"full","unknown"))))</f>
        <v/>
      </c>
      <c r="E852" s="9"/>
      <c r="F852" s="9"/>
      <c r="G852" s="9"/>
      <c r="H852" s="9"/>
      <c r="I852" s="12"/>
      <c r="J852" s="9"/>
      <c r="K852" s="9"/>
      <c r="L852" s="9"/>
      <c r="M852" s="9"/>
      <c r="N852" s="9"/>
      <c r="O852" s="13" t="str">
        <f aca="false">IF(C852="","",IF(N(M852)+N(N852)&lt;Settings!$C$9,"untested",M852/(M852+N852)))</f>
        <v/>
      </c>
      <c r="P852" s="9"/>
      <c r="Q852" s="9"/>
      <c r="R852" s="9"/>
      <c r="S852" s="12"/>
      <c r="T852" s="9"/>
      <c r="U852" s="9"/>
      <c r="V852" s="9"/>
      <c r="W852" s="10" t="str">
        <f aca="false">IF(C852="","",IF(OR(G852="training",G852="full"),"Yes",IF(G852="none","No","?")))</f>
        <v/>
      </c>
      <c r="X852" s="10" t="str">
        <f aca="false">IF(C852="","",IF(OR(E852="",E852="unknown"),D852,E852))</f>
        <v/>
      </c>
      <c r="Y852" s="10" t="str">
        <f aca="false">IF(C852="","",IF(OR(T852="unsuitable",T852="retired",X852="no"),"—",IF(J852="","unrated",IF(AND(X852="full",J852&gt;=Settings!$C$5,OR(O852="untested",O852&gt;=Settings!$C$6)),"A",IF(AND(OR(X852="full",X852="reduced"),J852&gt;=Settings!$C$7,OR(O852="untested",O852&gt;=Settings!$C$8)),"B","C")))))</f>
        <v/>
      </c>
      <c r="Z852" s="11" t="str">
        <f aca="false">IF(C852="","",IF(P852&lt;&gt;"",P852,Y852))</f>
        <v/>
      </c>
    </row>
    <row r="853" customFormat="false" ht="15" hidden="false" customHeight="false" outlineLevel="0" collapsed="false">
      <c r="A853" s="9"/>
      <c r="B853" s="10" t="str">
        <f aca="false">IF(A853="","",IFERROR(INDEX(Parks!$A$2:$A$255,MATCH(A853,Parks!$B$2:$B$255,0)),"?"))</f>
        <v/>
      </c>
      <c r="C853" s="9"/>
      <c r="D853" s="10" t="str">
        <f aca="false">IF(C853="","",IF(SUMPRODUCT(--ISNUMBER(SEARCH({"Nets","Wicket","Diamond","Softball","T-ball","Baseball","Netball","Tennis","Bocce","Pentaque","Petanque","Skate","Car Park","Pond","Bridle","Amphitheatre","Perimeter","Passive"},C853)))&gt;0,"no",IF(SUMPRODUCT(--ISNUMBER(SEARCH({"Cricket","Junior","Mini","Summer Football","Small"},C853)))&gt;0,"reduced",IF(SUMPRODUCT(--ISNUMBER(SEARCH({"Rugby","Football","League","Touch","Gaelic","Australian","Lacrosse","General Sport","Training Area","Ultimate"},C853)))&gt;0,"full","unknown"))))</f>
        <v/>
      </c>
      <c r="E853" s="9"/>
      <c r="F853" s="9"/>
      <c r="G853" s="9"/>
      <c r="H853" s="9"/>
      <c r="I853" s="12"/>
      <c r="J853" s="9"/>
      <c r="K853" s="9"/>
      <c r="L853" s="9"/>
      <c r="M853" s="9"/>
      <c r="N853" s="9"/>
      <c r="O853" s="13" t="str">
        <f aca="false">IF(C853="","",IF(N(M853)+N(N853)&lt;Settings!$C$9,"untested",M853/(M853+N853)))</f>
        <v/>
      </c>
      <c r="P853" s="9"/>
      <c r="Q853" s="9"/>
      <c r="R853" s="9"/>
      <c r="S853" s="12"/>
      <c r="T853" s="9"/>
      <c r="U853" s="9"/>
      <c r="V853" s="9"/>
      <c r="W853" s="10" t="str">
        <f aca="false">IF(C853="","",IF(OR(G853="training",G853="full"),"Yes",IF(G853="none","No","?")))</f>
        <v/>
      </c>
      <c r="X853" s="10" t="str">
        <f aca="false">IF(C853="","",IF(OR(E853="",E853="unknown"),D853,E853))</f>
        <v/>
      </c>
      <c r="Y853" s="10" t="str">
        <f aca="false">IF(C853="","",IF(OR(T853="unsuitable",T853="retired",X853="no"),"—",IF(J853="","unrated",IF(AND(X853="full",J853&gt;=Settings!$C$5,OR(O853="untested",O853&gt;=Settings!$C$6)),"A",IF(AND(OR(X853="full",X853="reduced"),J853&gt;=Settings!$C$7,OR(O853="untested",O853&gt;=Settings!$C$8)),"B","C")))))</f>
        <v/>
      </c>
      <c r="Z853" s="11" t="str">
        <f aca="false">IF(C853="","",IF(P853&lt;&gt;"",P853,Y853))</f>
        <v/>
      </c>
    </row>
    <row r="854" customFormat="false" ht="15" hidden="false" customHeight="false" outlineLevel="0" collapsed="false">
      <c r="A854" s="9"/>
      <c r="B854" s="10" t="str">
        <f aca="false">IF(A854="","",IFERROR(INDEX(Parks!$A$2:$A$255,MATCH(A854,Parks!$B$2:$B$255,0)),"?"))</f>
        <v/>
      </c>
      <c r="C854" s="9"/>
      <c r="D854" s="10" t="str">
        <f aca="false">IF(C854="","",IF(SUMPRODUCT(--ISNUMBER(SEARCH({"Nets","Wicket","Diamond","Softball","T-ball","Baseball","Netball","Tennis","Bocce","Pentaque","Petanque","Skate","Car Park","Pond","Bridle","Amphitheatre","Perimeter","Passive"},C854)))&gt;0,"no",IF(SUMPRODUCT(--ISNUMBER(SEARCH({"Cricket","Junior","Mini","Summer Football","Small"},C854)))&gt;0,"reduced",IF(SUMPRODUCT(--ISNUMBER(SEARCH({"Rugby","Football","League","Touch","Gaelic","Australian","Lacrosse","General Sport","Training Area","Ultimate"},C854)))&gt;0,"full","unknown"))))</f>
        <v/>
      </c>
      <c r="E854" s="9"/>
      <c r="F854" s="9"/>
      <c r="G854" s="9"/>
      <c r="H854" s="9"/>
      <c r="I854" s="12"/>
      <c r="J854" s="9"/>
      <c r="K854" s="9"/>
      <c r="L854" s="9"/>
      <c r="M854" s="9"/>
      <c r="N854" s="9"/>
      <c r="O854" s="13" t="str">
        <f aca="false">IF(C854="","",IF(N(M854)+N(N854)&lt;Settings!$C$9,"untested",M854/(M854+N854)))</f>
        <v/>
      </c>
      <c r="P854" s="9"/>
      <c r="Q854" s="9"/>
      <c r="R854" s="9"/>
      <c r="S854" s="12"/>
      <c r="T854" s="9"/>
      <c r="U854" s="9"/>
      <c r="V854" s="9"/>
      <c r="W854" s="10" t="str">
        <f aca="false">IF(C854="","",IF(OR(G854="training",G854="full"),"Yes",IF(G854="none","No","?")))</f>
        <v/>
      </c>
      <c r="X854" s="10" t="str">
        <f aca="false">IF(C854="","",IF(OR(E854="",E854="unknown"),D854,E854))</f>
        <v/>
      </c>
      <c r="Y854" s="10" t="str">
        <f aca="false">IF(C854="","",IF(OR(T854="unsuitable",T854="retired",X854="no"),"—",IF(J854="","unrated",IF(AND(X854="full",J854&gt;=Settings!$C$5,OR(O854="untested",O854&gt;=Settings!$C$6)),"A",IF(AND(OR(X854="full",X854="reduced"),J854&gt;=Settings!$C$7,OR(O854="untested",O854&gt;=Settings!$C$8)),"B","C")))))</f>
        <v/>
      </c>
      <c r="Z854" s="11" t="str">
        <f aca="false">IF(C854="","",IF(P854&lt;&gt;"",P854,Y854))</f>
        <v/>
      </c>
    </row>
    <row r="855" customFormat="false" ht="15" hidden="false" customHeight="false" outlineLevel="0" collapsed="false">
      <c r="A855" s="9"/>
      <c r="B855" s="10" t="str">
        <f aca="false">IF(A855="","",IFERROR(INDEX(Parks!$A$2:$A$255,MATCH(A855,Parks!$B$2:$B$255,0)),"?"))</f>
        <v/>
      </c>
      <c r="C855" s="9"/>
      <c r="D855" s="10" t="str">
        <f aca="false">IF(C855="","",IF(SUMPRODUCT(--ISNUMBER(SEARCH({"Nets","Wicket","Diamond","Softball","T-ball","Baseball","Netball","Tennis","Bocce","Pentaque","Petanque","Skate","Car Park","Pond","Bridle","Amphitheatre","Perimeter","Passive"},C855)))&gt;0,"no",IF(SUMPRODUCT(--ISNUMBER(SEARCH({"Cricket","Junior","Mini","Summer Football","Small"},C855)))&gt;0,"reduced",IF(SUMPRODUCT(--ISNUMBER(SEARCH({"Rugby","Football","League","Touch","Gaelic","Australian","Lacrosse","General Sport","Training Area","Ultimate"},C855)))&gt;0,"full","unknown"))))</f>
        <v/>
      </c>
      <c r="E855" s="9"/>
      <c r="F855" s="9"/>
      <c r="G855" s="9"/>
      <c r="H855" s="9"/>
      <c r="I855" s="12"/>
      <c r="J855" s="9"/>
      <c r="K855" s="9"/>
      <c r="L855" s="9"/>
      <c r="M855" s="9"/>
      <c r="N855" s="9"/>
      <c r="O855" s="13" t="str">
        <f aca="false">IF(C855="","",IF(N(M855)+N(N855)&lt;Settings!$C$9,"untested",M855/(M855+N855)))</f>
        <v/>
      </c>
      <c r="P855" s="9"/>
      <c r="Q855" s="9"/>
      <c r="R855" s="9"/>
      <c r="S855" s="12"/>
      <c r="T855" s="9"/>
      <c r="U855" s="9"/>
      <c r="V855" s="9"/>
      <c r="W855" s="10" t="str">
        <f aca="false">IF(C855="","",IF(OR(G855="training",G855="full"),"Yes",IF(G855="none","No","?")))</f>
        <v/>
      </c>
      <c r="X855" s="10" t="str">
        <f aca="false">IF(C855="","",IF(OR(E855="",E855="unknown"),D855,E855))</f>
        <v/>
      </c>
      <c r="Y855" s="10" t="str">
        <f aca="false">IF(C855="","",IF(OR(T855="unsuitable",T855="retired",X855="no"),"—",IF(J855="","unrated",IF(AND(X855="full",J855&gt;=Settings!$C$5,OR(O855="untested",O855&gt;=Settings!$C$6)),"A",IF(AND(OR(X855="full",X855="reduced"),J855&gt;=Settings!$C$7,OR(O855="untested",O855&gt;=Settings!$C$8)),"B","C")))))</f>
        <v/>
      </c>
      <c r="Z855" s="11" t="str">
        <f aca="false">IF(C855="","",IF(P855&lt;&gt;"",P855,Y855))</f>
        <v/>
      </c>
    </row>
    <row r="856" customFormat="false" ht="15" hidden="false" customHeight="false" outlineLevel="0" collapsed="false">
      <c r="A856" s="9"/>
      <c r="B856" s="10" t="str">
        <f aca="false">IF(A856="","",IFERROR(INDEX(Parks!$A$2:$A$255,MATCH(A856,Parks!$B$2:$B$255,0)),"?"))</f>
        <v/>
      </c>
      <c r="C856" s="9"/>
      <c r="D856" s="10" t="str">
        <f aca="false">IF(C856="","",IF(SUMPRODUCT(--ISNUMBER(SEARCH({"Nets","Wicket","Diamond","Softball","T-ball","Baseball","Netball","Tennis","Bocce","Pentaque","Petanque","Skate","Car Park","Pond","Bridle","Amphitheatre","Perimeter","Passive"},C856)))&gt;0,"no",IF(SUMPRODUCT(--ISNUMBER(SEARCH({"Cricket","Junior","Mini","Summer Football","Small"},C856)))&gt;0,"reduced",IF(SUMPRODUCT(--ISNUMBER(SEARCH({"Rugby","Football","League","Touch","Gaelic","Australian","Lacrosse","General Sport","Training Area","Ultimate"},C856)))&gt;0,"full","unknown"))))</f>
        <v/>
      </c>
      <c r="E856" s="9"/>
      <c r="F856" s="9"/>
      <c r="G856" s="9"/>
      <c r="H856" s="9"/>
      <c r="I856" s="12"/>
      <c r="J856" s="9"/>
      <c r="K856" s="9"/>
      <c r="L856" s="9"/>
      <c r="M856" s="9"/>
      <c r="N856" s="9"/>
      <c r="O856" s="13" t="str">
        <f aca="false">IF(C856="","",IF(N(M856)+N(N856)&lt;Settings!$C$9,"untested",M856/(M856+N856)))</f>
        <v/>
      </c>
      <c r="P856" s="9"/>
      <c r="Q856" s="9"/>
      <c r="R856" s="9"/>
      <c r="S856" s="12"/>
      <c r="T856" s="9"/>
      <c r="U856" s="9"/>
      <c r="V856" s="9"/>
      <c r="W856" s="10" t="str">
        <f aca="false">IF(C856="","",IF(OR(G856="training",G856="full"),"Yes",IF(G856="none","No","?")))</f>
        <v/>
      </c>
      <c r="X856" s="10" t="str">
        <f aca="false">IF(C856="","",IF(OR(E856="",E856="unknown"),D856,E856))</f>
        <v/>
      </c>
      <c r="Y856" s="10" t="str">
        <f aca="false">IF(C856="","",IF(OR(T856="unsuitable",T856="retired",X856="no"),"—",IF(J856="","unrated",IF(AND(X856="full",J856&gt;=Settings!$C$5,OR(O856="untested",O856&gt;=Settings!$C$6)),"A",IF(AND(OR(X856="full",X856="reduced"),J856&gt;=Settings!$C$7,OR(O856="untested",O856&gt;=Settings!$C$8)),"B","C")))))</f>
        <v/>
      </c>
      <c r="Z856" s="11" t="str">
        <f aca="false">IF(C856="","",IF(P856&lt;&gt;"",P856,Y856))</f>
        <v/>
      </c>
    </row>
    <row r="857" customFormat="false" ht="15" hidden="false" customHeight="false" outlineLevel="0" collapsed="false">
      <c r="A857" s="9"/>
      <c r="B857" s="10" t="str">
        <f aca="false">IF(A857="","",IFERROR(INDEX(Parks!$A$2:$A$255,MATCH(A857,Parks!$B$2:$B$255,0)),"?"))</f>
        <v/>
      </c>
      <c r="C857" s="9"/>
      <c r="D857" s="10" t="str">
        <f aca="false">IF(C857="","",IF(SUMPRODUCT(--ISNUMBER(SEARCH({"Nets","Wicket","Diamond","Softball","T-ball","Baseball","Netball","Tennis","Bocce","Pentaque","Petanque","Skate","Car Park","Pond","Bridle","Amphitheatre","Perimeter","Passive"},C857)))&gt;0,"no",IF(SUMPRODUCT(--ISNUMBER(SEARCH({"Cricket","Junior","Mini","Summer Football","Small"},C857)))&gt;0,"reduced",IF(SUMPRODUCT(--ISNUMBER(SEARCH({"Rugby","Football","League","Touch","Gaelic","Australian","Lacrosse","General Sport","Training Area","Ultimate"},C857)))&gt;0,"full","unknown"))))</f>
        <v/>
      </c>
      <c r="E857" s="9"/>
      <c r="F857" s="9"/>
      <c r="G857" s="9"/>
      <c r="H857" s="9"/>
      <c r="I857" s="12"/>
      <c r="J857" s="9"/>
      <c r="K857" s="9"/>
      <c r="L857" s="9"/>
      <c r="M857" s="9"/>
      <c r="N857" s="9"/>
      <c r="O857" s="13" t="str">
        <f aca="false">IF(C857="","",IF(N(M857)+N(N857)&lt;Settings!$C$9,"untested",M857/(M857+N857)))</f>
        <v/>
      </c>
      <c r="P857" s="9"/>
      <c r="Q857" s="9"/>
      <c r="R857" s="9"/>
      <c r="S857" s="12"/>
      <c r="T857" s="9"/>
      <c r="U857" s="9"/>
      <c r="V857" s="9"/>
      <c r="W857" s="10" t="str">
        <f aca="false">IF(C857="","",IF(OR(G857="training",G857="full"),"Yes",IF(G857="none","No","?")))</f>
        <v/>
      </c>
      <c r="X857" s="10" t="str">
        <f aca="false">IF(C857="","",IF(OR(E857="",E857="unknown"),D857,E857))</f>
        <v/>
      </c>
      <c r="Y857" s="10" t="str">
        <f aca="false">IF(C857="","",IF(OR(T857="unsuitable",T857="retired",X857="no"),"—",IF(J857="","unrated",IF(AND(X857="full",J857&gt;=Settings!$C$5,OR(O857="untested",O857&gt;=Settings!$C$6)),"A",IF(AND(OR(X857="full",X857="reduced"),J857&gt;=Settings!$C$7,OR(O857="untested",O857&gt;=Settings!$C$8)),"B","C")))))</f>
        <v/>
      </c>
      <c r="Z857" s="11" t="str">
        <f aca="false">IF(C857="","",IF(P857&lt;&gt;"",P857,Y857))</f>
        <v/>
      </c>
    </row>
    <row r="858" customFormat="false" ht="15" hidden="false" customHeight="false" outlineLevel="0" collapsed="false">
      <c r="A858" s="9"/>
      <c r="B858" s="10" t="str">
        <f aca="false">IF(A858="","",IFERROR(INDEX(Parks!$A$2:$A$255,MATCH(A858,Parks!$B$2:$B$255,0)),"?"))</f>
        <v/>
      </c>
      <c r="C858" s="9"/>
      <c r="D858" s="10" t="str">
        <f aca="false">IF(C858="","",IF(SUMPRODUCT(--ISNUMBER(SEARCH({"Nets","Wicket","Diamond","Softball","T-ball","Baseball","Netball","Tennis","Bocce","Pentaque","Petanque","Skate","Car Park","Pond","Bridle","Amphitheatre","Perimeter","Passive"},C858)))&gt;0,"no",IF(SUMPRODUCT(--ISNUMBER(SEARCH({"Cricket","Junior","Mini","Summer Football","Small"},C858)))&gt;0,"reduced",IF(SUMPRODUCT(--ISNUMBER(SEARCH({"Rugby","Football","League","Touch","Gaelic","Australian","Lacrosse","General Sport","Training Area","Ultimate"},C858)))&gt;0,"full","unknown"))))</f>
        <v/>
      </c>
      <c r="E858" s="9"/>
      <c r="F858" s="9"/>
      <c r="G858" s="9"/>
      <c r="H858" s="9"/>
      <c r="I858" s="12"/>
      <c r="J858" s="9"/>
      <c r="K858" s="9"/>
      <c r="L858" s="9"/>
      <c r="M858" s="9"/>
      <c r="N858" s="9"/>
      <c r="O858" s="13" t="str">
        <f aca="false">IF(C858="","",IF(N(M858)+N(N858)&lt;Settings!$C$9,"untested",M858/(M858+N858)))</f>
        <v/>
      </c>
      <c r="P858" s="9"/>
      <c r="Q858" s="9"/>
      <c r="R858" s="9"/>
      <c r="S858" s="12"/>
      <c r="T858" s="9"/>
      <c r="U858" s="9"/>
      <c r="V858" s="9"/>
      <c r="W858" s="10" t="str">
        <f aca="false">IF(C858="","",IF(OR(G858="training",G858="full"),"Yes",IF(G858="none","No","?")))</f>
        <v/>
      </c>
      <c r="X858" s="10" t="str">
        <f aca="false">IF(C858="","",IF(OR(E858="",E858="unknown"),D858,E858))</f>
        <v/>
      </c>
      <c r="Y858" s="10" t="str">
        <f aca="false">IF(C858="","",IF(OR(T858="unsuitable",T858="retired",X858="no"),"—",IF(J858="","unrated",IF(AND(X858="full",J858&gt;=Settings!$C$5,OR(O858="untested",O858&gt;=Settings!$C$6)),"A",IF(AND(OR(X858="full",X858="reduced"),J858&gt;=Settings!$C$7,OR(O858="untested",O858&gt;=Settings!$C$8)),"B","C")))))</f>
        <v/>
      </c>
      <c r="Z858" s="11" t="str">
        <f aca="false">IF(C858="","",IF(P858&lt;&gt;"",P858,Y858))</f>
        <v/>
      </c>
    </row>
    <row r="859" customFormat="false" ht="15" hidden="false" customHeight="false" outlineLevel="0" collapsed="false">
      <c r="A859" s="9"/>
      <c r="B859" s="10" t="str">
        <f aca="false">IF(A859="","",IFERROR(INDEX(Parks!$A$2:$A$255,MATCH(A859,Parks!$B$2:$B$255,0)),"?"))</f>
        <v/>
      </c>
      <c r="C859" s="9"/>
      <c r="D859" s="10" t="str">
        <f aca="false">IF(C859="","",IF(SUMPRODUCT(--ISNUMBER(SEARCH({"Nets","Wicket","Diamond","Softball","T-ball","Baseball","Netball","Tennis","Bocce","Pentaque","Petanque","Skate","Car Park","Pond","Bridle","Amphitheatre","Perimeter","Passive"},C859)))&gt;0,"no",IF(SUMPRODUCT(--ISNUMBER(SEARCH({"Cricket","Junior","Mini","Summer Football","Small"},C859)))&gt;0,"reduced",IF(SUMPRODUCT(--ISNUMBER(SEARCH({"Rugby","Football","League","Touch","Gaelic","Australian","Lacrosse","General Sport","Training Area","Ultimate"},C859)))&gt;0,"full","unknown"))))</f>
        <v/>
      </c>
      <c r="E859" s="9"/>
      <c r="F859" s="9"/>
      <c r="G859" s="9"/>
      <c r="H859" s="9"/>
      <c r="I859" s="12"/>
      <c r="J859" s="9"/>
      <c r="K859" s="9"/>
      <c r="L859" s="9"/>
      <c r="M859" s="9"/>
      <c r="N859" s="9"/>
      <c r="O859" s="13" t="str">
        <f aca="false">IF(C859="","",IF(N(M859)+N(N859)&lt;Settings!$C$9,"untested",M859/(M859+N859)))</f>
        <v/>
      </c>
      <c r="P859" s="9"/>
      <c r="Q859" s="9"/>
      <c r="R859" s="9"/>
      <c r="S859" s="12"/>
      <c r="T859" s="9"/>
      <c r="U859" s="9"/>
      <c r="V859" s="9"/>
      <c r="W859" s="10" t="str">
        <f aca="false">IF(C859="","",IF(OR(G859="training",G859="full"),"Yes",IF(G859="none","No","?")))</f>
        <v/>
      </c>
      <c r="X859" s="10" t="str">
        <f aca="false">IF(C859="","",IF(OR(E859="",E859="unknown"),D859,E859))</f>
        <v/>
      </c>
      <c r="Y859" s="10" t="str">
        <f aca="false">IF(C859="","",IF(OR(T859="unsuitable",T859="retired",X859="no"),"—",IF(J859="","unrated",IF(AND(X859="full",J859&gt;=Settings!$C$5,OR(O859="untested",O859&gt;=Settings!$C$6)),"A",IF(AND(OR(X859="full",X859="reduced"),J859&gt;=Settings!$C$7,OR(O859="untested",O859&gt;=Settings!$C$8)),"B","C")))))</f>
        <v/>
      </c>
      <c r="Z859" s="11" t="str">
        <f aca="false">IF(C859="","",IF(P859&lt;&gt;"",P859,Y859))</f>
        <v/>
      </c>
    </row>
    <row r="860" customFormat="false" ht="15" hidden="false" customHeight="false" outlineLevel="0" collapsed="false">
      <c r="A860" s="9"/>
      <c r="B860" s="10" t="str">
        <f aca="false">IF(A860="","",IFERROR(INDEX(Parks!$A$2:$A$255,MATCH(A860,Parks!$B$2:$B$255,0)),"?"))</f>
        <v/>
      </c>
      <c r="C860" s="9"/>
      <c r="D860" s="10" t="str">
        <f aca="false">IF(C860="","",IF(SUMPRODUCT(--ISNUMBER(SEARCH({"Nets","Wicket","Diamond","Softball","T-ball","Baseball","Netball","Tennis","Bocce","Pentaque","Petanque","Skate","Car Park","Pond","Bridle","Amphitheatre","Perimeter","Passive"},C860)))&gt;0,"no",IF(SUMPRODUCT(--ISNUMBER(SEARCH({"Cricket","Junior","Mini","Summer Football","Small"},C860)))&gt;0,"reduced",IF(SUMPRODUCT(--ISNUMBER(SEARCH({"Rugby","Football","League","Touch","Gaelic","Australian","Lacrosse","General Sport","Training Area","Ultimate"},C860)))&gt;0,"full","unknown"))))</f>
        <v/>
      </c>
      <c r="E860" s="9"/>
      <c r="F860" s="9"/>
      <c r="G860" s="9"/>
      <c r="H860" s="9"/>
      <c r="I860" s="12"/>
      <c r="J860" s="9"/>
      <c r="K860" s="9"/>
      <c r="L860" s="9"/>
      <c r="M860" s="9"/>
      <c r="N860" s="9"/>
      <c r="O860" s="13" t="str">
        <f aca="false">IF(C860="","",IF(N(M860)+N(N860)&lt;Settings!$C$9,"untested",M860/(M860+N860)))</f>
        <v/>
      </c>
      <c r="P860" s="9"/>
      <c r="Q860" s="9"/>
      <c r="R860" s="9"/>
      <c r="S860" s="12"/>
      <c r="T860" s="9"/>
      <c r="U860" s="9"/>
      <c r="V860" s="9"/>
      <c r="W860" s="10" t="str">
        <f aca="false">IF(C860="","",IF(OR(G860="training",G860="full"),"Yes",IF(G860="none","No","?")))</f>
        <v/>
      </c>
      <c r="X860" s="10" t="str">
        <f aca="false">IF(C860="","",IF(OR(E860="",E860="unknown"),D860,E860))</f>
        <v/>
      </c>
      <c r="Y860" s="10" t="str">
        <f aca="false">IF(C860="","",IF(OR(T860="unsuitable",T860="retired",X860="no"),"—",IF(J860="","unrated",IF(AND(X860="full",J860&gt;=Settings!$C$5,OR(O860="untested",O860&gt;=Settings!$C$6)),"A",IF(AND(OR(X860="full",X860="reduced"),J860&gt;=Settings!$C$7,OR(O860="untested",O860&gt;=Settings!$C$8)),"B","C")))))</f>
        <v/>
      </c>
      <c r="Z860" s="11" t="str">
        <f aca="false">IF(C860="","",IF(P860&lt;&gt;"",P860,Y860))</f>
        <v/>
      </c>
    </row>
    <row r="861" customFormat="false" ht="15" hidden="false" customHeight="false" outlineLevel="0" collapsed="false">
      <c r="A861" s="9"/>
      <c r="B861" s="10" t="str">
        <f aca="false">IF(A861="","",IFERROR(INDEX(Parks!$A$2:$A$255,MATCH(A861,Parks!$B$2:$B$255,0)),"?"))</f>
        <v/>
      </c>
      <c r="C861" s="9"/>
      <c r="D861" s="10" t="str">
        <f aca="false">IF(C861="","",IF(SUMPRODUCT(--ISNUMBER(SEARCH({"Nets","Wicket","Diamond","Softball","T-ball","Baseball","Netball","Tennis","Bocce","Pentaque","Petanque","Skate","Car Park","Pond","Bridle","Amphitheatre","Perimeter","Passive"},C861)))&gt;0,"no",IF(SUMPRODUCT(--ISNUMBER(SEARCH({"Cricket","Junior","Mini","Summer Football","Small"},C861)))&gt;0,"reduced",IF(SUMPRODUCT(--ISNUMBER(SEARCH({"Rugby","Football","League","Touch","Gaelic","Australian","Lacrosse","General Sport","Training Area","Ultimate"},C861)))&gt;0,"full","unknown"))))</f>
        <v/>
      </c>
      <c r="E861" s="9"/>
      <c r="F861" s="9"/>
      <c r="G861" s="9"/>
      <c r="H861" s="9"/>
      <c r="I861" s="12"/>
      <c r="J861" s="9"/>
      <c r="K861" s="9"/>
      <c r="L861" s="9"/>
      <c r="M861" s="9"/>
      <c r="N861" s="9"/>
      <c r="O861" s="13" t="str">
        <f aca="false">IF(C861="","",IF(N(M861)+N(N861)&lt;Settings!$C$9,"untested",M861/(M861+N861)))</f>
        <v/>
      </c>
      <c r="P861" s="9"/>
      <c r="Q861" s="9"/>
      <c r="R861" s="9"/>
      <c r="S861" s="12"/>
      <c r="T861" s="9"/>
      <c r="U861" s="9"/>
      <c r="V861" s="9"/>
      <c r="W861" s="10" t="str">
        <f aca="false">IF(C861="","",IF(OR(G861="training",G861="full"),"Yes",IF(G861="none","No","?")))</f>
        <v/>
      </c>
      <c r="X861" s="10" t="str">
        <f aca="false">IF(C861="","",IF(OR(E861="",E861="unknown"),D861,E861))</f>
        <v/>
      </c>
      <c r="Y861" s="10" t="str">
        <f aca="false">IF(C861="","",IF(OR(T861="unsuitable",T861="retired",X861="no"),"—",IF(J861="","unrated",IF(AND(X861="full",J861&gt;=Settings!$C$5,OR(O861="untested",O861&gt;=Settings!$C$6)),"A",IF(AND(OR(X861="full",X861="reduced"),J861&gt;=Settings!$C$7,OR(O861="untested",O861&gt;=Settings!$C$8)),"B","C")))))</f>
        <v/>
      </c>
      <c r="Z861" s="11" t="str">
        <f aca="false">IF(C861="","",IF(P861&lt;&gt;"",P861,Y861))</f>
        <v/>
      </c>
    </row>
    <row r="862" customFormat="false" ht="15" hidden="false" customHeight="false" outlineLevel="0" collapsed="false">
      <c r="A862" s="9"/>
      <c r="B862" s="10" t="str">
        <f aca="false">IF(A862="","",IFERROR(INDEX(Parks!$A$2:$A$255,MATCH(A862,Parks!$B$2:$B$255,0)),"?"))</f>
        <v/>
      </c>
      <c r="C862" s="9"/>
      <c r="D862" s="10" t="str">
        <f aca="false">IF(C862="","",IF(SUMPRODUCT(--ISNUMBER(SEARCH({"Nets","Wicket","Diamond","Softball","T-ball","Baseball","Netball","Tennis","Bocce","Pentaque","Petanque","Skate","Car Park","Pond","Bridle","Amphitheatre","Perimeter","Passive"},C862)))&gt;0,"no",IF(SUMPRODUCT(--ISNUMBER(SEARCH({"Cricket","Junior","Mini","Summer Football","Small"},C862)))&gt;0,"reduced",IF(SUMPRODUCT(--ISNUMBER(SEARCH({"Rugby","Football","League","Touch","Gaelic","Australian","Lacrosse","General Sport","Training Area","Ultimate"},C862)))&gt;0,"full","unknown"))))</f>
        <v/>
      </c>
      <c r="E862" s="9"/>
      <c r="F862" s="9"/>
      <c r="G862" s="9"/>
      <c r="H862" s="9"/>
      <c r="I862" s="12"/>
      <c r="J862" s="9"/>
      <c r="K862" s="9"/>
      <c r="L862" s="9"/>
      <c r="M862" s="9"/>
      <c r="N862" s="9"/>
      <c r="O862" s="13" t="str">
        <f aca="false">IF(C862="","",IF(N(M862)+N(N862)&lt;Settings!$C$9,"untested",M862/(M862+N862)))</f>
        <v/>
      </c>
      <c r="P862" s="9"/>
      <c r="Q862" s="9"/>
      <c r="R862" s="9"/>
      <c r="S862" s="12"/>
      <c r="T862" s="9"/>
      <c r="U862" s="9"/>
      <c r="V862" s="9"/>
      <c r="W862" s="10" t="str">
        <f aca="false">IF(C862="","",IF(OR(G862="training",G862="full"),"Yes",IF(G862="none","No","?")))</f>
        <v/>
      </c>
      <c r="X862" s="10" t="str">
        <f aca="false">IF(C862="","",IF(OR(E862="",E862="unknown"),D862,E862))</f>
        <v/>
      </c>
      <c r="Y862" s="10" t="str">
        <f aca="false">IF(C862="","",IF(OR(T862="unsuitable",T862="retired",X862="no"),"—",IF(J862="","unrated",IF(AND(X862="full",J862&gt;=Settings!$C$5,OR(O862="untested",O862&gt;=Settings!$C$6)),"A",IF(AND(OR(X862="full",X862="reduced"),J862&gt;=Settings!$C$7,OR(O862="untested",O862&gt;=Settings!$C$8)),"B","C")))))</f>
        <v/>
      </c>
      <c r="Z862" s="11" t="str">
        <f aca="false">IF(C862="","",IF(P862&lt;&gt;"",P862,Y862))</f>
        <v/>
      </c>
    </row>
    <row r="863" customFormat="false" ht="15" hidden="false" customHeight="false" outlineLevel="0" collapsed="false">
      <c r="A863" s="9"/>
      <c r="B863" s="10" t="str">
        <f aca="false">IF(A863="","",IFERROR(INDEX(Parks!$A$2:$A$255,MATCH(A863,Parks!$B$2:$B$255,0)),"?"))</f>
        <v/>
      </c>
      <c r="C863" s="9"/>
      <c r="D863" s="10" t="str">
        <f aca="false">IF(C863="","",IF(SUMPRODUCT(--ISNUMBER(SEARCH({"Nets","Wicket","Diamond","Softball","T-ball","Baseball","Netball","Tennis","Bocce","Pentaque","Petanque","Skate","Car Park","Pond","Bridle","Amphitheatre","Perimeter","Passive"},C863)))&gt;0,"no",IF(SUMPRODUCT(--ISNUMBER(SEARCH({"Cricket","Junior","Mini","Summer Football","Small"},C863)))&gt;0,"reduced",IF(SUMPRODUCT(--ISNUMBER(SEARCH({"Rugby","Football","League","Touch","Gaelic","Australian","Lacrosse","General Sport","Training Area","Ultimate"},C863)))&gt;0,"full","unknown"))))</f>
        <v/>
      </c>
      <c r="E863" s="9"/>
      <c r="F863" s="9"/>
      <c r="G863" s="9"/>
      <c r="H863" s="9"/>
      <c r="I863" s="12"/>
      <c r="J863" s="9"/>
      <c r="K863" s="9"/>
      <c r="L863" s="9"/>
      <c r="M863" s="9"/>
      <c r="N863" s="9"/>
      <c r="O863" s="13" t="str">
        <f aca="false">IF(C863="","",IF(N(M863)+N(N863)&lt;Settings!$C$9,"untested",M863/(M863+N863)))</f>
        <v/>
      </c>
      <c r="P863" s="9"/>
      <c r="Q863" s="9"/>
      <c r="R863" s="9"/>
      <c r="S863" s="12"/>
      <c r="T863" s="9"/>
      <c r="U863" s="9"/>
      <c r="V863" s="9"/>
      <c r="W863" s="10" t="str">
        <f aca="false">IF(C863="","",IF(OR(G863="training",G863="full"),"Yes",IF(G863="none","No","?")))</f>
        <v/>
      </c>
      <c r="X863" s="10" t="str">
        <f aca="false">IF(C863="","",IF(OR(E863="",E863="unknown"),D863,E863))</f>
        <v/>
      </c>
      <c r="Y863" s="10" t="str">
        <f aca="false">IF(C863="","",IF(OR(T863="unsuitable",T863="retired",X863="no"),"—",IF(J863="","unrated",IF(AND(X863="full",J863&gt;=Settings!$C$5,OR(O863="untested",O863&gt;=Settings!$C$6)),"A",IF(AND(OR(X863="full",X863="reduced"),J863&gt;=Settings!$C$7,OR(O863="untested",O863&gt;=Settings!$C$8)),"B","C")))))</f>
        <v/>
      </c>
      <c r="Z863" s="11" t="str">
        <f aca="false">IF(C863="","",IF(P863&lt;&gt;"",P863,Y863))</f>
        <v/>
      </c>
    </row>
    <row r="864" customFormat="false" ht="15" hidden="false" customHeight="false" outlineLevel="0" collapsed="false">
      <c r="A864" s="9"/>
      <c r="B864" s="10" t="str">
        <f aca="false">IF(A864="","",IFERROR(INDEX(Parks!$A$2:$A$255,MATCH(A864,Parks!$B$2:$B$255,0)),"?"))</f>
        <v/>
      </c>
      <c r="C864" s="9"/>
      <c r="D864" s="10" t="str">
        <f aca="false">IF(C864="","",IF(SUMPRODUCT(--ISNUMBER(SEARCH({"Nets","Wicket","Diamond","Softball","T-ball","Baseball","Netball","Tennis","Bocce","Pentaque","Petanque","Skate","Car Park","Pond","Bridle","Amphitheatre","Perimeter","Passive"},C864)))&gt;0,"no",IF(SUMPRODUCT(--ISNUMBER(SEARCH({"Cricket","Junior","Mini","Summer Football","Small"},C864)))&gt;0,"reduced",IF(SUMPRODUCT(--ISNUMBER(SEARCH({"Rugby","Football","League","Touch","Gaelic","Australian","Lacrosse","General Sport","Training Area","Ultimate"},C864)))&gt;0,"full","unknown"))))</f>
        <v/>
      </c>
      <c r="E864" s="9"/>
      <c r="F864" s="9"/>
      <c r="G864" s="9"/>
      <c r="H864" s="9"/>
      <c r="I864" s="12"/>
      <c r="J864" s="9"/>
      <c r="K864" s="9"/>
      <c r="L864" s="9"/>
      <c r="M864" s="9"/>
      <c r="N864" s="9"/>
      <c r="O864" s="13" t="str">
        <f aca="false">IF(C864="","",IF(N(M864)+N(N864)&lt;Settings!$C$9,"untested",M864/(M864+N864)))</f>
        <v/>
      </c>
      <c r="P864" s="9"/>
      <c r="Q864" s="9"/>
      <c r="R864" s="9"/>
      <c r="S864" s="12"/>
      <c r="T864" s="9"/>
      <c r="U864" s="9"/>
      <c r="V864" s="9"/>
      <c r="W864" s="10" t="str">
        <f aca="false">IF(C864="","",IF(OR(G864="training",G864="full"),"Yes",IF(G864="none","No","?")))</f>
        <v/>
      </c>
      <c r="X864" s="10" t="str">
        <f aca="false">IF(C864="","",IF(OR(E864="",E864="unknown"),D864,E864))</f>
        <v/>
      </c>
      <c r="Y864" s="10" t="str">
        <f aca="false">IF(C864="","",IF(OR(T864="unsuitable",T864="retired",X864="no"),"—",IF(J864="","unrated",IF(AND(X864="full",J864&gt;=Settings!$C$5,OR(O864="untested",O864&gt;=Settings!$C$6)),"A",IF(AND(OR(X864="full",X864="reduced"),J864&gt;=Settings!$C$7,OR(O864="untested",O864&gt;=Settings!$C$8)),"B","C")))))</f>
        <v/>
      </c>
      <c r="Z864" s="11" t="str">
        <f aca="false">IF(C864="","",IF(P864&lt;&gt;"",P864,Y864))</f>
        <v/>
      </c>
    </row>
    <row r="865" customFormat="false" ht="15" hidden="false" customHeight="false" outlineLevel="0" collapsed="false">
      <c r="A865" s="9"/>
      <c r="B865" s="10" t="str">
        <f aca="false">IF(A865="","",IFERROR(INDEX(Parks!$A$2:$A$255,MATCH(A865,Parks!$B$2:$B$255,0)),"?"))</f>
        <v/>
      </c>
      <c r="C865" s="9"/>
      <c r="D865" s="10" t="str">
        <f aca="false">IF(C865="","",IF(SUMPRODUCT(--ISNUMBER(SEARCH({"Nets","Wicket","Diamond","Softball","T-ball","Baseball","Netball","Tennis","Bocce","Pentaque","Petanque","Skate","Car Park","Pond","Bridle","Amphitheatre","Perimeter","Passive"},C865)))&gt;0,"no",IF(SUMPRODUCT(--ISNUMBER(SEARCH({"Cricket","Junior","Mini","Summer Football","Small"},C865)))&gt;0,"reduced",IF(SUMPRODUCT(--ISNUMBER(SEARCH({"Rugby","Football","League","Touch","Gaelic","Australian","Lacrosse","General Sport","Training Area","Ultimate"},C865)))&gt;0,"full","unknown"))))</f>
        <v/>
      </c>
      <c r="E865" s="9"/>
      <c r="F865" s="9"/>
      <c r="G865" s="9"/>
      <c r="H865" s="9"/>
      <c r="I865" s="12"/>
      <c r="J865" s="9"/>
      <c r="K865" s="9"/>
      <c r="L865" s="9"/>
      <c r="M865" s="9"/>
      <c r="N865" s="9"/>
      <c r="O865" s="13" t="str">
        <f aca="false">IF(C865="","",IF(N(M865)+N(N865)&lt;Settings!$C$9,"untested",M865/(M865+N865)))</f>
        <v/>
      </c>
      <c r="P865" s="9"/>
      <c r="Q865" s="9"/>
      <c r="R865" s="9"/>
      <c r="S865" s="12"/>
      <c r="T865" s="9"/>
      <c r="U865" s="9"/>
      <c r="V865" s="9"/>
      <c r="W865" s="10" t="str">
        <f aca="false">IF(C865="","",IF(OR(G865="training",G865="full"),"Yes",IF(G865="none","No","?")))</f>
        <v/>
      </c>
      <c r="X865" s="10" t="str">
        <f aca="false">IF(C865="","",IF(OR(E865="",E865="unknown"),D865,E865))</f>
        <v/>
      </c>
      <c r="Y865" s="10" t="str">
        <f aca="false">IF(C865="","",IF(OR(T865="unsuitable",T865="retired",X865="no"),"—",IF(J865="","unrated",IF(AND(X865="full",J865&gt;=Settings!$C$5,OR(O865="untested",O865&gt;=Settings!$C$6)),"A",IF(AND(OR(X865="full",X865="reduced"),J865&gt;=Settings!$C$7,OR(O865="untested",O865&gt;=Settings!$C$8)),"B","C")))))</f>
        <v/>
      </c>
      <c r="Z865" s="11" t="str">
        <f aca="false">IF(C865="","",IF(P865&lt;&gt;"",P865,Y865))</f>
        <v/>
      </c>
    </row>
    <row r="866" customFormat="false" ht="15" hidden="false" customHeight="false" outlineLevel="0" collapsed="false">
      <c r="A866" s="9"/>
      <c r="B866" s="10" t="str">
        <f aca="false">IF(A866="","",IFERROR(INDEX(Parks!$A$2:$A$255,MATCH(A866,Parks!$B$2:$B$255,0)),"?"))</f>
        <v/>
      </c>
      <c r="C866" s="9"/>
      <c r="D866" s="10" t="str">
        <f aca="false">IF(C866="","",IF(SUMPRODUCT(--ISNUMBER(SEARCH({"Nets","Wicket","Diamond","Softball","T-ball","Baseball","Netball","Tennis","Bocce","Pentaque","Petanque","Skate","Car Park","Pond","Bridle","Amphitheatre","Perimeter","Passive"},C866)))&gt;0,"no",IF(SUMPRODUCT(--ISNUMBER(SEARCH({"Cricket","Junior","Mini","Summer Football","Small"},C866)))&gt;0,"reduced",IF(SUMPRODUCT(--ISNUMBER(SEARCH({"Rugby","Football","League","Touch","Gaelic","Australian","Lacrosse","General Sport","Training Area","Ultimate"},C866)))&gt;0,"full","unknown"))))</f>
        <v/>
      </c>
      <c r="E866" s="9"/>
      <c r="F866" s="9"/>
      <c r="G866" s="9"/>
      <c r="H866" s="9"/>
      <c r="I866" s="12"/>
      <c r="J866" s="9"/>
      <c r="K866" s="9"/>
      <c r="L866" s="9"/>
      <c r="M866" s="9"/>
      <c r="N866" s="9"/>
      <c r="O866" s="13" t="str">
        <f aca="false">IF(C866="","",IF(N(M866)+N(N866)&lt;Settings!$C$9,"untested",M866/(M866+N866)))</f>
        <v/>
      </c>
      <c r="P866" s="9"/>
      <c r="Q866" s="9"/>
      <c r="R866" s="9"/>
      <c r="S866" s="12"/>
      <c r="T866" s="9"/>
      <c r="U866" s="9"/>
      <c r="V866" s="9"/>
      <c r="W866" s="10" t="str">
        <f aca="false">IF(C866="","",IF(OR(G866="training",G866="full"),"Yes",IF(G866="none","No","?")))</f>
        <v/>
      </c>
      <c r="X866" s="10" t="str">
        <f aca="false">IF(C866="","",IF(OR(E866="",E866="unknown"),D866,E866))</f>
        <v/>
      </c>
      <c r="Y866" s="10" t="str">
        <f aca="false">IF(C866="","",IF(OR(T866="unsuitable",T866="retired",X866="no"),"—",IF(J866="","unrated",IF(AND(X866="full",J866&gt;=Settings!$C$5,OR(O866="untested",O866&gt;=Settings!$C$6)),"A",IF(AND(OR(X866="full",X866="reduced"),J866&gt;=Settings!$C$7,OR(O866="untested",O866&gt;=Settings!$C$8)),"B","C")))))</f>
        <v/>
      </c>
      <c r="Z866" s="11" t="str">
        <f aca="false">IF(C866="","",IF(P866&lt;&gt;"",P866,Y866))</f>
        <v/>
      </c>
    </row>
    <row r="867" customFormat="false" ht="15" hidden="false" customHeight="false" outlineLevel="0" collapsed="false">
      <c r="A867" s="9"/>
      <c r="B867" s="10" t="str">
        <f aca="false">IF(A867="","",IFERROR(INDEX(Parks!$A$2:$A$255,MATCH(A867,Parks!$B$2:$B$255,0)),"?"))</f>
        <v/>
      </c>
      <c r="C867" s="9"/>
      <c r="D867" s="10" t="str">
        <f aca="false">IF(C867="","",IF(SUMPRODUCT(--ISNUMBER(SEARCH({"Nets","Wicket","Diamond","Softball","T-ball","Baseball","Netball","Tennis","Bocce","Pentaque","Petanque","Skate","Car Park","Pond","Bridle","Amphitheatre","Perimeter","Passive"},C867)))&gt;0,"no",IF(SUMPRODUCT(--ISNUMBER(SEARCH({"Cricket","Junior","Mini","Summer Football","Small"},C867)))&gt;0,"reduced",IF(SUMPRODUCT(--ISNUMBER(SEARCH({"Rugby","Football","League","Touch","Gaelic","Australian","Lacrosse","General Sport","Training Area","Ultimate"},C867)))&gt;0,"full","unknown"))))</f>
        <v/>
      </c>
      <c r="E867" s="9"/>
      <c r="F867" s="9"/>
      <c r="G867" s="9"/>
      <c r="H867" s="9"/>
      <c r="I867" s="12"/>
      <c r="J867" s="9"/>
      <c r="K867" s="9"/>
      <c r="L867" s="9"/>
      <c r="M867" s="9"/>
      <c r="N867" s="9"/>
      <c r="O867" s="13" t="str">
        <f aca="false">IF(C867="","",IF(N(M867)+N(N867)&lt;Settings!$C$9,"untested",M867/(M867+N867)))</f>
        <v/>
      </c>
      <c r="P867" s="9"/>
      <c r="Q867" s="9"/>
      <c r="R867" s="9"/>
      <c r="S867" s="12"/>
      <c r="T867" s="9"/>
      <c r="U867" s="9"/>
      <c r="V867" s="9"/>
      <c r="W867" s="10" t="str">
        <f aca="false">IF(C867="","",IF(OR(G867="training",G867="full"),"Yes",IF(G867="none","No","?")))</f>
        <v/>
      </c>
      <c r="X867" s="10" t="str">
        <f aca="false">IF(C867="","",IF(OR(E867="",E867="unknown"),D867,E867))</f>
        <v/>
      </c>
      <c r="Y867" s="10" t="str">
        <f aca="false">IF(C867="","",IF(OR(T867="unsuitable",T867="retired",X867="no"),"—",IF(J867="","unrated",IF(AND(X867="full",J867&gt;=Settings!$C$5,OR(O867="untested",O867&gt;=Settings!$C$6)),"A",IF(AND(OR(X867="full",X867="reduced"),J867&gt;=Settings!$C$7,OR(O867="untested",O867&gt;=Settings!$C$8)),"B","C")))))</f>
        <v/>
      </c>
      <c r="Z867" s="11" t="str">
        <f aca="false">IF(C867="","",IF(P867&lt;&gt;"",P867,Y867))</f>
        <v/>
      </c>
    </row>
    <row r="868" customFormat="false" ht="15" hidden="false" customHeight="false" outlineLevel="0" collapsed="false">
      <c r="A868" s="9"/>
      <c r="B868" s="10" t="str">
        <f aca="false">IF(A868="","",IFERROR(INDEX(Parks!$A$2:$A$255,MATCH(A868,Parks!$B$2:$B$255,0)),"?"))</f>
        <v/>
      </c>
      <c r="C868" s="9"/>
      <c r="D868" s="10" t="str">
        <f aca="false">IF(C868="","",IF(SUMPRODUCT(--ISNUMBER(SEARCH({"Nets","Wicket","Diamond","Softball","T-ball","Baseball","Netball","Tennis","Bocce","Pentaque","Petanque","Skate","Car Park","Pond","Bridle","Amphitheatre","Perimeter","Passive"},C868)))&gt;0,"no",IF(SUMPRODUCT(--ISNUMBER(SEARCH({"Cricket","Junior","Mini","Summer Football","Small"},C868)))&gt;0,"reduced",IF(SUMPRODUCT(--ISNUMBER(SEARCH({"Rugby","Football","League","Touch","Gaelic","Australian","Lacrosse","General Sport","Training Area","Ultimate"},C868)))&gt;0,"full","unknown"))))</f>
        <v/>
      </c>
      <c r="E868" s="9"/>
      <c r="F868" s="9"/>
      <c r="G868" s="9"/>
      <c r="H868" s="9"/>
      <c r="I868" s="12"/>
      <c r="J868" s="9"/>
      <c r="K868" s="9"/>
      <c r="L868" s="9"/>
      <c r="M868" s="9"/>
      <c r="N868" s="9"/>
      <c r="O868" s="13" t="str">
        <f aca="false">IF(C868="","",IF(N(M868)+N(N868)&lt;Settings!$C$9,"untested",M868/(M868+N868)))</f>
        <v/>
      </c>
      <c r="P868" s="9"/>
      <c r="Q868" s="9"/>
      <c r="R868" s="9"/>
      <c r="S868" s="12"/>
      <c r="T868" s="9"/>
      <c r="U868" s="9"/>
      <c r="V868" s="9"/>
      <c r="W868" s="10" t="str">
        <f aca="false">IF(C868="","",IF(OR(G868="training",G868="full"),"Yes",IF(G868="none","No","?")))</f>
        <v/>
      </c>
      <c r="X868" s="10" t="str">
        <f aca="false">IF(C868="","",IF(OR(E868="",E868="unknown"),D868,E868))</f>
        <v/>
      </c>
      <c r="Y868" s="10" t="str">
        <f aca="false">IF(C868="","",IF(OR(T868="unsuitable",T868="retired",X868="no"),"—",IF(J868="","unrated",IF(AND(X868="full",J868&gt;=Settings!$C$5,OR(O868="untested",O868&gt;=Settings!$C$6)),"A",IF(AND(OR(X868="full",X868="reduced"),J868&gt;=Settings!$C$7,OR(O868="untested",O868&gt;=Settings!$C$8)),"B","C")))))</f>
        <v/>
      </c>
      <c r="Z868" s="11" t="str">
        <f aca="false">IF(C868="","",IF(P868&lt;&gt;"",P868,Y868))</f>
        <v/>
      </c>
    </row>
    <row r="869" customFormat="false" ht="15" hidden="false" customHeight="false" outlineLevel="0" collapsed="false">
      <c r="A869" s="9"/>
      <c r="B869" s="10" t="str">
        <f aca="false">IF(A869="","",IFERROR(INDEX(Parks!$A$2:$A$255,MATCH(A869,Parks!$B$2:$B$255,0)),"?"))</f>
        <v/>
      </c>
      <c r="C869" s="9"/>
      <c r="D869" s="10" t="str">
        <f aca="false">IF(C869="","",IF(SUMPRODUCT(--ISNUMBER(SEARCH({"Nets","Wicket","Diamond","Softball","T-ball","Baseball","Netball","Tennis","Bocce","Pentaque","Petanque","Skate","Car Park","Pond","Bridle","Amphitheatre","Perimeter","Passive"},C869)))&gt;0,"no",IF(SUMPRODUCT(--ISNUMBER(SEARCH({"Cricket","Junior","Mini","Summer Football","Small"},C869)))&gt;0,"reduced",IF(SUMPRODUCT(--ISNUMBER(SEARCH({"Rugby","Football","League","Touch","Gaelic","Australian","Lacrosse","General Sport","Training Area","Ultimate"},C869)))&gt;0,"full","unknown"))))</f>
        <v/>
      </c>
      <c r="E869" s="9"/>
      <c r="F869" s="9"/>
      <c r="G869" s="9"/>
      <c r="H869" s="9"/>
      <c r="I869" s="12"/>
      <c r="J869" s="9"/>
      <c r="K869" s="9"/>
      <c r="L869" s="9"/>
      <c r="M869" s="9"/>
      <c r="N869" s="9"/>
      <c r="O869" s="13" t="str">
        <f aca="false">IF(C869="","",IF(N(M869)+N(N869)&lt;Settings!$C$9,"untested",M869/(M869+N869)))</f>
        <v/>
      </c>
      <c r="P869" s="9"/>
      <c r="Q869" s="9"/>
      <c r="R869" s="9"/>
      <c r="S869" s="12"/>
      <c r="T869" s="9"/>
      <c r="U869" s="9"/>
      <c r="V869" s="9"/>
      <c r="W869" s="10" t="str">
        <f aca="false">IF(C869="","",IF(OR(G869="training",G869="full"),"Yes",IF(G869="none","No","?")))</f>
        <v/>
      </c>
      <c r="X869" s="10" t="str">
        <f aca="false">IF(C869="","",IF(OR(E869="",E869="unknown"),D869,E869))</f>
        <v/>
      </c>
      <c r="Y869" s="10" t="str">
        <f aca="false">IF(C869="","",IF(OR(T869="unsuitable",T869="retired",X869="no"),"—",IF(J869="","unrated",IF(AND(X869="full",J869&gt;=Settings!$C$5,OR(O869="untested",O869&gt;=Settings!$C$6)),"A",IF(AND(OR(X869="full",X869="reduced"),J869&gt;=Settings!$C$7,OR(O869="untested",O869&gt;=Settings!$C$8)),"B","C")))))</f>
        <v/>
      </c>
      <c r="Z869" s="11" t="str">
        <f aca="false">IF(C869="","",IF(P869&lt;&gt;"",P869,Y869))</f>
        <v/>
      </c>
    </row>
    <row r="870" customFormat="false" ht="15" hidden="false" customHeight="false" outlineLevel="0" collapsed="false">
      <c r="A870" s="9"/>
      <c r="B870" s="10" t="str">
        <f aca="false">IF(A870="","",IFERROR(INDEX(Parks!$A$2:$A$255,MATCH(A870,Parks!$B$2:$B$255,0)),"?"))</f>
        <v/>
      </c>
      <c r="C870" s="9"/>
      <c r="D870" s="10" t="str">
        <f aca="false">IF(C870="","",IF(SUMPRODUCT(--ISNUMBER(SEARCH({"Nets","Wicket","Diamond","Softball","T-ball","Baseball","Netball","Tennis","Bocce","Pentaque","Petanque","Skate","Car Park","Pond","Bridle","Amphitheatre","Perimeter","Passive"},C870)))&gt;0,"no",IF(SUMPRODUCT(--ISNUMBER(SEARCH({"Cricket","Junior","Mini","Summer Football","Small"},C870)))&gt;0,"reduced",IF(SUMPRODUCT(--ISNUMBER(SEARCH({"Rugby","Football","League","Touch","Gaelic","Australian","Lacrosse","General Sport","Training Area","Ultimate"},C870)))&gt;0,"full","unknown"))))</f>
        <v/>
      </c>
      <c r="E870" s="9"/>
      <c r="F870" s="9"/>
      <c r="G870" s="9"/>
      <c r="H870" s="9"/>
      <c r="I870" s="12"/>
      <c r="J870" s="9"/>
      <c r="K870" s="9"/>
      <c r="L870" s="9"/>
      <c r="M870" s="9"/>
      <c r="N870" s="9"/>
      <c r="O870" s="13" t="str">
        <f aca="false">IF(C870="","",IF(N(M870)+N(N870)&lt;Settings!$C$9,"untested",M870/(M870+N870)))</f>
        <v/>
      </c>
      <c r="P870" s="9"/>
      <c r="Q870" s="9"/>
      <c r="R870" s="9"/>
      <c r="S870" s="12"/>
      <c r="T870" s="9"/>
      <c r="U870" s="9"/>
      <c r="V870" s="9"/>
      <c r="W870" s="10" t="str">
        <f aca="false">IF(C870="","",IF(OR(G870="training",G870="full"),"Yes",IF(G870="none","No","?")))</f>
        <v/>
      </c>
      <c r="X870" s="10" t="str">
        <f aca="false">IF(C870="","",IF(OR(E870="",E870="unknown"),D870,E870))</f>
        <v/>
      </c>
      <c r="Y870" s="10" t="str">
        <f aca="false">IF(C870="","",IF(OR(T870="unsuitable",T870="retired",X870="no"),"—",IF(J870="","unrated",IF(AND(X870="full",J870&gt;=Settings!$C$5,OR(O870="untested",O870&gt;=Settings!$C$6)),"A",IF(AND(OR(X870="full",X870="reduced"),J870&gt;=Settings!$C$7,OR(O870="untested",O870&gt;=Settings!$C$8)),"B","C")))))</f>
        <v/>
      </c>
      <c r="Z870" s="11" t="str">
        <f aca="false">IF(C870="","",IF(P870&lt;&gt;"",P870,Y870))</f>
        <v/>
      </c>
    </row>
    <row r="871" customFormat="false" ht="15" hidden="false" customHeight="false" outlineLevel="0" collapsed="false">
      <c r="A871" s="9"/>
      <c r="B871" s="10" t="str">
        <f aca="false">IF(A871="","",IFERROR(INDEX(Parks!$A$2:$A$255,MATCH(A871,Parks!$B$2:$B$255,0)),"?"))</f>
        <v/>
      </c>
      <c r="C871" s="9"/>
      <c r="D871" s="10" t="str">
        <f aca="false">IF(C871="","",IF(SUMPRODUCT(--ISNUMBER(SEARCH({"Nets","Wicket","Diamond","Softball","T-ball","Baseball","Netball","Tennis","Bocce","Pentaque","Petanque","Skate","Car Park","Pond","Bridle","Amphitheatre","Perimeter","Passive"},C871)))&gt;0,"no",IF(SUMPRODUCT(--ISNUMBER(SEARCH({"Cricket","Junior","Mini","Summer Football","Small"},C871)))&gt;0,"reduced",IF(SUMPRODUCT(--ISNUMBER(SEARCH({"Rugby","Football","League","Touch","Gaelic","Australian","Lacrosse","General Sport","Training Area","Ultimate"},C871)))&gt;0,"full","unknown"))))</f>
        <v/>
      </c>
      <c r="E871" s="9"/>
      <c r="F871" s="9"/>
      <c r="G871" s="9"/>
      <c r="H871" s="9"/>
      <c r="I871" s="12"/>
      <c r="J871" s="9"/>
      <c r="K871" s="9"/>
      <c r="L871" s="9"/>
      <c r="M871" s="9"/>
      <c r="N871" s="9"/>
      <c r="O871" s="13" t="str">
        <f aca="false">IF(C871="","",IF(N(M871)+N(N871)&lt;Settings!$C$9,"untested",M871/(M871+N871)))</f>
        <v/>
      </c>
      <c r="P871" s="9"/>
      <c r="Q871" s="9"/>
      <c r="R871" s="9"/>
      <c r="S871" s="12"/>
      <c r="T871" s="9"/>
      <c r="U871" s="9"/>
      <c r="V871" s="9"/>
      <c r="W871" s="10" t="str">
        <f aca="false">IF(C871="","",IF(OR(G871="training",G871="full"),"Yes",IF(G871="none","No","?")))</f>
        <v/>
      </c>
      <c r="X871" s="10" t="str">
        <f aca="false">IF(C871="","",IF(OR(E871="",E871="unknown"),D871,E871))</f>
        <v/>
      </c>
      <c r="Y871" s="10" t="str">
        <f aca="false">IF(C871="","",IF(OR(T871="unsuitable",T871="retired",X871="no"),"—",IF(J871="","unrated",IF(AND(X871="full",J871&gt;=Settings!$C$5,OR(O871="untested",O871&gt;=Settings!$C$6)),"A",IF(AND(OR(X871="full",X871="reduced"),J871&gt;=Settings!$C$7,OR(O871="untested",O871&gt;=Settings!$C$8)),"B","C")))))</f>
        <v/>
      </c>
      <c r="Z871" s="11" t="str">
        <f aca="false">IF(C871="","",IF(P871&lt;&gt;"",P871,Y871))</f>
        <v/>
      </c>
    </row>
    <row r="872" customFormat="false" ht="15" hidden="false" customHeight="false" outlineLevel="0" collapsed="false">
      <c r="A872" s="9"/>
      <c r="B872" s="10" t="str">
        <f aca="false">IF(A872="","",IFERROR(INDEX(Parks!$A$2:$A$255,MATCH(A872,Parks!$B$2:$B$255,0)),"?"))</f>
        <v/>
      </c>
      <c r="C872" s="9"/>
      <c r="D872" s="10" t="str">
        <f aca="false">IF(C872="","",IF(SUMPRODUCT(--ISNUMBER(SEARCH({"Nets","Wicket","Diamond","Softball","T-ball","Baseball","Netball","Tennis","Bocce","Pentaque","Petanque","Skate","Car Park","Pond","Bridle","Amphitheatre","Perimeter","Passive"},C872)))&gt;0,"no",IF(SUMPRODUCT(--ISNUMBER(SEARCH({"Cricket","Junior","Mini","Summer Football","Small"},C872)))&gt;0,"reduced",IF(SUMPRODUCT(--ISNUMBER(SEARCH({"Rugby","Football","League","Touch","Gaelic","Australian","Lacrosse","General Sport","Training Area","Ultimate"},C872)))&gt;0,"full","unknown"))))</f>
        <v/>
      </c>
      <c r="E872" s="9"/>
      <c r="F872" s="9"/>
      <c r="G872" s="9"/>
      <c r="H872" s="9"/>
      <c r="I872" s="12"/>
      <c r="J872" s="9"/>
      <c r="K872" s="9"/>
      <c r="L872" s="9"/>
      <c r="M872" s="9"/>
      <c r="N872" s="9"/>
      <c r="O872" s="13" t="str">
        <f aca="false">IF(C872="","",IF(N(M872)+N(N872)&lt;Settings!$C$9,"untested",M872/(M872+N872)))</f>
        <v/>
      </c>
      <c r="P872" s="9"/>
      <c r="Q872" s="9"/>
      <c r="R872" s="9"/>
      <c r="S872" s="12"/>
      <c r="T872" s="9"/>
      <c r="U872" s="9"/>
      <c r="V872" s="9"/>
      <c r="W872" s="10" t="str">
        <f aca="false">IF(C872="","",IF(OR(G872="training",G872="full"),"Yes",IF(G872="none","No","?")))</f>
        <v/>
      </c>
      <c r="X872" s="10" t="str">
        <f aca="false">IF(C872="","",IF(OR(E872="",E872="unknown"),D872,E872))</f>
        <v/>
      </c>
      <c r="Y872" s="10" t="str">
        <f aca="false">IF(C872="","",IF(OR(T872="unsuitable",T872="retired",X872="no"),"—",IF(J872="","unrated",IF(AND(X872="full",J872&gt;=Settings!$C$5,OR(O872="untested",O872&gt;=Settings!$C$6)),"A",IF(AND(OR(X872="full",X872="reduced"),J872&gt;=Settings!$C$7,OR(O872="untested",O872&gt;=Settings!$C$8)),"B","C")))))</f>
        <v/>
      </c>
      <c r="Z872" s="11" t="str">
        <f aca="false">IF(C872="","",IF(P872&lt;&gt;"",P872,Y872))</f>
        <v/>
      </c>
    </row>
    <row r="873" customFormat="false" ht="15" hidden="false" customHeight="false" outlineLevel="0" collapsed="false">
      <c r="A873" s="9"/>
      <c r="B873" s="10" t="str">
        <f aca="false">IF(A873="","",IFERROR(INDEX(Parks!$A$2:$A$255,MATCH(A873,Parks!$B$2:$B$255,0)),"?"))</f>
        <v/>
      </c>
      <c r="C873" s="9"/>
      <c r="D873" s="10" t="str">
        <f aca="false">IF(C873="","",IF(SUMPRODUCT(--ISNUMBER(SEARCH({"Nets","Wicket","Diamond","Softball","T-ball","Baseball","Netball","Tennis","Bocce","Pentaque","Petanque","Skate","Car Park","Pond","Bridle","Amphitheatre","Perimeter","Passive"},C873)))&gt;0,"no",IF(SUMPRODUCT(--ISNUMBER(SEARCH({"Cricket","Junior","Mini","Summer Football","Small"},C873)))&gt;0,"reduced",IF(SUMPRODUCT(--ISNUMBER(SEARCH({"Rugby","Football","League","Touch","Gaelic","Australian","Lacrosse","General Sport","Training Area","Ultimate"},C873)))&gt;0,"full","unknown"))))</f>
        <v/>
      </c>
      <c r="E873" s="9"/>
      <c r="F873" s="9"/>
      <c r="G873" s="9"/>
      <c r="H873" s="9"/>
      <c r="I873" s="12"/>
      <c r="J873" s="9"/>
      <c r="K873" s="9"/>
      <c r="L873" s="9"/>
      <c r="M873" s="9"/>
      <c r="N873" s="9"/>
      <c r="O873" s="13" t="str">
        <f aca="false">IF(C873="","",IF(N(M873)+N(N873)&lt;Settings!$C$9,"untested",M873/(M873+N873)))</f>
        <v/>
      </c>
      <c r="P873" s="9"/>
      <c r="Q873" s="9"/>
      <c r="R873" s="9"/>
      <c r="S873" s="12"/>
      <c r="T873" s="9"/>
      <c r="U873" s="9"/>
      <c r="V873" s="9"/>
      <c r="W873" s="10" t="str">
        <f aca="false">IF(C873="","",IF(OR(G873="training",G873="full"),"Yes",IF(G873="none","No","?")))</f>
        <v/>
      </c>
      <c r="X873" s="10" t="str">
        <f aca="false">IF(C873="","",IF(OR(E873="",E873="unknown"),D873,E873))</f>
        <v/>
      </c>
      <c r="Y873" s="10" t="str">
        <f aca="false">IF(C873="","",IF(OR(T873="unsuitable",T873="retired",X873="no"),"—",IF(J873="","unrated",IF(AND(X873="full",J873&gt;=Settings!$C$5,OR(O873="untested",O873&gt;=Settings!$C$6)),"A",IF(AND(OR(X873="full",X873="reduced"),J873&gt;=Settings!$C$7,OR(O873="untested",O873&gt;=Settings!$C$8)),"B","C")))))</f>
        <v/>
      </c>
      <c r="Z873" s="11" t="str">
        <f aca="false">IF(C873="","",IF(P873&lt;&gt;"",P873,Y873))</f>
        <v/>
      </c>
    </row>
    <row r="874" customFormat="false" ht="15" hidden="false" customHeight="false" outlineLevel="0" collapsed="false">
      <c r="A874" s="9"/>
      <c r="B874" s="10" t="str">
        <f aca="false">IF(A874="","",IFERROR(INDEX(Parks!$A$2:$A$255,MATCH(A874,Parks!$B$2:$B$255,0)),"?"))</f>
        <v/>
      </c>
      <c r="C874" s="9"/>
      <c r="D874" s="10" t="str">
        <f aca="false">IF(C874="","",IF(SUMPRODUCT(--ISNUMBER(SEARCH({"Nets","Wicket","Diamond","Softball","T-ball","Baseball","Netball","Tennis","Bocce","Pentaque","Petanque","Skate","Car Park","Pond","Bridle","Amphitheatre","Perimeter","Passive"},C874)))&gt;0,"no",IF(SUMPRODUCT(--ISNUMBER(SEARCH({"Cricket","Junior","Mini","Summer Football","Small"},C874)))&gt;0,"reduced",IF(SUMPRODUCT(--ISNUMBER(SEARCH({"Rugby","Football","League","Touch","Gaelic","Australian","Lacrosse","General Sport","Training Area","Ultimate"},C874)))&gt;0,"full","unknown"))))</f>
        <v/>
      </c>
      <c r="E874" s="9"/>
      <c r="F874" s="9"/>
      <c r="G874" s="9"/>
      <c r="H874" s="9"/>
      <c r="I874" s="12"/>
      <c r="J874" s="9"/>
      <c r="K874" s="9"/>
      <c r="L874" s="9"/>
      <c r="M874" s="9"/>
      <c r="N874" s="9"/>
      <c r="O874" s="13" t="str">
        <f aca="false">IF(C874="","",IF(N(M874)+N(N874)&lt;Settings!$C$9,"untested",M874/(M874+N874)))</f>
        <v/>
      </c>
      <c r="P874" s="9"/>
      <c r="Q874" s="9"/>
      <c r="R874" s="9"/>
      <c r="S874" s="12"/>
      <c r="T874" s="9"/>
      <c r="U874" s="9"/>
      <c r="V874" s="9"/>
      <c r="W874" s="10" t="str">
        <f aca="false">IF(C874="","",IF(OR(G874="training",G874="full"),"Yes",IF(G874="none","No","?")))</f>
        <v/>
      </c>
      <c r="X874" s="10" t="str">
        <f aca="false">IF(C874="","",IF(OR(E874="",E874="unknown"),D874,E874))</f>
        <v/>
      </c>
      <c r="Y874" s="10" t="str">
        <f aca="false">IF(C874="","",IF(OR(T874="unsuitable",T874="retired",X874="no"),"—",IF(J874="","unrated",IF(AND(X874="full",J874&gt;=Settings!$C$5,OR(O874="untested",O874&gt;=Settings!$C$6)),"A",IF(AND(OR(X874="full",X874="reduced"),J874&gt;=Settings!$C$7,OR(O874="untested",O874&gt;=Settings!$C$8)),"B","C")))))</f>
        <v/>
      </c>
      <c r="Z874" s="11" t="str">
        <f aca="false">IF(C874="","",IF(P874&lt;&gt;"",P874,Y874))</f>
        <v/>
      </c>
    </row>
    <row r="875" customFormat="false" ht="15" hidden="false" customHeight="false" outlineLevel="0" collapsed="false">
      <c r="A875" s="9"/>
      <c r="B875" s="10" t="str">
        <f aca="false">IF(A875="","",IFERROR(INDEX(Parks!$A$2:$A$255,MATCH(A875,Parks!$B$2:$B$255,0)),"?"))</f>
        <v/>
      </c>
      <c r="C875" s="9"/>
      <c r="D875" s="10" t="str">
        <f aca="false">IF(C875="","",IF(SUMPRODUCT(--ISNUMBER(SEARCH({"Nets","Wicket","Diamond","Softball","T-ball","Baseball","Netball","Tennis","Bocce","Pentaque","Petanque","Skate","Car Park","Pond","Bridle","Amphitheatre","Perimeter","Passive"},C875)))&gt;0,"no",IF(SUMPRODUCT(--ISNUMBER(SEARCH({"Cricket","Junior","Mini","Summer Football","Small"},C875)))&gt;0,"reduced",IF(SUMPRODUCT(--ISNUMBER(SEARCH({"Rugby","Football","League","Touch","Gaelic","Australian","Lacrosse","General Sport","Training Area","Ultimate"},C875)))&gt;0,"full","unknown"))))</f>
        <v/>
      </c>
      <c r="E875" s="9"/>
      <c r="F875" s="9"/>
      <c r="G875" s="9"/>
      <c r="H875" s="9"/>
      <c r="I875" s="12"/>
      <c r="J875" s="9"/>
      <c r="K875" s="9"/>
      <c r="L875" s="9"/>
      <c r="M875" s="9"/>
      <c r="N875" s="9"/>
      <c r="O875" s="13" t="str">
        <f aca="false">IF(C875="","",IF(N(M875)+N(N875)&lt;Settings!$C$9,"untested",M875/(M875+N875)))</f>
        <v/>
      </c>
      <c r="P875" s="9"/>
      <c r="Q875" s="9"/>
      <c r="R875" s="9"/>
      <c r="S875" s="12"/>
      <c r="T875" s="9"/>
      <c r="U875" s="9"/>
      <c r="V875" s="9"/>
      <c r="W875" s="10" t="str">
        <f aca="false">IF(C875="","",IF(OR(G875="training",G875="full"),"Yes",IF(G875="none","No","?")))</f>
        <v/>
      </c>
      <c r="X875" s="10" t="str">
        <f aca="false">IF(C875="","",IF(OR(E875="",E875="unknown"),D875,E875))</f>
        <v/>
      </c>
      <c r="Y875" s="10" t="str">
        <f aca="false">IF(C875="","",IF(OR(T875="unsuitable",T875="retired",X875="no"),"—",IF(J875="","unrated",IF(AND(X875="full",J875&gt;=Settings!$C$5,OR(O875="untested",O875&gt;=Settings!$C$6)),"A",IF(AND(OR(X875="full",X875="reduced"),J875&gt;=Settings!$C$7,OR(O875="untested",O875&gt;=Settings!$C$8)),"B","C")))))</f>
        <v/>
      </c>
      <c r="Z875" s="11" t="str">
        <f aca="false">IF(C875="","",IF(P875&lt;&gt;"",P875,Y875))</f>
        <v/>
      </c>
    </row>
    <row r="876" customFormat="false" ht="15" hidden="false" customHeight="false" outlineLevel="0" collapsed="false">
      <c r="A876" s="9"/>
      <c r="B876" s="10" t="str">
        <f aca="false">IF(A876="","",IFERROR(INDEX(Parks!$A$2:$A$255,MATCH(A876,Parks!$B$2:$B$255,0)),"?"))</f>
        <v/>
      </c>
      <c r="C876" s="9"/>
      <c r="D876" s="10" t="str">
        <f aca="false">IF(C876="","",IF(SUMPRODUCT(--ISNUMBER(SEARCH({"Nets","Wicket","Diamond","Softball","T-ball","Baseball","Netball","Tennis","Bocce","Pentaque","Petanque","Skate","Car Park","Pond","Bridle","Amphitheatre","Perimeter","Passive"},C876)))&gt;0,"no",IF(SUMPRODUCT(--ISNUMBER(SEARCH({"Cricket","Junior","Mini","Summer Football","Small"},C876)))&gt;0,"reduced",IF(SUMPRODUCT(--ISNUMBER(SEARCH({"Rugby","Football","League","Touch","Gaelic","Australian","Lacrosse","General Sport","Training Area","Ultimate"},C876)))&gt;0,"full","unknown"))))</f>
        <v/>
      </c>
      <c r="E876" s="9"/>
      <c r="F876" s="9"/>
      <c r="G876" s="9"/>
      <c r="H876" s="9"/>
      <c r="I876" s="12"/>
      <c r="J876" s="9"/>
      <c r="K876" s="9"/>
      <c r="L876" s="9"/>
      <c r="M876" s="9"/>
      <c r="N876" s="9"/>
      <c r="O876" s="13" t="str">
        <f aca="false">IF(C876="","",IF(N(M876)+N(N876)&lt;Settings!$C$9,"untested",M876/(M876+N876)))</f>
        <v/>
      </c>
      <c r="P876" s="9"/>
      <c r="Q876" s="9"/>
      <c r="R876" s="9"/>
      <c r="S876" s="12"/>
      <c r="T876" s="9"/>
      <c r="U876" s="9"/>
      <c r="V876" s="9"/>
      <c r="W876" s="10" t="str">
        <f aca="false">IF(C876="","",IF(OR(G876="training",G876="full"),"Yes",IF(G876="none","No","?")))</f>
        <v/>
      </c>
      <c r="X876" s="10" t="str">
        <f aca="false">IF(C876="","",IF(OR(E876="",E876="unknown"),D876,E876))</f>
        <v/>
      </c>
      <c r="Y876" s="10" t="str">
        <f aca="false">IF(C876="","",IF(OR(T876="unsuitable",T876="retired",X876="no"),"—",IF(J876="","unrated",IF(AND(X876="full",J876&gt;=Settings!$C$5,OR(O876="untested",O876&gt;=Settings!$C$6)),"A",IF(AND(OR(X876="full",X876="reduced"),J876&gt;=Settings!$C$7,OR(O876="untested",O876&gt;=Settings!$C$8)),"B","C")))))</f>
        <v/>
      </c>
      <c r="Z876" s="11" t="str">
        <f aca="false">IF(C876="","",IF(P876&lt;&gt;"",P876,Y876))</f>
        <v/>
      </c>
    </row>
    <row r="877" customFormat="false" ht="15" hidden="false" customHeight="false" outlineLevel="0" collapsed="false">
      <c r="A877" s="9"/>
      <c r="B877" s="10" t="str">
        <f aca="false">IF(A877="","",IFERROR(INDEX(Parks!$A$2:$A$255,MATCH(A877,Parks!$B$2:$B$255,0)),"?"))</f>
        <v/>
      </c>
      <c r="C877" s="9"/>
      <c r="D877" s="10" t="str">
        <f aca="false">IF(C877="","",IF(SUMPRODUCT(--ISNUMBER(SEARCH({"Nets","Wicket","Diamond","Softball","T-ball","Baseball","Netball","Tennis","Bocce","Pentaque","Petanque","Skate","Car Park","Pond","Bridle","Amphitheatre","Perimeter","Passive"},C877)))&gt;0,"no",IF(SUMPRODUCT(--ISNUMBER(SEARCH({"Cricket","Junior","Mini","Summer Football","Small"},C877)))&gt;0,"reduced",IF(SUMPRODUCT(--ISNUMBER(SEARCH({"Rugby","Football","League","Touch","Gaelic","Australian","Lacrosse","General Sport","Training Area","Ultimate"},C877)))&gt;0,"full","unknown"))))</f>
        <v/>
      </c>
      <c r="E877" s="9"/>
      <c r="F877" s="9"/>
      <c r="G877" s="9"/>
      <c r="H877" s="9"/>
      <c r="I877" s="12"/>
      <c r="J877" s="9"/>
      <c r="K877" s="9"/>
      <c r="L877" s="9"/>
      <c r="M877" s="9"/>
      <c r="N877" s="9"/>
      <c r="O877" s="13" t="str">
        <f aca="false">IF(C877="","",IF(N(M877)+N(N877)&lt;Settings!$C$9,"untested",M877/(M877+N877)))</f>
        <v/>
      </c>
      <c r="P877" s="9"/>
      <c r="Q877" s="9"/>
      <c r="R877" s="9"/>
      <c r="S877" s="12"/>
      <c r="T877" s="9"/>
      <c r="U877" s="9"/>
      <c r="V877" s="9"/>
      <c r="W877" s="10" t="str">
        <f aca="false">IF(C877="","",IF(OR(G877="training",G877="full"),"Yes",IF(G877="none","No","?")))</f>
        <v/>
      </c>
      <c r="X877" s="10" t="str">
        <f aca="false">IF(C877="","",IF(OR(E877="",E877="unknown"),D877,E877))</f>
        <v/>
      </c>
      <c r="Y877" s="10" t="str">
        <f aca="false">IF(C877="","",IF(OR(T877="unsuitable",T877="retired",X877="no"),"—",IF(J877="","unrated",IF(AND(X877="full",J877&gt;=Settings!$C$5,OR(O877="untested",O877&gt;=Settings!$C$6)),"A",IF(AND(OR(X877="full",X877="reduced"),J877&gt;=Settings!$C$7,OR(O877="untested",O877&gt;=Settings!$C$8)),"B","C")))))</f>
        <v/>
      </c>
      <c r="Z877" s="11" t="str">
        <f aca="false">IF(C877="","",IF(P877&lt;&gt;"",P877,Y877))</f>
        <v/>
      </c>
    </row>
    <row r="878" customFormat="false" ht="15" hidden="false" customHeight="false" outlineLevel="0" collapsed="false">
      <c r="A878" s="9"/>
      <c r="B878" s="10" t="str">
        <f aca="false">IF(A878="","",IFERROR(INDEX(Parks!$A$2:$A$255,MATCH(A878,Parks!$B$2:$B$255,0)),"?"))</f>
        <v/>
      </c>
      <c r="C878" s="9"/>
      <c r="D878" s="10" t="str">
        <f aca="false">IF(C878="","",IF(SUMPRODUCT(--ISNUMBER(SEARCH({"Nets","Wicket","Diamond","Softball","T-ball","Baseball","Netball","Tennis","Bocce","Pentaque","Petanque","Skate","Car Park","Pond","Bridle","Amphitheatre","Perimeter","Passive"},C878)))&gt;0,"no",IF(SUMPRODUCT(--ISNUMBER(SEARCH({"Cricket","Junior","Mini","Summer Football","Small"},C878)))&gt;0,"reduced",IF(SUMPRODUCT(--ISNUMBER(SEARCH({"Rugby","Football","League","Touch","Gaelic","Australian","Lacrosse","General Sport","Training Area","Ultimate"},C878)))&gt;0,"full","unknown"))))</f>
        <v/>
      </c>
      <c r="E878" s="9"/>
      <c r="F878" s="9"/>
      <c r="G878" s="9"/>
      <c r="H878" s="9"/>
      <c r="I878" s="12"/>
      <c r="J878" s="9"/>
      <c r="K878" s="9"/>
      <c r="L878" s="9"/>
      <c r="M878" s="9"/>
      <c r="N878" s="9"/>
      <c r="O878" s="13" t="str">
        <f aca="false">IF(C878="","",IF(N(M878)+N(N878)&lt;Settings!$C$9,"untested",M878/(M878+N878)))</f>
        <v/>
      </c>
      <c r="P878" s="9"/>
      <c r="Q878" s="9"/>
      <c r="R878" s="9"/>
      <c r="S878" s="12"/>
      <c r="T878" s="9"/>
      <c r="U878" s="9"/>
      <c r="V878" s="9"/>
      <c r="W878" s="10" t="str">
        <f aca="false">IF(C878="","",IF(OR(G878="training",G878="full"),"Yes",IF(G878="none","No","?")))</f>
        <v/>
      </c>
      <c r="X878" s="10" t="str">
        <f aca="false">IF(C878="","",IF(OR(E878="",E878="unknown"),D878,E878))</f>
        <v/>
      </c>
      <c r="Y878" s="10" t="str">
        <f aca="false">IF(C878="","",IF(OR(T878="unsuitable",T878="retired",X878="no"),"—",IF(J878="","unrated",IF(AND(X878="full",J878&gt;=Settings!$C$5,OR(O878="untested",O878&gt;=Settings!$C$6)),"A",IF(AND(OR(X878="full",X878="reduced"),J878&gt;=Settings!$C$7,OR(O878="untested",O878&gt;=Settings!$C$8)),"B","C")))))</f>
        <v/>
      </c>
      <c r="Z878" s="11" t="str">
        <f aca="false">IF(C878="","",IF(P878&lt;&gt;"",P878,Y878))</f>
        <v/>
      </c>
    </row>
    <row r="879" customFormat="false" ht="15" hidden="false" customHeight="false" outlineLevel="0" collapsed="false">
      <c r="A879" s="9"/>
      <c r="B879" s="10" t="str">
        <f aca="false">IF(A879="","",IFERROR(INDEX(Parks!$A$2:$A$255,MATCH(A879,Parks!$B$2:$B$255,0)),"?"))</f>
        <v/>
      </c>
      <c r="C879" s="9"/>
      <c r="D879" s="10" t="str">
        <f aca="false">IF(C879="","",IF(SUMPRODUCT(--ISNUMBER(SEARCH({"Nets","Wicket","Diamond","Softball","T-ball","Baseball","Netball","Tennis","Bocce","Pentaque","Petanque","Skate","Car Park","Pond","Bridle","Amphitheatre","Perimeter","Passive"},C879)))&gt;0,"no",IF(SUMPRODUCT(--ISNUMBER(SEARCH({"Cricket","Junior","Mini","Summer Football","Small"},C879)))&gt;0,"reduced",IF(SUMPRODUCT(--ISNUMBER(SEARCH({"Rugby","Football","League","Touch","Gaelic","Australian","Lacrosse","General Sport","Training Area","Ultimate"},C879)))&gt;0,"full","unknown"))))</f>
        <v/>
      </c>
      <c r="E879" s="9"/>
      <c r="F879" s="9"/>
      <c r="G879" s="9"/>
      <c r="H879" s="9"/>
      <c r="I879" s="12"/>
      <c r="J879" s="9"/>
      <c r="K879" s="9"/>
      <c r="L879" s="9"/>
      <c r="M879" s="9"/>
      <c r="N879" s="9"/>
      <c r="O879" s="13" t="str">
        <f aca="false">IF(C879="","",IF(N(M879)+N(N879)&lt;Settings!$C$9,"untested",M879/(M879+N879)))</f>
        <v/>
      </c>
      <c r="P879" s="9"/>
      <c r="Q879" s="9"/>
      <c r="R879" s="9"/>
      <c r="S879" s="12"/>
      <c r="T879" s="9"/>
      <c r="U879" s="9"/>
      <c r="V879" s="9"/>
      <c r="W879" s="10" t="str">
        <f aca="false">IF(C879="","",IF(OR(G879="training",G879="full"),"Yes",IF(G879="none","No","?")))</f>
        <v/>
      </c>
      <c r="X879" s="10" t="str">
        <f aca="false">IF(C879="","",IF(OR(E879="",E879="unknown"),D879,E879))</f>
        <v/>
      </c>
      <c r="Y879" s="10" t="str">
        <f aca="false">IF(C879="","",IF(OR(T879="unsuitable",T879="retired",X879="no"),"—",IF(J879="","unrated",IF(AND(X879="full",J879&gt;=Settings!$C$5,OR(O879="untested",O879&gt;=Settings!$C$6)),"A",IF(AND(OR(X879="full",X879="reduced"),J879&gt;=Settings!$C$7,OR(O879="untested",O879&gt;=Settings!$C$8)),"B","C")))))</f>
        <v/>
      </c>
      <c r="Z879" s="11" t="str">
        <f aca="false">IF(C879="","",IF(P879&lt;&gt;"",P879,Y879))</f>
        <v/>
      </c>
    </row>
    <row r="880" customFormat="false" ht="15" hidden="false" customHeight="false" outlineLevel="0" collapsed="false">
      <c r="A880" s="9"/>
      <c r="B880" s="10" t="str">
        <f aca="false">IF(A880="","",IFERROR(INDEX(Parks!$A$2:$A$255,MATCH(A880,Parks!$B$2:$B$255,0)),"?"))</f>
        <v/>
      </c>
      <c r="C880" s="9"/>
      <c r="D880" s="10" t="str">
        <f aca="false">IF(C880="","",IF(SUMPRODUCT(--ISNUMBER(SEARCH({"Nets","Wicket","Diamond","Softball","T-ball","Baseball","Netball","Tennis","Bocce","Pentaque","Petanque","Skate","Car Park","Pond","Bridle","Amphitheatre","Perimeter","Passive"},C880)))&gt;0,"no",IF(SUMPRODUCT(--ISNUMBER(SEARCH({"Cricket","Junior","Mini","Summer Football","Small"},C880)))&gt;0,"reduced",IF(SUMPRODUCT(--ISNUMBER(SEARCH({"Rugby","Football","League","Touch","Gaelic","Australian","Lacrosse","General Sport","Training Area","Ultimate"},C880)))&gt;0,"full","unknown"))))</f>
        <v/>
      </c>
      <c r="E880" s="9"/>
      <c r="F880" s="9"/>
      <c r="G880" s="9"/>
      <c r="H880" s="9"/>
      <c r="I880" s="12"/>
      <c r="J880" s="9"/>
      <c r="K880" s="9"/>
      <c r="L880" s="9"/>
      <c r="M880" s="9"/>
      <c r="N880" s="9"/>
      <c r="O880" s="13" t="str">
        <f aca="false">IF(C880="","",IF(N(M880)+N(N880)&lt;Settings!$C$9,"untested",M880/(M880+N880)))</f>
        <v/>
      </c>
      <c r="P880" s="9"/>
      <c r="Q880" s="9"/>
      <c r="R880" s="9"/>
      <c r="S880" s="12"/>
      <c r="T880" s="9"/>
      <c r="U880" s="9"/>
      <c r="V880" s="9"/>
      <c r="W880" s="10" t="str">
        <f aca="false">IF(C880="","",IF(OR(G880="training",G880="full"),"Yes",IF(G880="none","No","?")))</f>
        <v/>
      </c>
      <c r="X880" s="10" t="str">
        <f aca="false">IF(C880="","",IF(OR(E880="",E880="unknown"),D880,E880))</f>
        <v/>
      </c>
      <c r="Y880" s="10" t="str">
        <f aca="false">IF(C880="","",IF(OR(T880="unsuitable",T880="retired",X880="no"),"—",IF(J880="","unrated",IF(AND(X880="full",J880&gt;=Settings!$C$5,OR(O880="untested",O880&gt;=Settings!$C$6)),"A",IF(AND(OR(X880="full",X880="reduced"),J880&gt;=Settings!$C$7,OR(O880="untested",O880&gt;=Settings!$C$8)),"B","C")))))</f>
        <v/>
      </c>
      <c r="Z880" s="11" t="str">
        <f aca="false">IF(C880="","",IF(P880&lt;&gt;"",P880,Y880))</f>
        <v/>
      </c>
    </row>
    <row r="881" customFormat="false" ht="15" hidden="false" customHeight="false" outlineLevel="0" collapsed="false">
      <c r="A881" s="9"/>
      <c r="B881" s="10" t="str">
        <f aca="false">IF(A881="","",IFERROR(INDEX(Parks!$A$2:$A$255,MATCH(A881,Parks!$B$2:$B$255,0)),"?"))</f>
        <v/>
      </c>
      <c r="C881" s="9"/>
      <c r="D881" s="10" t="str">
        <f aca="false">IF(C881="","",IF(SUMPRODUCT(--ISNUMBER(SEARCH({"Nets","Wicket","Diamond","Softball","T-ball","Baseball","Netball","Tennis","Bocce","Pentaque","Petanque","Skate","Car Park","Pond","Bridle","Amphitheatre","Perimeter","Passive"},C881)))&gt;0,"no",IF(SUMPRODUCT(--ISNUMBER(SEARCH({"Cricket","Junior","Mini","Summer Football","Small"},C881)))&gt;0,"reduced",IF(SUMPRODUCT(--ISNUMBER(SEARCH({"Rugby","Football","League","Touch","Gaelic","Australian","Lacrosse","General Sport","Training Area","Ultimate"},C881)))&gt;0,"full","unknown"))))</f>
        <v/>
      </c>
      <c r="E881" s="9"/>
      <c r="F881" s="9"/>
      <c r="G881" s="9"/>
      <c r="H881" s="9"/>
      <c r="I881" s="12"/>
      <c r="J881" s="9"/>
      <c r="K881" s="9"/>
      <c r="L881" s="9"/>
      <c r="M881" s="9"/>
      <c r="N881" s="9"/>
      <c r="O881" s="13" t="str">
        <f aca="false">IF(C881="","",IF(N(M881)+N(N881)&lt;Settings!$C$9,"untested",M881/(M881+N881)))</f>
        <v/>
      </c>
      <c r="P881" s="9"/>
      <c r="Q881" s="9"/>
      <c r="R881" s="9"/>
      <c r="S881" s="12"/>
      <c r="T881" s="9"/>
      <c r="U881" s="9"/>
      <c r="V881" s="9"/>
      <c r="W881" s="10" t="str">
        <f aca="false">IF(C881="","",IF(OR(G881="training",G881="full"),"Yes",IF(G881="none","No","?")))</f>
        <v/>
      </c>
      <c r="X881" s="10" t="str">
        <f aca="false">IF(C881="","",IF(OR(E881="",E881="unknown"),D881,E881))</f>
        <v/>
      </c>
      <c r="Y881" s="10" t="str">
        <f aca="false">IF(C881="","",IF(OR(T881="unsuitable",T881="retired",X881="no"),"—",IF(J881="","unrated",IF(AND(X881="full",J881&gt;=Settings!$C$5,OR(O881="untested",O881&gt;=Settings!$C$6)),"A",IF(AND(OR(X881="full",X881="reduced"),J881&gt;=Settings!$C$7,OR(O881="untested",O881&gt;=Settings!$C$8)),"B","C")))))</f>
        <v/>
      </c>
      <c r="Z881" s="11" t="str">
        <f aca="false">IF(C881="","",IF(P881&lt;&gt;"",P881,Y881))</f>
        <v/>
      </c>
    </row>
    <row r="882" customFormat="false" ht="15" hidden="false" customHeight="false" outlineLevel="0" collapsed="false">
      <c r="A882" s="9"/>
      <c r="B882" s="10" t="str">
        <f aca="false">IF(A882="","",IFERROR(INDEX(Parks!$A$2:$A$255,MATCH(A882,Parks!$B$2:$B$255,0)),"?"))</f>
        <v/>
      </c>
      <c r="C882" s="9"/>
      <c r="D882" s="10" t="str">
        <f aca="false">IF(C882="","",IF(SUMPRODUCT(--ISNUMBER(SEARCH({"Nets","Wicket","Diamond","Softball","T-ball","Baseball","Netball","Tennis","Bocce","Pentaque","Petanque","Skate","Car Park","Pond","Bridle","Amphitheatre","Perimeter","Passive"},C882)))&gt;0,"no",IF(SUMPRODUCT(--ISNUMBER(SEARCH({"Cricket","Junior","Mini","Summer Football","Small"},C882)))&gt;0,"reduced",IF(SUMPRODUCT(--ISNUMBER(SEARCH({"Rugby","Football","League","Touch","Gaelic","Australian","Lacrosse","General Sport","Training Area","Ultimate"},C882)))&gt;0,"full","unknown"))))</f>
        <v/>
      </c>
      <c r="E882" s="9"/>
      <c r="F882" s="9"/>
      <c r="G882" s="9"/>
      <c r="H882" s="9"/>
      <c r="I882" s="12"/>
      <c r="J882" s="9"/>
      <c r="K882" s="9"/>
      <c r="L882" s="9"/>
      <c r="M882" s="9"/>
      <c r="N882" s="9"/>
      <c r="O882" s="13" t="str">
        <f aca="false">IF(C882="","",IF(N(M882)+N(N882)&lt;Settings!$C$9,"untested",M882/(M882+N882)))</f>
        <v/>
      </c>
      <c r="P882" s="9"/>
      <c r="Q882" s="9"/>
      <c r="R882" s="9"/>
      <c r="S882" s="12"/>
      <c r="T882" s="9"/>
      <c r="U882" s="9"/>
      <c r="V882" s="9"/>
      <c r="W882" s="10" t="str">
        <f aca="false">IF(C882="","",IF(OR(G882="training",G882="full"),"Yes",IF(G882="none","No","?")))</f>
        <v/>
      </c>
      <c r="X882" s="10" t="str">
        <f aca="false">IF(C882="","",IF(OR(E882="",E882="unknown"),D882,E882))</f>
        <v/>
      </c>
      <c r="Y882" s="10" t="str">
        <f aca="false">IF(C882="","",IF(OR(T882="unsuitable",T882="retired",X882="no"),"—",IF(J882="","unrated",IF(AND(X882="full",J882&gt;=Settings!$C$5,OR(O882="untested",O882&gt;=Settings!$C$6)),"A",IF(AND(OR(X882="full",X882="reduced"),J882&gt;=Settings!$C$7,OR(O882="untested",O882&gt;=Settings!$C$8)),"B","C")))))</f>
        <v/>
      </c>
      <c r="Z882" s="11" t="str">
        <f aca="false">IF(C882="","",IF(P882&lt;&gt;"",P882,Y882))</f>
        <v/>
      </c>
    </row>
    <row r="883" customFormat="false" ht="15" hidden="false" customHeight="false" outlineLevel="0" collapsed="false">
      <c r="A883" s="9"/>
      <c r="B883" s="10" t="str">
        <f aca="false">IF(A883="","",IFERROR(INDEX(Parks!$A$2:$A$255,MATCH(A883,Parks!$B$2:$B$255,0)),"?"))</f>
        <v/>
      </c>
      <c r="C883" s="9"/>
      <c r="D883" s="10" t="str">
        <f aca="false">IF(C883="","",IF(SUMPRODUCT(--ISNUMBER(SEARCH({"Nets","Wicket","Diamond","Softball","T-ball","Baseball","Netball","Tennis","Bocce","Pentaque","Petanque","Skate","Car Park","Pond","Bridle","Amphitheatre","Perimeter","Passive"},C883)))&gt;0,"no",IF(SUMPRODUCT(--ISNUMBER(SEARCH({"Cricket","Junior","Mini","Summer Football","Small"},C883)))&gt;0,"reduced",IF(SUMPRODUCT(--ISNUMBER(SEARCH({"Rugby","Football","League","Touch","Gaelic","Australian","Lacrosse","General Sport","Training Area","Ultimate"},C883)))&gt;0,"full","unknown"))))</f>
        <v/>
      </c>
      <c r="E883" s="9"/>
      <c r="F883" s="9"/>
      <c r="G883" s="9"/>
      <c r="H883" s="9"/>
      <c r="I883" s="12"/>
      <c r="J883" s="9"/>
      <c r="K883" s="9"/>
      <c r="L883" s="9"/>
      <c r="M883" s="9"/>
      <c r="N883" s="9"/>
      <c r="O883" s="13" t="str">
        <f aca="false">IF(C883="","",IF(N(M883)+N(N883)&lt;Settings!$C$9,"untested",M883/(M883+N883)))</f>
        <v/>
      </c>
      <c r="P883" s="9"/>
      <c r="Q883" s="9"/>
      <c r="R883" s="9"/>
      <c r="S883" s="12"/>
      <c r="T883" s="9"/>
      <c r="U883" s="9"/>
      <c r="V883" s="9"/>
      <c r="W883" s="10" t="str">
        <f aca="false">IF(C883="","",IF(OR(G883="training",G883="full"),"Yes",IF(G883="none","No","?")))</f>
        <v/>
      </c>
      <c r="X883" s="10" t="str">
        <f aca="false">IF(C883="","",IF(OR(E883="",E883="unknown"),D883,E883))</f>
        <v/>
      </c>
      <c r="Y883" s="10" t="str">
        <f aca="false">IF(C883="","",IF(OR(T883="unsuitable",T883="retired",X883="no"),"—",IF(J883="","unrated",IF(AND(X883="full",J883&gt;=Settings!$C$5,OR(O883="untested",O883&gt;=Settings!$C$6)),"A",IF(AND(OR(X883="full",X883="reduced"),J883&gt;=Settings!$C$7,OR(O883="untested",O883&gt;=Settings!$C$8)),"B","C")))))</f>
        <v/>
      </c>
      <c r="Z883" s="11" t="str">
        <f aca="false">IF(C883="","",IF(P883&lt;&gt;"",P883,Y883))</f>
        <v/>
      </c>
    </row>
    <row r="884" customFormat="false" ht="15" hidden="false" customHeight="false" outlineLevel="0" collapsed="false">
      <c r="A884" s="9"/>
      <c r="B884" s="10" t="str">
        <f aca="false">IF(A884="","",IFERROR(INDEX(Parks!$A$2:$A$255,MATCH(A884,Parks!$B$2:$B$255,0)),"?"))</f>
        <v/>
      </c>
      <c r="C884" s="9"/>
      <c r="D884" s="10" t="str">
        <f aca="false">IF(C884="","",IF(SUMPRODUCT(--ISNUMBER(SEARCH({"Nets","Wicket","Diamond","Softball","T-ball","Baseball","Netball","Tennis","Bocce","Pentaque","Petanque","Skate","Car Park","Pond","Bridle","Amphitheatre","Perimeter","Passive"},C884)))&gt;0,"no",IF(SUMPRODUCT(--ISNUMBER(SEARCH({"Cricket","Junior","Mini","Summer Football","Small"},C884)))&gt;0,"reduced",IF(SUMPRODUCT(--ISNUMBER(SEARCH({"Rugby","Football","League","Touch","Gaelic","Australian","Lacrosse","General Sport","Training Area","Ultimate"},C884)))&gt;0,"full","unknown"))))</f>
        <v/>
      </c>
      <c r="E884" s="9"/>
      <c r="F884" s="9"/>
      <c r="G884" s="9"/>
      <c r="H884" s="9"/>
      <c r="I884" s="12"/>
      <c r="J884" s="9"/>
      <c r="K884" s="9"/>
      <c r="L884" s="9"/>
      <c r="M884" s="9"/>
      <c r="N884" s="9"/>
      <c r="O884" s="13" t="str">
        <f aca="false">IF(C884="","",IF(N(M884)+N(N884)&lt;Settings!$C$9,"untested",M884/(M884+N884)))</f>
        <v/>
      </c>
      <c r="P884" s="9"/>
      <c r="Q884" s="9"/>
      <c r="R884" s="9"/>
      <c r="S884" s="12"/>
      <c r="T884" s="9"/>
      <c r="U884" s="9"/>
      <c r="V884" s="9"/>
      <c r="W884" s="10" t="str">
        <f aca="false">IF(C884="","",IF(OR(G884="training",G884="full"),"Yes",IF(G884="none","No","?")))</f>
        <v/>
      </c>
      <c r="X884" s="10" t="str">
        <f aca="false">IF(C884="","",IF(OR(E884="",E884="unknown"),D884,E884))</f>
        <v/>
      </c>
      <c r="Y884" s="10" t="str">
        <f aca="false">IF(C884="","",IF(OR(T884="unsuitable",T884="retired",X884="no"),"—",IF(J884="","unrated",IF(AND(X884="full",J884&gt;=Settings!$C$5,OR(O884="untested",O884&gt;=Settings!$C$6)),"A",IF(AND(OR(X884="full",X884="reduced"),J884&gt;=Settings!$C$7,OR(O884="untested",O884&gt;=Settings!$C$8)),"B","C")))))</f>
        <v/>
      </c>
      <c r="Z884" s="11" t="str">
        <f aca="false">IF(C884="","",IF(P884&lt;&gt;"",P884,Y884))</f>
        <v/>
      </c>
    </row>
    <row r="885" customFormat="false" ht="15" hidden="false" customHeight="false" outlineLevel="0" collapsed="false">
      <c r="A885" s="9"/>
      <c r="B885" s="10" t="str">
        <f aca="false">IF(A885="","",IFERROR(INDEX(Parks!$A$2:$A$255,MATCH(A885,Parks!$B$2:$B$255,0)),"?"))</f>
        <v/>
      </c>
      <c r="C885" s="9"/>
      <c r="D885" s="10" t="str">
        <f aca="false">IF(C885="","",IF(SUMPRODUCT(--ISNUMBER(SEARCH({"Nets","Wicket","Diamond","Softball","T-ball","Baseball","Netball","Tennis","Bocce","Pentaque","Petanque","Skate","Car Park","Pond","Bridle","Amphitheatre","Perimeter","Passive"},C885)))&gt;0,"no",IF(SUMPRODUCT(--ISNUMBER(SEARCH({"Cricket","Junior","Mini","Summer Football","Small"},C885)))&gt;0,"reduced",IF(SUMPRODUCT(--ISNUMBER(SEARCH({"Rugby","Football","League","Touch","Gaelic","Australian","Lacrosse","General Sport","Training Area","Ultimate"},C885)))&gt;0,"full","unknown"))))</f>
        <v/>
      </c>
      <c r="E885" s="9"/>
      <c r="F885" s="9"/>
      <c r="G885" s="9"/>
      <c r="H885" s="9"/>
      <c r="I885" s="12"/>
      <c r="J885" s="9"/>
      <c r="K885" s="9"/>
      <c r="L885" s="9"/>
      <c r="M885" s="9"/>
      <c r="N885" s="9"/>
      <c r="O885" s="13" t="str">
        <f aca="false">IF(C885="","",IF(N(M885)+N(N885)&lt;Settings!$C$9,"untested",M885/(M885+N885)))</f>
        <v/>
      </c>
      <c r="P885" s="9"/>
      <c r="Q885" s="9"/>
      <c r="R885" s="9"/>
      <c r="S885" s="12"/>
      <c r="T885" s="9"/>
      <c r="U885" s="9"/>
      <c r="V885" s="9"/>
      <c r="W885" s="10" t="str">
        <f aca="false">IF(C885="","",IF(OR(G885="training",G885="full"),"Yes",IF(G885="none","No","?")))</f>
        <v/>
      </c>
      <c r="X885" s="10" t="str">
        <f aca="false">IF(C885="","",IF(OR(E885="",E885="unknown"),D885,E885))</f>
        <v/>
      </c>
      <c r="Y885" s="10" t="str">
        <f aca="false">IF(C885="","",IF(OR(T885="unsuitable",T885="retired",X885="no"),"—",IF(J885="","unrated",IF(AND(X885="full",J885&gt;=Settings!$C$5,OR(O885="untested",O885&gt;=Settings!$C$6)),"A",IF(AND(OR(X885="full",X885="reduced"),J885&gt;=Settings!$C$7,OR(O885="untested",O885&gt;=Settings!$C$8)),"B","C")))))</f>
        <v/>
      </c>
      <c r="Z885" s="11" t="str">
        <f aca="false">IF(C885="","",IF(P885&lt;&gt;"",P885,Y885))</f>
        <v/>
      </c>
    </row>
    <row r="886" customFormat="false" ht="15" hidden="false" customHeight="false" outlineLevel="0" collapsed="false">
      <c r="A886" s="9"/>
      <c r="B886" s="10" t="str">
        <f aca="false">IF(A886="","",IFERROR(INDEX(Parks!$A$2:$A$255,MATCH(A886,Parks!$B$2:$B$255,0)),"?"))</f>
        <v/>
      </c>
      <c r="C886" s="9"/>
      <c r="D886" s="10" t="str">
        <f aca="false">IF(C886="","",IF(SUMPRODUCT(--ISNUMBER(SEARCH({"Nets","Wicket","Diamond","Softball","T-ball","Baseball","Netball","Tennis","Bocce","Pentaque","Petanque","Skate","Car Park","Pond","Bridle","Amphitheatre","Perimeter","Passive"},C886)))&gt;0,"no",IF(SUMPRODUCT(--ISNUMBER(SEARCH({"Cricket","Junior","Mini","Summer Football","Small"},C886)))&gt;0,"reduced",IF(SUMPRODUCT(--ISNUMBER(SEARCH({"Rugby","Football","League","Touch","Gaelic","Australian","Lacrosse","General Sport","Training Area","Ultimate"},C886)))&gt;0,"full","unknown"))))</f>
        <v/>
      </c>
      <c r="E886" s="9"/>
      <c r="F886" s="9"/>
      <c r="G886" s="9"/>
      <c r="H886" s="9"/>
      <c r="I886" s="12"/>
      <c r="J886" s="9"/>
      <c r="K886" s="9"/>
      <c r="L886" s="9"/>
      <c r="M886" s="9"/>
      <c r="N886" s="9"/>
      <c r="O886" s="13" t="str">
        <f aca="false">IF(C886="","",IF(N(M886)+N(N886)&lt;Settings!$C$9,"untested",M886/(M886+N886)))</f>
        <v/>
      </c>
      <c r="P886" s="9"/>
      <c r="Q886" s="9"/>
      <c r="R886" s="9"/>
      <c r="S886" s="12"/>
      <c r="T886" s="9"/>
      <c r="U886" s="9"/>
      <c r="V886" s="9"/>
      <c r="W886" s="10" t="str">
        <f aca="false">IF(C886="","",IF(OR(G886="training",G886="full"),"Yes",IF(G886="none","No","?")))</f>
        <v/>
      </c>
      <c r="X886" s="10" t="str">
        <f aca="false">IF(C886="","",IF(OR(E886="",E886="unknown"),D886,E886))</f>
        <v/>
      </c>
      <c r="Y886" s="10" t="str">
        <f aca="false">IF(C886="","",IF(OR(T886="unsuitable",T886="retired",X886="no"),"—",IF(J886="","unrated",IF(AND(X886="full",J886&gt;=Settings!$C$5,OR(O886="untested",O886&gt;=Settings!$C$6)),"A",IF(AND(OR(X886="full",X886="reduced"),J886&gt;=Settings!$C$7,OR(O886="untested",O886&gt;=Settings!$C$8)),"B","C")))))</f>
        <v/>
      </c>
      <c r="Z886" s="11" t="str">
        <f aca="false">IF(C886="","",IF(P886&lt;&gt;"",P886,Y886))</f>
        <v/>
      </c>
    </row>
    <row r="887" customFormat="false" ht="15" hidden="false" customHeight="false" outlineLevel="0" collapsed="false">
      <c r="A887" s="9"/>
      <c r="B887" s="10" t="str">
        <f aca="false">IF(A887="","",IFERROR(INDEX(Parks!$A$2:$A$255,MATCH(A887,Parks!$B$2:$B$255,0)),"?"))</f>
        <v/>
      </c>
      <c r="C887" s="9"/>
      <c r="D887" s="10" t="str">
        <f aca="false">IF(C887="","",IF(SUMPRODUCT(--ISNUMBER(SEARCH({"Nets","Wicket","Diamond","Softball","T-ball","Baseball","Netball","Tennis","Bocce","Pentaque","Petanque","Skate","Car Park","Pond","Bridle","Amphitheatre","Perimeter","Passive"},C887)))&gt;0,"no",IF(SUMPRODUCT(--ISNUMBER(SEARCH({"Cricket","Junior","Mini","Summer Football","Small"},C887)))&gt;0,"reduced",IF(SUMPRODUCT(--ISNUMBER(SEARCH({"Rugby","Football","League","Touch","Gaelic","Australian","Lacrosse","General Sport","Training Area","Ultimate"},C887)))&gt;0,"full","unknown"))))</f>
        <v/>
      </c>
      <c r="E887" s="9"/>
      <c r="F887" s="9"/>
      <c r="G887" s="9"/>
      <c r="H887" s="9"/>
      <c r="I887" s="12"/>
      <c r="J887" s="9"/>
      <c r="K887" s="9"/>
      <c r="L887" s="9"/>
      <c r="M887" s="9"/>
      <c r="N887" s="9"/>
      <c r="O887" s="13" t="str">
        <f aca="false">IF(C887="","",IF(N(M887)+N(N887)&lt;Settings!$C$9,"untested",M887/(M887+N887)))</f>
        <v/>
      </c>
      <c r="P887" s="9"/>
      <c r="Q887" s="9"/>
      <c r="R887" s="9"/>
      <c r="S887" s="12"/>
      <c r="T887" s="9"/>
      <c r="U887" s="9"/>
      <c r="V887" s="9"/>
      <c r="W887" s="10" t="str">
        <f aca="false">IF(C887="","",IF(OR(G887="training",G887="full"),"Yes",IF(G887="none","No","?")))</f>
        <v/>
      </c>
      <c r="X887" s="10" t="str">
        <f aca="false">IF(C887="","",IF(OR(E887="",E887="unknown"),D887,E887))</f>
        <v/>
      </c>
      <c r="Y887" s="10" t="str">
        <f aca="false">IF(C887="","",IF(OR(T887="unsuitable",T887="retired",X887="no"),"—",IF(J887="","unrated",IF(AND(X887="full",J887&gt;=Settings!$C$5,OR(O887="untested",O887&gt;=Settings!$C$6)),"A",IF(AND(OR(X887="full",X887="reduced"),J887&gt;=Settings!$C$7,OR(O887="untested",O887&gt;=Settings!$C$8)),"B","C")))))</f>
        <v/>
      </c>
      <c r="Z887" s="11" t="str">
        <f aca="false">IF(C887="","",IF(P887&lt;&gt;"",P887,Y887))</f>
        <v/>
      </c>
    </row>
    <row r="888" customFormat="false" ht="15" hidden="false" customHeight="false" outlineLevel="0" collapsed="false">
      <c r="A888" s="9"/>
      <c r="B888" s="10" t="str">
        <f aca="false">IF(A888="","",IFERROR(INDEX(Parks!$A$2:$A$255,MATCH(A888,Parks!$B$2:$B$255,0)),"?"))</f>
        <v/>
      </c>
      <c r="C888" s="9"/>
      <c r="D888" s="10" t="str">
        <f aca="false">IF(C888="","",IF(SUMPRODUCT(--ISNUMBER(SEARCH({"Nets","Wicket","Diamond","Softball","T-ball","Baseball","Netball","Tennis","Bocce","Pentaque","Petanque","Skate","Car Park","Pond","Bridle","Amphitheatre","Perimeter","Passive"},C888)))&gt;0,"no",IF(SUMPRODUCT(--ISNUMBER(SEARCH({"Cricket","Junior","Mini","Summer Football","Small"},C888)))&gt;0,"reduced",IF(SUMPRODUCT(--ISNUMBER(SEARCH({"Rugby","Football","League","Touch","Gaelic","Australian","Lacrosse","General Sport","Training Area","Ultimate"},C888)))&gt;0,"full","unknown"))))</f>
        <v/>
      </c>
      <c r="E888" s="9"/>
      <c r="F888" s="9"/>
      <c r="G888" s="9"/>
      <c r="H888" s="9"/>
      <c r="I888" s="12"/>
      <c r="J888" s="9"/>
      <c r="K888" s="9"/>
      <c r="L888" s="9"/>
      <c r="M888" s="9"/>
      <c r="N888" s="9"/>
      <c r="O888" s="13" t="str">
        <f aca="false">IF(C888="","",IF(N(M888)+N(N888)&lt;Settings!$C$9,"untested",M888/(M888+N888)))</f>
        <v/>
      </c>
      <c r="P888" s="9"/>
      <c r="Q888" s="9"/>
      <c r="R888" s="9"/>
      <c r="S888" s="12"/>
      <c r="T888" s="9"/>
      <c r="U888" s="9"/>
      <c r="V888" s="9"/>
      <c r="W888" s="10" t="str">
        <f aca="false">IF(C888="","",IF(OR(G888="training",G888="full"),"Yes",IF(G888="none","No","?")))</f>
        <v/>
      </c>
      <c r="X888" s="10" t="str">
        <f aca="false">IF(C888="","",IF(OR(E888="",E888="unknown"),D888,E888))</f>
        <v/>
      </c>
      <c r="Y888" s="10" t="str">
        <f aca="false">IF(C888="","",IF(OR(T888="unsuitable",T888="retired",X888="no"),"—",IF(J888="","unrated",IF(AND(X888="full",J888&gt;=Settings!$C$5,OR(O888="untested",O888&gt;=Settings!$C$6)),"A",IF(AND(OR(X888="full",X888="reduced"),J888&gt;=Settings!$C$7,OR(O888="untested",O888&gt;=Settings!$C$8)),"B","C")))))</f>
        <v/>
      </c>
      <c r="Z888" s="11" t="str">
        <f aca="false">IF(C888="","",IF(P888&lt;&gt;"",P888,Y888))</f>
        <v/>
      </c>
    </row>
    <row r="889" customFormat="false" ht="15" hidden="false" customHeight="false" outlineLevel="0" collapsed="false">
      <c r="A889" s="9"/>
      <c r="B889" s="10" t="str">
        <f aca="false">IF(A889="","",IFERROR(INDEX(Parks!$A$2:$A$255,MATCH(A889,Parks!$B$2:$B$255,0)),"?"))</f>
        <v/>
      </c>
      <c r="C889" s="9"/>
      <c r="D889" s="10" t="str">
        <f aca="false">IF(C889="","",IF(SUMPRODUCT(--ISNUMBER(SEARCH({"Nets","Wicket","Diamond","Softball","T-ball","Baseball","Netball","Tennis","Bocce","Pentaque","Petanque","Skate","Car Park","Pond","Bridle","Amphitheatre","Perimeter","Passive"},C889)))&gt;0,"no",IF(SUMPRODUCT(--ISNUMBER(SEARCH({"Cricket","Junior","Mini","Summer Football","Small"},C889)))&gt;0,"reduced",IF(SUMPRODUCT(--ISNUMBER(SEARCH({"Rugby","Football","League","Touch","Gaelic","Australian","Lacrosse","General Sport","Training Area","Ultimate"},C889)))&gt;0,"full","unknown"))))</f>
        <v/>
      </c>
      <c r="E889" s="9"/>
      <c r="F889" s="9"/>
      <c r="G889" s="9"/>
      <c r="H889" s="9"/>
      <c r="I889" s="12"/>
      <c r="J889" s="9"/>
      <c r="K889" s="9"/>
      <c r="L889" s="9"/>
      <c r="M889" s="9"/>
      <c r="N889" s="9"/>
      <c r="O889" s="13" t="str">
        <f aca="false">IF(C889="","",IF(N(M889)+N(N889)&lt;Settings!$C$9,"untested",M889/(M889+N889)))</f>
        <v/>
      </c>
      <c r="P889" s="9"/>
      <c r="Q889" s="9"/>
      <c r="R889" s="9"/>
      <c r="S889" s="12"/>
      <c r="T889" s="9"/>
      <c r="U889" s="9"/>
      <c r="V889" s="9"/>
      <c r="W889" s="10" t="str">
        <f aca="false">IF(C889="","",IF(OR(G889="training",G889="full"),"Yes",IF(G889="none","No","?")))</f>
        <v/>
      </c>
      <c r="X889" s="10" t="str">
        <f aca="false">IF(C889="","",IF(OR(E889="",E889="unknown"),D889,E889))</f>
        <v/>
      </c>
      <c r="Y889" s="10" t="str">
        <f aca="false">IF(C889="","",IF(OR(T889="unsuitable",T889="retired",X889="no"),"—",IF(J889="","unrated",IF(AND(X889="full",J889&gt;=Settings!$C$5,OR(O889="untested",O889&gt;=Settings!$C$6)),"A",IF(AND(OR(X889="full",X889="reduced"),J889&gt;=Settings!$C$7,OR(O889="untested",O889&gt;=Settings!$C$8)),"B","C")))))</f>
        <v/>
      </c>
      <c r="Z889" s="11" t="str">
        <f aca="false">IF(C889="","",IF(P889&lt;&gt;"",P889,Y889))</f>
        <v/>
      </c>
    </row>
    <row r="890" customFormat="false" ht="15" hidden="false" customHeight="false" outlineLevel="0" collapsed="false">
      <c r="A890" s="9"/>
      <c r="B890" s="10" t="str">
        <f aca="false">IF(A890="","",IFERROR(INDEX(Parks!$A$2:$A$255,MATCH(A890,Parks!$B$2:$B$255,0)),"?"))</f>
        <v/>
      </c>
      <c r="C890" s="9"/>
      <c r="D890" s="10" t="str">
        <f aca="false">IF(C890="","",IF(SUMPRODUCT(--ISNUMBER(SEARCH({"Nets","Wicket","Diamond","Softball","T-ball","Baseball","Netball","Tennis","Bocce","Pentaque","Petanque","Skate","Car Park","Pond","Bridle","Amphitheatre","Perimeter","Passive"},C890)))&gt;0,"no",IF(SUMPRODUCT(--ISNUMBER(SEARCH({"Cricket","Junior","Mini","Summer Football","Small"},C890)))&gt;0,"reduced",IF(SUMPRODUCT(--ISNUMBER(SEARCH({"Rugby","Football","League","Touch","Gaelic","Australian","Lacrosse","General Sport","Training Area","Ultimate"},C890)))&gt;0,"full","unknown"))))</f>
        <v/>
      </c>
      <c r="E890" s="9"/>
      <c r="F890" s="9"/>
      <c r="G890" s="9"/>
      <c r="H890" s="9"/>
      <c r="I890" s="12"/>
      <c r="J890" s="9"/>
      <c r="K890" s="9"/>
      <c r="L890" s="9"/>
      <c r="M890" s="9"/>
      <c r="N890" s="9"/>
      <c r="O890" s="13" t="str">
        <f aca="false">IF(C890="","",IF(N(M890)+N(N890)&lt;Settings!$C$9,"untested",M890/(M890+N890)))</f>
        <v/>
      </c>
      <c r="P890" s="9"/>
      <c r="Q890" s="9"/>
      <c r="R890" s="9"/>
      <c r="S890" s="12"/>
      <c r="T890" s="9"/>
      <c r="U890" s="9"/>
      <c r="V890" s="9"/>
      <c r="W890" s="10" t="str">
        <f aca="false">IF(C890="","",IF(OR(G890="training",G890="full"),"Yes",IF(G890="none","No","?")))</f>
        <v/>
      </c>
      <c r="X890" s="10" t="str">
        <f aca="false">IF(C890="","",IF(OR(E890="",E890="unknown"),D890,E890))</f>
        <v/>
      </c>
      <c r="Y890" s="10" t="str">
        <f aca="false">IF(C890="","",IF(OR(T890="unsuitable",T890="retired",X890="no"),"—",IF(J890="","unrated",IF(AND(X890="full",J890&gt;=Settings!$C$5,OR(O890="untested",O890&gt;=Settings!$C$6)),"A",IF(AND(OR(X890="full",X890="reduced"),J890&gt;=Settings!$C$7,OR(O890="untested",O890&gt;=Settings!$C$8)),"B","C")))))</f>
        <v/>
      </c>
      <c r="Z890" s="11" t="str">
        <f aca="false">IF(C890="","",IF(P890&lt;&gt;"",P890,Y890))</f>
        <v/>
      </c>
    </row>
    <row r="891" customFormat="false" ht="15" hidden="false" customHeight="false" outlineLevel="0" collapsed="false">
      <c r="A891" s="9"/>
      <c r="B891" s="10" t="str">
        <f aca="false">IF(A891="","",IFERROR(INDEX(Parks!$A$2:$A$255,MATCH(A891,Parks!$B$2:$B$255,0)),"?"))</f>
        <v/>
      </c>
      <c r="C891" s="9"/>
      <c r="D891" s="10" t="str">
        <f aca="false">IF(C891="","",IF(SUMPRODUCT(--ISNUMBER(SEARCH({"Nets","Wicket","Diamond","Softball","T-ball","Baseball","Netball","Tennis","Bocce","Pentaque","Petanque","Skate","Car Park","Pond","Bridle","Amphitheatre","Perimeter","Passive"},C891)))&gt;0,"no",IF(SUMPRODUCT(--ISNUMBER(SEARCH({"Cricket","Junior","Mini","Summer Football","Small"},C891)))&gt;0,"reduced",IF(SUMPRODUCT(--ISNUMBER(SEARCH({"Rugby","Football","League","Touch","Gaelic","Australian","Lacrosse","General Sport","Training Area","Ultimate"},C891)))&gt;0,"full","unknown"))))</f>
        <v/>
      </c>
      <c r="E891" s="9"/>
      <c r="F891" s="9"/>
      <c r="G891" s="9"/>
      <c r="H891" s="9"/>
      <c r="I891" s="12"/>
      <c r="J891" s="9"/>
      <c r="K891" s="9"/>
      <c r="L891" s="9"/>
      <c r="M891" s="9"/>
      <c r="N891" s="9"/>
      <c r="O891" s="13" t="str">
        <f aca="false">IF(C891="","",IF(N(M891)+N(N891)&lt;Settings!$C$9,"untested",M891/(M891+N891)))</f>
        <v/>
      </c>
      <c r="P891" s="9"/>
      <c r="Q891" s="9"/>
      <c r="R891" s="9"/>
      <c r="S891" s="12"/>
      <c r="T891" s="9"/>
      <c r="U891" s="9"/>
      <c r="V891" s="9"/>
      <c r="W891" s="10" t="str">
        <f aca="false">IF(C891="","",IF(OR(G891="training",G891="full"),"Yes",IF(G891="none","No","?")))</f>
        <v/>
      </c>
      <c r="X891" s="10" t="str">
        <f aca="false">IF(C891="","",IF(OR(E891="",E891="unknown"),D891,E891))</f>
        <v/>
      </c>
      <c r="Y891" s="10" t="str">
        <f aca="false">IF(C891="","",IF(OR(T891="unsuitable",T891="retired",X891="no"),"—",IF(J891="","unrated",IF(AND(X891="full",J891&gt;=Settings!$C$5,OR(O891="untested",O891&gt;=Settings!$C$6)),"A",IF(AND(OR(X891="full",X891="reduced"),J891&gt;=Settings!$C$7,OR(O891="untested",O891&gt;=Settings!$C$8)),"B","C")))))</f>
        <v/>
      </c>
      <c r="Z891" s="11" t="str">
        <f aca="false">IF(C891="","",IF(P891&lt;&gt;"",P891,Y891))</f>
        <v/>
      </c>
    </row>
    <row r="892" customFormat="false" ht="15" hidden="false" customHeight="false" outlineLevel="0" collapsed="false">
      <c r="A892" s="9"/>
      <c r="B892" s="10" t="str">
        <f aca="false">IF(A892="","",IFERROR(INDEX(Parks!$A$2:$A$255,MATCH(A892,Parks!$B$2:$B$255,0)),"?"))</f>
        <v/>
      </c>
      <c r="C892" s="9"/>
      <c r="D892" s="10" t="str">
        <f aca="false">IF(C892="","",IF(SUMPRODUCT(--ISNUMBER(SEARCH({"Nets","Wicket","Diamond","Softball","T-ball","Baseball","Netball","Tennis","Bocce","Pentaque","Petanque","Skate","Car Park","Pond","Bridle","Amphitheatre","Perimeter","Passive"},C892)))&gt;0,"no",IF(SUMPRODUCT(--ISNUMBER(SEARCH({"Cricket","Junior","Mini","Summer Football","Small"},C892)))&gt;0,"reduced",IF(SUMPRODUCT(--ISNUMBER(SEARCH({"Rugby","Football","League","Touch","Gaelic","Australian","Lacrosse","General Sport","Training Area","Ultimate"},C892)))&gt;0,"full","unknown"))))</f>
        <v/>
      </c>
      <c r="E892" s="9"/>
      <c r="F892" s="9"/>
      <c r="G892" s="9"/>
      <c r="H892" s="9"/>
      <c r="I892" s="12"/>
      <c r="J892" s="9"/>
      <c r="K892" s="9"/>
      <c r="L892" s="9"/>
      <c r="M892" s="9"/>
      <c r="N892" s="9"/>
      <c r="O892" s="13" t="str">
        <f aca="false">IF(C892="","",IF(N(M892)+N(N892)&lt;Settings!$C$9,"untested",M892/(M892+N892)))</f>
        <v/>
      </c>
      <c r="P892" s="9"/>
      <c r="Q892" s="9"/>
      <c r="R892" s="9"/>
      <c r="S892" s="12"/>
      <c r="T892" s="9"/>
      <c r="U892" s="9"/>
      <c r="V892" s="9"/>
      <c r="W892" s="10" t="str">
        <f aca="false">IF(C892="","",IF(OR(G892="training",G892="full"),"Yes",IF(G892="none","No","?")))</f>
        <v/>
      </c>
      <c r="X892" s="10" t="str">
        <f aca="false">IF(C892="","",IF(OR(E892="",E892="unknown"),D892,E892))</f>
        <v/>
      </c>
      <c r="Y892" s="10" t="str">
        <f aca="false">IF(C892="","",IF(OR(T892="unsuitable",T892="retired",X892="no"),"—",IF(J892="","unrated",IF(AND(X892="full",J892&gt;=Settings!$C$5,OR(O892="untested",O892&gt;=Settings!$C$6)),"A",IF(AND(OR(X892="full",X892="reduced"),J892&gt;=Settings!$C$7,OR(O892="untested",O892&gt;=Settings!$C$8)),"B","C")))))</f>
        <v/>
      </c>
      <c r="Z892" s="11" t="str">
        <f aca="false">IF(C892="","",IF(P892&lt;&gt;"",P892,Y892))</f>
        <v/>
      </c>
    </row>
    <row r="893" customFormat="false" ht="15" hidden="false" customHeight="false" outlineLevel="0" collapsed="false">
      <c r="A893" s="9"/>
      <c r="B893" s="10" t="str">
        <f aca="false">IF(A893="","",IFERROR(INDEX(Parks!$A$2:$A$255,MATCH(A893,Parks!$B$2:$B$255,0)),"?"))</f>
        <v/>
      </c>
      <c r="C893" s="9"/>
      <c r="D893" s="10" t="str">
        <f aca="false">IF(C893="","",IF(SUMPRODUCT(--ISNUMBER(SEARCH({"Nets","Wicket","Diamond","Softball","T-ball","Baseball","Netball","Tennis","Bocce","Pentaque","Petanque","Skate","Car Park","Pond","Bridle","Amphitheatre","Perimeter","Passive"},C893)))&gt;0,"no",IF(SUMPRODUCT(--ISNUMBER(SEARCH({"Cricket","Junior","Mini","Summer Football","Small"},C893)))&gt;0,"reduced",IF(SUMPRODUCT(--ISNUMBER(SEARCH({"Rugby","Football","League","Touch","Gaelic","Australian","Lacrosse","General Sport","Training Area","Ultimate"},C893)))&gt;0,"full","unknown"))))</f>
        <v/>
      </c>
      <c r="E893" s="9"/>
      <c r="F893" s="9"/>
      <c r="G893" s="9"/>
      <c r="H893" s="9"/>
      <c r="I893" s="12"/>
      <c r="J893" s="9"/>
      <c r="K893" s="9"/>
      <c r="L893" s="9"/>
      <c r="M893" s="9"/>
      <c r="N893" s="9"/>
      <c r="O893" s="13" t="str">
        <f aca="false">IF(C893="","",IF(N(M893)+N(N893)&lt;Settings!$C$9,"untested",M893/(M893+N893)))</f>
        <v/>
      </c>
      <c r="P893" s="9"/>
      <c r="Q893" s="9"/>
      <c r="R893" s="9"/>
      <c r="S893" s="12"/>
      <c r="T893" s="9"/>
      <c r="U893" s="9"/>
      <c r="V893" s="9"/>
      <c r="W893" s="10" t="str">
        <f aca="false">IF(C893="","",IF(OR(G893="training",G893="full"),"Yes",IF(G893="none","No","?")))</f>
        <v/>
      </c>
      <c r="X893" s="10" t="str">
        <f aca="false">IF(C893="","",IF(OR(E893="",E893="unknown"),D893,E893))</f>
        <v/>
      </c>
      <c r="Y893" s="10" t="str">
        <f aca="false">IF(C893="","",IF(OR(T893="unsuitable",T893="retired",X893="no"),"—",IF(J893="","unrated",IF(AND(X893="full",J893&gt;=Settings!$C$5,OR(O893="untested",O893&gt;=Settings!$C$6)),"A",IF(AND(OR(X893="full",X893="reduced"),J893&gt;=Settings!$C$7,OR(O893="untested",O893&gt;=Settings!$C$8)),"B","C")))))</f>
        <v/>
      </c>
      <c r="Z893" s="11" t="str">
        <f aca="false">IF(C893="","",IF(P893&lt;&gt;"",P893,Y893))</f>
        <v/>
      </c>
    </row>
    <row r="894" customFormat="false" ht="15" hidden="false" customHeight="false" outlineLevel="0" collapsed="false">
      <c r="A894" s="9"/>
      <c r="B894" s="10" t="str">
        <f aca="false">IF(A894="","",IFERROR(INDEX(Parks!$A$2:$A$255,MATCH(A894,Parks!$B$2:$B$255,0)),"?"))</f>
        <v/>
      </c>
      <c r="C894" s="9"/>
      <c r="D894" s="10" t="str">
        <f aca="false">IF(C894="","",IF(SUMPRODUCT(--ISNUMBER(SEARCH({"Nets","Wicket","Diamond","Softball","T-ball","Baseball","Netball","Tennis","Bocce","Pentaque","Petanque","Skate","Car Park","Pond","Bridle","Amphitheatre","Perimeter","Passive"},C894)))&gt;0,"no",IF(SUMPRODUCT(--ISNUMBER(SEARCH({"Cricket","Junior","Mini","Summer Football","Small"},C894)))&gt;0,"reduced",IF(SUMPRODUCT(--ISNUMBER(SEARCH({"Rugby","Football","League","Touch","Gaelic","Australian","Lacrosse","General Sport","Training Area","Ultimate"},C894)))&gt;0,"full","unknown"))))</f>
        <v/>
      </c>
      <c r="E894" s="9"/>
      <c r="F894" s="9"/>
      <c r="G894" s="9"/>
      <c r="H894" s="9"/>
      <c r="I894" s="12"/>
      <c r="J894" s="9"/>
      <c r="K894" s="9"/>
      <c r="L894" s="9"/>
      <c r="M894" s="9"/>
      <c r="N894" s="9"/>
      <c r="O894" s="13" t="str">
        <f aca="false">IF(C894="","",IF(N(M894)+N(N894)&lt;Settings!$C$9,"untested",M894/(M894+N894)))</f>
        <v/>
      </c>
      <c r="P894" s="9"/>
      <c r="Q894" s="9"/>
      <c r="R894" s="9"/>
      <c r="S894" s="12"/>
      <c r="T894" s="9"/>
      <c r="U894" s="9"/>
      <c r="V894" s="9"/>
      <c r="W894" s="10" t="str">
        <f aca="false">IF(C894="","",IF(OR(G894="training",G894="full"),"Yes",IF(G894="none","No","?")))</f>
        <v/>
      </c>
      <c r="X894" s="10" t="str">
        <f aca="false">IF(C894="","",IF(OR(E894="",E894="unknown"),D894,E894))</f>
        <v/>
      </c>
      <c r="Y894" s="10" t="str">
        <f aca="false">IF(C894="","",IF(OR(T894="unsuitable",T894="retired",X894="no"),"—",IF(J894="","unrated",IF(AND(X894="full",J894&gt;=Settings!$C$5,OR(O894="untested",O894&gt;=Settings!$C$6)),"A",IF(AND(OR(X894="full",X894="reduced"),J894&gt;=Settings!$C$7,OR(O894="untested",O894&gt;=Settings!$C$8)),"B","C")))))</f>
        <v/>
      </c>
      <c r="Z894" s="11" t="str">
        <f aca="false">IF(C894="","",IF(P894&lt;&gt;"",P894,Y894))</f>
        <v/>
      </c>
    </row>
    <row r="895" customFormat="false" ht="15" hidden="false" customHeight="false" outlineLevel="0" collapsed="false">
      <c r="A895" s="9"/>
      <c r="B895" s="10" t="str">
        <f aca="false">IF(A895="","",IFERROR(INDEX(Parks!$A$2:$A$255,MATCH(A895,Parks!$B$2:$B$255,0)),"?"))</f>
        <v/>
      </c>
      <c r="C895" s="9"/>
      <c r="D895" s="10" t="str">
        <f aca="false">IF(C895="","",IF(SUMPRODUCT(--ISNUMBER(SEARCH({"Nets","Wicket","Diamond","Softball","T-ball","Baseball","Netball","Tennis","Bocce","Pentaque","Petanque","Skate","Car Park","Pond","Bridle","Amphitheatre","Perimeter","Passive"},C895)))&gt;0,"no",IF(SUMPRODUCT(--ISNUMBER(SEARCH({"Cricket","Junior","Mini","Summer Football","Small"},C895)))&gt;0,"reduced",IF(SUMPRODUCT(--ISNUMBER(SEARCH({"Rugby","Football","League","Touch","Gaelic","Australian","Lacrosse","General Sport","Training Area","Ultimate"},C895)))&gt;0,"full","unknown"))))</f>
        <v/>
      </c>
      <c r="E895" s="9"/>
      <c r="F895" s="9"/>
      <c r="G895" s="9"/>
      <c r="H895" s="9"/>
      <c r="I895" s="12"/>
      <c r="J895" s="9"/>
      <c r="K895" s="9"/>
      <c r="L895" s="9"/>
      <c r="M895" s="9"/>
      <c r="N895" s="9"/>
      <c r="O895" s="13" t="str">
        <f aca="false">IF(C895="","",IF(N(M895)+N(N895)&lt;Settings!$C$9,"untested",M895/(M895+N895)))</f>
        <v/>
      </c>
      <c r="P895" s="9"/>
      <c r="Q895" s="9"/>
      <c r="R895" s="9"/>
      <c r="S895" s="12"/>
      <c r="T895" s="9"/>
      <c r="U895" s="9"/>
      <c r="V895" s="9"/>
      <c r="W895" s="10" t="str">
        <f aca="false">IF(C895="","",IF(OR(G895="training",G895="full"),"Yes",IF(G895="none","No","?")))</f>
        <v/>
      </c>
      <c r="X895" s="10" t="str">
        <f aca="false">IF(C895="","",IF(OR(E895="",E895="unknown"),D895,E895))</f>
        <v/>
      </c>
      <c r="Y895" s="10" t="str">
        <f aca="false">IF(C895="","",IF(OR(T895="unsuitable",T895="retired",X895="no"),"—",IF(J895="","unrated",IF(AND(X895="full",J895&gt;=Settings!$C$5,OR(O895="untested",O895&gt;=Settings!$C$6)),"A",IF(AND(OR(X895="full",X895="reduced"),J895&gt;=Settings!$C$7,OR(O895="untested",O895&gt;=Settings!$C$8)),"B","C")))))</f>
        <v/>
      </c>
      <c r="Z895" s="11" t="str">
        <f aca="false">IF(C895="","",IF(P895&lt;&gt;"",P895,Y895))</f>
        <v/>
      </c>
    </row>
    <row r="896" customFormat="false" ht="15" hidden="false" customHeight="false" outlineLevel="0" collapsed="false">
      <c r="A896" s="9"/>
      <c r="B896" s="10" t="str">
        <f aca="false">IF(A896="","",IFERROR(INDEX(Parks!$A$2:$A$255,MATCH(A896,Parks!$B$2:$B$255,0)),"?"))</f>
        <v/>
      </c>
      <c r="C896" s="9"/>
      <c r="D896" s="10" t="str">
        <f aca="false">IF(C896="","",IF(SUMPRODUCT(--ISNUMBER(SEARCH({"Nets","Wicket","Diamond","Softball","T-ball","Baseball","Netball","Tennis","Bocce","Pentaque","Petanque","Skate","Car Park","Pond","Bridle","Amphitheatre","Perimeter","Passive"},C896)))&gt;0,"no",IF(SUMPRODUCT(--ISNUMBER(SEARCH({"Cricket","Junior","Mini","Summer Football","Small"},C896)))&gt;0,"reduced",IF(SUMPRODUCT(--ISNUMBER(SEARCH({"Rugby","Football","League","Touch","Gaelic","Australian","Lacrosse","General Sport","Training Area","Ultimate"},C896)))&gt;0,"full","unknown"))))</f>
        <v/>
      </c>
      <c r="E896" s="9"/>
      <c r="F896" s="9"/>
      <c r="G896" s="9"/>
      <c r="H896" s="9"/>
      <c r="I896" s="12"/>
      <c r="J896" s="9"/>
      <c r="K896" s="9"/>
      <c r="L896" s="9"/>
      <c r="M896" s="9"/>
      <c r="N896" s="9"/>
      <c r="O896" s="13" t="str">
        <f aca="false">IF(C896="","",IF(N(M896)+N(N896)&lt;Settings!$C$9,"untested",M896/(M896+N896)))</f>
        <v/>
      </c>
      <c r="P896" s="9"/>
      <c r="Q896" s="9"/>
      <c r="R896" s="9"/>
      <c r="S896" s="12"/>
      <c r="T896" s="9"/>
      <c r="U896" s="9"/>
      <c r="V896" s="9"/>
      <c r="W896" s="10" t="str">
        <f aca="false">IF(C896="","",IF(OR(G896="training",G896="full"),"Yes",IF(G896="none","No","?")))</f>
        <v/>
      </c>
      <c r="X896" s="10" t="str">
        <f aca="false">IF(C896="","",IF(OR(E896="",E896="unknown"),D896,E896))</f>
        <v/>
      </c>
      <c r="Y896" s="10" t="str">
        <f aca="false">IF(C896="","",IF(OR(T896="unsuitable",T896="retired",X896="no"),"—",IF(J896="","unrated",IF(AND(X896="full",J896&gt;=Settings!$C$5,OR(O896="untested",O896&gt;=Settings!$C$6)),"A",IF(AND(OR(X896="full",X896="reduced"),J896&gt;=Settings!$C$7,OR(O896="untested",O896&gt;=Settings!$C$8)),"B","C")))))</f>
        <v/>
      </c>
      <c r="Z896" s="11" t="str">
        <f aca="false">IF(C896="","",IF(P896&lt;&gt;"",P896,Y896))</f>
        <v/>
      </c>
    </row>
    <row r="897" customFormat="false" ht="15" hidden="false" customHeight="false" outlineLevel="0" collapsed="false">
      <c r="A897" s="9"/>
      <c r="B897" s="10" t="str">
        <f aca="false">IF(A897="","",IFERROR(INDEX(Parks!$A$2:$A$255,MATCH(A897,Parks!$B$2:$B$255,0)),"?"))</f>
        <v/>
      </c>
      <c r="C897" s="9"/>
      <c r="D897" s="10" t="str">
        <f aca="false">IF(C897="","",IF(SUMPRODUCT(--ISNUMBER(SEARCH({"Nets","Wicket","Diamond","Softball","T-ball","Baseball","Netball","Tennis","Bocce","Pentaque","Petanque","Skate","Car Park","Pond","Bridle","Amphitheatre","Perimeter","Passive"},C897)))&gt;0,"no",IF(SUMPRODUCT(--ISNUMBER(SEARCH({"Cricket","Junior","Mini","Summer Football","Small"},C897)))&gt;0,"reduced",IF(SUMPRODUCT(--ISNUMBER(SEARCH({"Rugby","Football","League","Touch","Gaelic","Australian","Lacrosse","General Sport","Training Area","Ultimate"},C897)))&gt;0,"full","unknown"))))</f>
        <v/>
      </c>
      <c r="E897" s="9"/>
      <c r="F897" s="9"/>
      <c r="G897" s="9"/>
      <c r="H897" s="9"/>
      <c r="I897" s="12"/>
      <c r="J897" s="9"/>
      <c r="K897" s="9"/>
      <c r="L897" s="9"/>
      <c r="M897" s="9"/>
      <c r="N897" s="9"/>
      <c r="O897" s="13" t="str">
        <f aca="false">IF(C897="","",IF(N(M897)+N(N897)&lt;Settings!$C$9,"untested",M897/(M897+N897)))</f>
        <v/>
      </c>
      <c r="P897" s="9"/>
      <c r="Q897" s="9"/>
      <c r="R897" s="9"/>
      <c r="S897" s="12"/>
      <c r="T897" s="9"/>
      <c r="U897" s="9"/>
      <c r="V897" s="9"/>
      <c r="W897" s="10" t="str">
        <f aca="false">IF(C897="","",IF(OR(G897="training",G897="full"),"Yes",IF(G897="none","No","?")))</f>
        <v/>
      </c>
      <c r="X897" s="10" t="str">
        <f aca="false">IF(C897="","",IF(OR(E897="",E897="unknown"),D897,E897))</f>
        <v/>
      </c>
      <c r="Y897" s="10" t="str">
        <f aca="false">IF(C897="","",IF(OR(T897="unsuitable",T897="retired",X897="no"),"—",IF(J897="","unrated",IF(AND(X897="full",J897&gt;=Settings!$C$5,OR(O897="untested",O897&gt;=Settings!$C$6)),"A",IF(AND(OR(X897="full",X897="reduced"),J897&gt;=Settings!$C$7,OR(O897="untested",O897&gt;=Settings!$C$8)),"B","C")))))</f>
        <v/>
      </c>
      <c r="Z897" s="11" t="str">
        <f aca="false">IF(C897="","",IF(P897&lt;&gt;"",P897,Y897))</f>
        <v/>
      </c>
    </row>
    <row r="898" customFormat="false" ht="15" hidden="false" customHeight="false" outlineLevel="0" collapsed="false">
      <c r="A898" s="9"/>
      <c r="B898" s="10" t="str">
        <f aca="false">IF(A898="","",IFERROR(INDEX(Parks!$A$2:$A$255,MATCH(A898,Parks!$B$2:$B$255,0)),"?"))</f>
        <v/>
      </c>
      <c r="C898" s="9"/>
      <c r="D898" s="10" t="str">
        <f aca="false">IF(C898="","",IF(SUMPRODUCT(--ISNUMBER(SEARCH({"Nets","Wicket","Diamond","Softball","T-ball","Baseball","Netball","Tennis","Bocce","Pentaque","Petanque","Skate","Car Park","Pond","Bridle","Amphitheatre","Perimeter","Passive"},C898)))&gt;0,"no",IF(SUMPRODUCT(--ISNUMBER(SEARCH({"Cricket","Junior","Mini","Summer Football","Small"},C898)))&gt;0,"reduced",IF(SUMPRODUCT(--ISNUMBER(SEARCH({"Rugby","Football","League","Touch","Gaelic","Australian","Lacrosse","General Sport","Training Area","Ultimate"},C898)))&gt;0,"full","unknown"))))</f>
        <v/>
      </c>
      <c r="E898" s="9"/>
      <c r="F898" s="9"/>
      <c r="G898" s="9"/>
      <c r="H898" s="9"/>
      <c r="I898" s="12"/>
      <c r="J898" s="9"/>
      <c r="K898" s="9"/>
      <c r="L898" s="9"/>
      <c r="M898" s="9"/>
      <c r="N898" s="9"/>
      <c r="O898" s="13" t="str">
        <f aca="false">IF(C898="","",IF(N(M898)+N(N898)&lt;Settings!$C$9,"untested",M898/(M898+N898)))</f>
        <v/>
      </c>
      <c r="P898" s="9"/>
      <c r="Q898" s="9"/>
      <c r="R898" s="9"/>
      <c r="S898" s="12"/>
      <c r="T898" s="9"/>
      <c r="U898" s="9"/>
      <c r="V898" s="9"/>
      <c r="W898" s="10" t="str">
        <f aca="false">IF(C898="","",IF(OR(G898="training",G898="full"),"Yes",IF(G898="none","No","?")))</f>
        <v/>
      </c>
      <c r="X898" s="10" t="str">
        <f aca="false">IF(C898="","",IF(OR(E898="",E898="unknown"),D898,E898))</f>
        <v/>
      </c>
      <c r="Y898" s="10" t="str">
        <f aca="false">IF(C898="","",IF(OR(T898="unsuitable",T898="retired",X898="no"),"—",IF(J898="","unrated",IF(AND(X898="full",J898&gt;=Settings!$C$5,OR(O898="untested",O898&gt;=Settings!$C$6)),"A",IF(AND(OR(X898="full",X898="reduced"),J898&gt;=Settings!$C$7,OR(O898="untested",O898&gt;=Settings!$C$8)),"B","C")))))</f>
        <v/>
      </c>
      <c r="Z898" s="11" t="str">
        <f aca="false">IF(C898="","",IF(P898&lt;&gt;"",P898,Y898))</f>
        <v/>
      </c>
    </row>
    <row r="899" customFormat="false" ht="15" hidden="false" customHeight="false" outlineLevel="0" collapsed="false">
      <c r="A899" s="9"/>
      <c r="B899" s="10" t="str">
        <f aca="false">IF(A899="","",IFERROR(INDEX(Parks!$A$2:$A$255,MATCH(A899,Parks!$B$2:$B$255,0)),"?"))</f>
        <v/>
      </c>
      <c r="C899" s="9"/>
      <c r="D899" s="10" t="str">
        <f aca="false">IF(C899="","",IF(SUMPRODUCT(--ISNUMBER(SEARCH({"Nets","Wicket","Diamond","Softball","T-ball","Baseball","Netball","Tennis","Bocce","Pentaque","Petanque","Skate","Car Park","Pond","Bridle","Amphitheatre","Perimeter","Passive"},C899)))&gt;0,"no",IF(SUMPRODUCT(--ISNUMBER(SEARCH({"Cricket","Junior","Mini","Summer Football","Small"},C899)))&gt;0,"reduced",IF(SUMPRODUCT(--ISNUMBER(SEARCH({"Rugby","Football","League","Touch","Gaelic","Australian","Lacrosse","General Sport","Training Area","Ultimate"},C899)))&gt;0,"full","unknown"))))</f>
        <v/>
      </c>
      <c r="E899" s="9"/>
      <c r="F899" s="9"/>
      <c r="G899" s="9"/>
      <c r="H899" s="9"/>
      <c r="I899" s="12"/>
      <c r="J899" s="9"/>
      <c r="K899" s="9"/>
      <c r="L899" s="9"/>
      <c r="M899" s="9"/>
      <c r="N899" s="9"/>
      <c r="O899" s="13" t="str">
        <f aca="false">IF(C899="","",IF(N(M899)+N(N899)&lt;Settings!$C$9,"untested",M899/(M899+N899)))</f>
        <v/>
      </c>
      <c r="P899" s="9"/>
      <c r="Q899" s="9"/>
      <c r="R899" s="9"/>
      <c r="S899" s="12"/>
      <c r="T899" s="9"/>
      <c r="U899" s="9"/>
      <c r="V899" s="9"/>
      <c r="W899" s="10" t="str">
        <f aca="false">IF(C899="","",IF(OR(G899="training",G899="full"),"Yes",IF(G899="none","No","?")))</f>
        <v/>
      </c>
      <c r="X899" s="10" t="str">
        <f aca="false">IF(C899="","",IF(OR(E899="",E899="unknown"),D899,E899))</f>
        <v/>
      </c>
      <c r="Y899" s="10" t="str">
        <f aca="false">IF(C899="","",IF(OR(T899="unsuitable",T899="retired",X899="no"),"—",IF(J899="","unrated",IF(AND(X899="full",J899&gt;=Settings!$C$5,OR(O899="untested",O899&gt;=Settings!$C$6)),"A",IF(AND(OR(X899="full",X899="reduced"),J899&gt;=Settings!$C$7,OR(O899="untested",O899&gt;=Settings!$C$8)),"B","C")))))</f>
        <v/>
      </c>
      <c r="Z899" s="11" t="str">
        <f aca="false">IF(C899="","",IF(P899&lt;&gt;"",P899,Y899))</f>
        <v/>
      </c>
    </row>
    <row r="900" customFormat="false" ht="15" hidden="false" customHeight="false" outlineLevel="0" collapsed="false">
      <c r="A900" s="9"/>
      <c r="B900" s="10" t="str">
        <f aca="false">IF(A900="","",IFERROR(INDEX(Parks!$A$2:$A$255,MATCH(A900,Parks!$B$2:$B$255,0)),"?"))</f>
        <v/>
      </c>
      <c r="C900" s="9"/>
      <c r="D900" s="10" t="str">
        <f aca="false">IF(C900="","",IF(SUMPRODUCT(--ISNUMBER(SEARCH({"Nets","Wicket","Diamond","Softball","T-ball","Baseball","Netball","Tennis","Bocce","Pentaque","Petanque","Skate","Car Park","Pond","Bridle","Amphitheatre","Perimeter","Passive"},C900)))&gt;0,"no",IF(SUMPRODUCT(--ISNUMBER(SEARCH({"Cricket","Junior","Mini","Summer Football","Small"},C900)))&gt;0,"reduced",IF(SUMPRODUCT(--ISNUMBER(SEARCH({"Rugby","Football","League","Touch","Gaelic","Australian","Lacrosse","General Sport","Training Area","Ultimate"},C900)))&gt;0,"full","unknown"))))</f>
        <v/>
      </c>
      <c r="E900" s="9"/>
      <c r="F900" s="9"/>
      <c r="G900" s="9"/>
      <c r="H900" s="9"/>
      <c r="I900" s="12"/>
      <c r="J900" s="9"/>
      <c r="K900" s="9"/>
      <c r="L900" s="9"/>
      <c r="M900" s="9"/>
      <c r="N900" s="9"/>
      <c r="O900" s="13" t="str">
        <f aca="false">IF(C900="","",IF(N(M900)+N(N900)&lt;Settings!$C$9,"untested",M900/(M900+N900)))</f>
        <v/>
      </c>
      <c r="P900" s="9"/>
      <c r="Q900" s="9"/>
      <c r="R900" s="9"/>
      <c r="S900" s="12"/>
      <c r="T900" s="9"/>
      <c r="U900" s="9"/>
      <c r="V900" s="9"/>
      <c r="W900" s="10" t="str">
        <f aca="false">IF(C900="","",IF(OR(G900="training",G900="full"),"Yes",IF(G900="none","No","?")))</f>
        <v/>
      </c>
      <c r="X900" s="10" t="str">
        <f aca="false">IF(C900="","",IF(OR(E900="",E900="unknown"),D900,E900))</f>
        <v/>
      </c>
      <c r="Y900" s="10" t="str">
        <f aca="false">IF(C900="","",IF(OR(T900="unsuitable",T900="retired",X900="no"),"—",IF(J900="","unrated",IF(AND(X900="full",J900&gt;=Settings!$C$5,OR(O900="untested",O900&gt;=Settings!$C$6)),"A",IF(AND(OR(X900="full",X900="reduced"),J900&gt;=Settings!$C$7,OR(O900="untested",O900&gt;=Settings!$C$8)),"B","C")))))</f>
        <v/>
      </c>
      <c r="Z900" s="11" t="str">
        <f aca="false">IF(C900="","",IF(P900&lt;&gt;"",P900,Y900))</f>
        <v/>
      </c>
    </row>
    <row r="901" customFormat="false" ht="15" hidden="false" customHeight="false" outlineLevel="0" collapsed="false">
      <c r="A901" s="9"/>
      <c r="B901" s="10" t="str">
        <f aca="false">IF(A901="","",IFERROR(INDEX(Parks!$A$2:$A$255,MATCH(A901,Parks!$B$2:$B$255,0)),"?"))</f>
        <v/>
      </c>
      <c r="C901" s="9"/>
      <c r="D901" s="10" t="str">
        <f aca="false">IF(C901="","",IF(SUMPRODUCT(--ISNUMBER(SEARCH({"Nets","Wicket","Diamond","Softball","T-ball","Baseball","Netball","Tennis","Bocce","Pentaque","Petanque","Skate","Car Park","Pond","Bridle","Amphitheatre","Perimeter","Passive"},C901)))&gt;0,"no",IF(SUMPRODUCT(--ISNUMBER(SEARCH({"Cricket","Junior","Mini","Summer Football","Small"},C901)))&gt;0,"reduced",IF(SUMPRODUCT(--ISNUMBER(SEARCH({"Rugby","Football","League","Touch","Gaelic","Australian","Lacrosse","General Sport","Training Area","Ultimate"},C901)))&gt;0,"full","unknown"))))</f>
        <v/>
      </c>
      <c r="E901" s="9"/>
      <c r="F901" s="9"/>
      <c r="G901" s="9"/>
      <c r="H901" s="9"/>
      <c r="I901" s="12"/>
      <c r="J901" s="9"/>
      <c r="K901" s="9"/>
      <c r="L901" s="9"/>
      <c r="M901" s="9"/>
      <c r="N901" s="9"/>
      <c r="O901" s="13" t="str">
        <f aca="false">IF(C901="","",IF(N(M901)+N(N901)&lt;Settings!$C$9,"untested",M901/(M901+N901)))</f>
        <v/>
      </c>
      <c r="P901" s="9"/>
      <c r="Q901" s="9"/>
      <c r="R901" s="9"/>
      <c r="S901" s="12"/>
      <c r="T901" s="9"/>
      <c r="U901" s="9"/>
      <c r="V901" s="9"/>
      <c r="W901" s="10" t="str">
        <f aca="false">IF(C901="","",IF(OR(G901="training",G901="full"),"Yes",IF(G901="none","No","?")))</f>
        <v/>
      </c>
      <c r="X901" s="10" t="str">
        <f aca="false">IF(C901="","",IF(OR(E901="",E901="unknown"),D901,E901))</f>
        <v/>
      </c>
      <c r="Y901" s="10" t="str">
        <f aca="false">IF(C901="","",IF(OR(T901="unsuitable",T901="retired",X901="no"),"—",IF(J901="","unrated",IF(AND(X901="full",J901&gt;=Settings!$C$5,OR(O901="untested",O901&gt;=Settings!$C$6)),"A",IF(AND(OR(X901="full",X901="reduced"),J901&gt;=Settings!$C$7,OR(O901="untested",O901&gt;=Settings!$C$8)),"B","C")))))</f>
        <v/>
      </c>
      <c r="Z901" s="11" t="str">
        <f aca="false">IF(C901="","",IF(P901&lt;&gt;"",P901,Y901))</f>
        <v/>
      </c>
    </row>
    <row r="902" customFormat="false" ht="15" hidden="false" customHeight="false" outlineLevel="0" collapsed="false">
      <c r="A902" s="9"/>
      <c r="B902" s="10" t="str">
        <f aca="false">IF(A902="","",IFERROR(INDEX(Parks!$A$2:$A$255,MATCH(A902,Parks!$B$2:$B$255,0)),"?"))</f>
        <v/>
      </c>
      <c r="C902" s="9"/>
      <c r="D902" s="10" t="str">
        <f aca="false">IF(C902="","",IF(SUMPRODUCT(--ISNUMBER(SEARCH({"Nets","Wicket","Diamond","Softball","T-ball","Baseball","Netball","Tennis","Bocce","Pentaque","Petanque","Skate","Car Park","Pond","Bridle","Amphitheatre","Perimeter","Passive"},C902)))&gt;0,"no",IF(SUMPRODUCT(--ISNUMBER(SEARCH({"Cricket","Junior","Mini","Summer Football","Small"},C902)))&gt;0,"reduced",IF(SUMPRODUCT(--ISNUMBER(SEARCH({"Rugby","Football","League","Touch","Gaelic","Australian","Lacrosse","General Sport","Training Area","Ultimate"},C902)))&gt;0,"full","unknown"))))</f>
        <v/>
      </c>
      <c r="E902" s="9"/>
      <c r="F902" s="9"/>
      <c r="G902" s="9"/>
      <c r="H902" s="9"/>
      <c r="I902" s="12"/>
      <c r="J902" s="9"/>
      <c r="K902" s="9"/>
      <c r="L902" s="9"/>
      <c r="M902" s="9"/>
      <c r="N902" s="9"/>
      <c r="O902" s="13" t="str">
        <f aca="false">IF(C902="","",IF(N(M902)+N(N902)&lt;Settings!$C$9,"untested",M902/(M902+N902)))</f>
        <v/>
      </c>
      <c r="P902" s="9"/>
      <c r="Q902" s="9"/>
      <c r="R902" s="9"/>
      <c r="S902" s="12"/>
      <c r="T902" s="9"/>
      <c r="U902" s="9"/>
      <c r="V902" s="9"/>
      <c r="W902" s="10" t="str">
        <f aca="false">IF(C902="","",IF(OR(G902="training",G902="full"),"Yes",IF(G902="none","No","?")))</f>
        <v/>
      </c>
      <c r="X902" s="10" t="str">
        <f aca="false">IF(C902="","",IF(OR(E902="",E902="unknown"),D902,E902))</f>
        <v/>
      </c>
      <c r="Y902" s="10" t="str">
        <f aca="false">IF(C902="","",IF(OR(T902="unsuitable",T902="retired",X902="no"),"—",IF(J902="","unrated",IF(AND(X902="full",J902&gt;=Settings!$C$5,OR(O902="untested",O902&gt;=Settings!$C$6)),"A",IF(AND(OR(X902="full",X902="reduced"),J902&gt;=Settings!$C$7,OR(O902="untested",O902&gt;=Settings!$C$8)),"B","C")))))</f>
        <v/>
      </c>
      <c r="Z902" s="11" t="str">
        <f aca="false">IF(C902="","",IF(P902&lt;&gt;"",P902,Y902))</f>
        <v/>
      </c>
    </row>
    <row r="903" customFormat="false" ht="15" hidden="false" customHeight="false" outlineLevel="0" collapsed="false">
      <c r="A903" s="9"/>
      <c r="B903" s="10" t="str">
        <f aca="false">IF(A903="","",IFERROR(INDEX(Parks!$A$2:$A$255,MATCH(A903,Parks!$B$2:$B$255,0)),"?"))</f>
        <v/>
      </c>
      <c r="C903" s="9"/>
      <c r="D903" s="10" t="str">
        <f aca="false">IF(C903="","",IF(SUMPRODUCT(--ISNUMBER(SEARCH({"Nets","Wicket","Diamond","Softball","T-ball","Baseball","Netball","Tennis","Bocce","Pentaque","Petanque","Skate","Car Park","Pond","Bridle","Amphitheatre","Perimeter","Passive"},C903)))&gt;0,"no",IF(SUMPRODUCT(--ISNUMBER(SEARCH({"Cricket","Junior","Mini","Summer Football","Small"},C903)))&gt;0,"reduced",IF(SUMPRODUCT(--ISNUMBER(SEARCH({"Rugby","Football","League","Touch","Gaelic","Australian","Lacrosse","General Sport","Training Area","Ultimate"},C903)))&gt;0,"full","unknown"))))</f>
        <v/>
      </c>
      <c r="E903" s="9"/>
      <c r="F903" s="9"/>
      <c r="G903" s="9"/>
      <c r="H903" s="9"/>
      <c r="I903" s="12"/>
      <c r="J903" s="9"/>
      <c r="K903" s="9"/>
      <c r="L903" s="9"/>
      <c r="M903" s="9"/>
      <c r="N903" s="9"/>
      <c r="O903" s="13" t="str">
        <f aca="false">IF(C903="","",IF(N(M903)+N(N903)&lt;Settings!$C$9,"untested",M903/(M903+N903)))</f>
        <v/>
      </c>
      <c r="P903" s="9"/>
      <c r="Q903" s="9"/>
      <c r="R903" s="9"/>
      <c r="S903" s="12"/>
      <c r="T903" s="9"/>
      <c r="U903" s="9"/>
      <c r="V903" s="9"/>
      <c r="W903" s="10" t="str">
        <f aca="false">IF(C903="","",IF(OR(G903="training",G903="full"),"Yes",IF(G903="none","No","?")))</f>
        <v/>
      </c>
      <c r="X903" s="10" t="str">
        <f aca="false">IF(C903="","",IF(OR(E903="",E903="unknown"),D903,E903))</f>
        <v/>
      </c>
      <c r="Y903" s="10" t="str">
        <f aca="false">IF(C903="","",IF(OR(T903="unsuitable",T903="retired",X903="no"),"—",IF(J903="","unrated",IF(AND(X903="full",J903&gt;=Settings!$C$5,OR(O903="untested",O903&gt;=Settings!$C$6)),"A",IF(AND(OR(X903="full",X903="reduced"),J903&gt;=Settings!$C$7,OR(O903="untested",O903&gt;=Settings!$C$8)),"B","C")))))</f>
        <v/>
      </c>
      <c r="Z903" s="11" t="str">
        <f aca="false">IF(C903="","",IF(P903&lt;&gt;"",P903,Y903))</f>
        <v/>
      </c>
    </row>
    <row r="904" customFormat="false" ht="15" hidden="false" customHeight="false" outlineLevel="0" collapsed="false">
      <c r="A904" s="9"/>
      <c r="B904" s="10" t="str">
        <f aca="false">IF(A904="","",IFERROR(INDEX(Parks!$A$2:$A$255,MATCH(A904,Parks!$B$2:$B$255,0)),"?"))</f>
        <v/>
      </c>
      <c r="C904" s="9"/>
      <c r="D904" s="10" t="str">
        <f aca="false">IF(C904="","",IF(SUMPRODUCT(--ISNUMBER(SEARCH({"Nets","Wicket","Diamond","Softball","T-ball","Baseball","Netball","Tennis","Bocce","Pentaque","Petanque","Skate","Car Park","Pond","Bridle","Amphitheatre","Perimeter","Passive"},C904)))&gt;0,"no",IF(SUMPRODUCT(--ISNUMBER(SEARCH({"Cricket","Junior","Mini","Summer Football","Small"},C904)))&gt;0,"reduced",IF(SUMPRODUCT(--ISNUMBER(SEARCH({"Rugby","Football","League","Touch","Gaelic","Australian","Lacrosse","General Sport","Training Area","Ultimate"},C904)))&gt;0,"full","unknown"))))</f>
        <v/>
      </c>
      <c r="E904" s="9"/>
      <c r="F904" s="9"/>
      <c r="G904" s="9"/>
      <c r="H904" s="9"/>
      <c r="I904" s="12"/>
      <c r="J904" s="9"/>
      <c r="K904" s="9"/>
      <c r="L904" s="9"/>
      <c r="M904" s="9"/>
      <c r="N904" s="9"/>
      <c r="O904" s="13" t="str">
        <f aca="false">IF(C904="","",IF(N(M904)+N(N904)&lt;Settings!$C$9,"untested",M904/(M904+N904)))</f>
        <v/>
      </c>
      <c r="P904" s="9"/>
      <c r="Q904" s="9"/>
      <c r="R904" s="9"/>
      <c r="S904" s="12"/>
      <c r="T904" s="9"/>
      <c r="U904" s="9"/>
      <c r="V904" s="9"/>
      <c r="W904" s="10" t="str">
        <f aca="false">IF(C904="","",IF(OR(G904="training",G904="full"),"Yes",IF(G904="none","No","?")))</f>
        <v/>
      </c>
      <c r="X904" s="10" t="str">
        <f aca="false">IF(C904="","",IF(OR(E904="",E904="unknown"),D904,E904))</f>
        <v/>
      </c>
      <c r="Y904" s="10" t="str">
        <f aca="false">IF(C904="","",IF(OR(T904="unsuitable",T904="retired",X904="no"),"—",IF(J904="","unrated",IF(AND(X904="full",J904&gt;=Settings!$C$5,OR(O904="untested",O904&gt;=Settings!$C$6)),"A",IF(AND(OR(X904="full",X904="reduced"),J904&gt;=Settings!$C$7,OR(O904="untested",O904&gt;=Settings!$C$8)),"B","C")))))</f>
        <v/>
      </c>
      <c r="Z904" s="11" t="str">
        <f aca="false">IF(C904="","",IF(P904&lt;&gt;"",P904,Y904))</f>
        <v/>
      </c>
    </row>
    <row r="905" customFormat="false" ht="15" hidden="false" customHeight="false" outlineLevel="0" collapsed="false">
      <c r="A905" s="9"/>
      <c r="B905" s="10" t="str">
        <f aca="false">IF(A905="","",IFERROR(INDEX(Parks!$A$2:$A$255,MATCH(A905,Parks!$B$2:$B$255,0)),"?"))</f>
        <v/>
      </c>
      <c r="C905" s="9"/>
      <c r="D905" s="10" t="str">
        <f aca="false">IF(C905="","",IF(SUMPRODUCT(--ISNUMBER(SEARCH({"Nets","Wicket","Diamond","Softball","T-ball","Baseball","Netball","Tennis","Bocce","Pentaque","Petanque","Skate","Car Park","Pond","Bridle","Amphitheatre","Perimeter","Passive"},C905)))&gt;0,"no",IF(SUMPRODUCT(--ISNUMBER(SEARCH({"Cricket","Junior","Mini","Summer Football","Small"},C905)))&gt;0,"reduced",IF(SUMPRODUCT(--ISNUMBER(SEARCH({"Rugby","Football","League","Touch","Gaelic","Australian","Lacrosse","General Sport","Training Area","Ultimate"},C905)))&gt;0,"full","unknown"))))</f>
        <v/>
      </c>
      <c r="E905" s="9"/>
      <c r="F905" s="9"/>
      <c r="G905" s="9"/>
      <c r="H905" s="9"/>
      <c r="I905" s="12"/>
      <c r="J905" s="9"/>
      <c r="K905" s="9"/>
      <c r="L905" s="9"/>
      <c r="M905" s="9"/>
      <c r="N905" s="9"/>
      <c r="O905" s="13" t="str">
        <f aca="false">IF(C905="","",IF(N(M905)+N(N905)&lt;Settings!$C$9,"untested",M905/(M905+N905)))</f>
        <v/>
      </c>
      <c r="P905" s="9"/>
      <c r="Q905" s="9"/>
      <c r="R905" s="9"/>
      <c r="S905" s="12"/>
      <c r="T905" s="9"/>
      <c r="U905" s="9"/>
      <c r="V905" s="9"/>
      <c r="W905" s="10" t="str">
        <f aca="false">IF(C905="","",IF(OR(G905="training",G905="full"),"Yes",IF(G905="none","No","?")))</f>
        <v/>
      </c>
      <c r="X905" s="10" t="str">
        <f aca="false">IF(C905="","",IF(OR(E905="",E905="unknown"),D905,E905))</f>
        <v/>
      </c>
      <c r="Y905" s="10" t="str">
        <f aca="false">IF(C905="","",IF(OR(T905="unsuitable",T905="retired",X905="no"),"—",IF(J905="","unrated",IF(AND(X905="full",J905&gt;=Settings!$C$5,OR(O905="untested",O905&gt;=Settings!$C$6)),"A",IF(AND(OR(X905="full",X905="reduced"),J905&gt;=Settings!$C$7,OR(O905="untested",O905&gt;=Settings!$C$8)),"B","C")))))</f>
        <v/>
      </c>
      <c r="Z905" s="11" t="str">
        <f aca="false">IF(C905="","",IF(P905&lt;&gt;"",P905,Y905))</f>
        <v/>
      </c>
    </row>
    <row r="906" customFormat="false" ht="15" hidden="false" customHeight="false" outlineLevel="0" collapsed="false">
      <c r="A906" s="9"/>
      <c r="B906" s="10" t="str">
        <f aca="false">IF(A906="","",IFERROR(INDEX(Parks!$A$2:$A$255,MATCH(A906,Parks!$B$2:$B$255,0)),"?"))</f>
        <v/>
      </c>
      <c r="C906" s="9"/>
      <c r="D906" s="10" t="str">
        <f aca="false">IF(C906="","",IF(SUMPRODUCT(--ISNUMBER(SEARCH({"Nets","Wicket","Diamond","Softball","T-ball","Baseball","Netball","Tennis","Bocce","Pentaque","Petanque","Skate","Car Park","Pond","Bridle","Amphitheatre","Perimeter","Passive"},C906)))&gt;0,"no",IF(SUMPRODUCT(--ISNUMBER(SEARCH({"Cricket","Junior","Mini","Summer Football","Small"},C906)))&gt;0,"reduced",IF(SUMPRODUCT(--ISNUMBER(SEARCH({"Rugby","Football","League","Touch","Gaelic","Australian","Lacrosse","General Sport","Training Area","Ultimate"},C906)))&gt;0,"full","unknown"))))</f>
        <v/>
      </c>
      <c r="E906" s="9"/>
      <c r="F906" s="9"/>
      <c r="G906" s="9"/>
      <c r="H906" s="9"/>
      <c r="I906" s="12"/>
      <c r="J906" s="9"/>
      <c r="K906" s="9"/>
      <c r="L906" s="9"/>
      <c r="M906" s="9"/>
      <c r="N906" s="9"/>
      <c r="O906" s="13" t="str">
        <f aca="false">IF(C906="","",IF(N(M906)+N(N906)&lt;Settings!$C$9,"untested",M906/(M906+N906)))</f>
        <v/>
      </c>
      <c r="P906" s="9"/>
      <c r="Q906" s="9"/>
      <c r="R906" s="9"/>
      <c r="S906" s="12"/>
      <c r="T906" s="9"/>
      <c r="U906" s="9"/>
      <c r="V906" s="9"/>
      <c r="W906" s="10" t="str">
        <f aca="false">IF(C906="","",IF(OR(G906="training",G906="full"),"Yes",IF(G906="none","No","?")))</f>
        <v/>
      </c>
      <c r="X906" s="10" t="str">
        <f aca="false">IF(C906="","",IF(OR(E906="",E906="unknown"),D906,E906))</f>
        <v/>
      </c>
      <c r="Y906" s="10" t="str">
        <f aca="false">IF(C906="","",IF(OR(T906="unsuitable",T906="retired",X906="no"),"—",IF(J906="","unrated",IF(AND(X906="full",J906&gt;=Settings!$C$5,OR(O906="untested",O906&gt;=Settings!$C$6)),"A",IF(AND(OR(X906="full",X906="reduced"),J906&gt;=Settings!$C$7,OR(O906="untested",O906&gt;=Settings!$C$8)),"B","C")))))</f>
        <v/>
      </c>
      <c r="Z906" s="11" t="str">
        <f aca="false">IF(C906="","",IF(P906&lt;&gt;"",P906,Y906))</f>
        <v/>
      </c>
    </row>
    <row r="907" customFormat="false" ht="15" hidden="false" customHeight="false" outlineLevel="0" collapsed="false">
      <c r="A907" s="9"/>
      <c r="B907" s="10" t="str">
        <f aca="false">IF(A907="","",IFERROR(INDEX(Parks!$A$2:$A$255,MATCH(A907,Parks!$B$2:$B$255,0)),"?"))</f>
        <v/>
      </c>
      <c r="C907" s="9"/>
      <c r="D907" s="10" t="str">
        <f aca="false">IF(C907="","",IF(SUMPRODUCT(--ISNUMBER(SEARCH({"Nets","Wicket","Diamond","Softball","T-ball","Baseball","Netball","Tennis","Bocce","Pentaque","Petanque","Skate","Car Park","Pond","Bridle","Amphitheatre","Perimeter","Passive"},C907)))&gt;0,"no",IF(SUMPRODUCT(--ISNUMBER(SEARCH({"Cricket","Junior","Mini","Summer Football","Small"},C907)))&gt;0,"reduced",IF(SUMPRODUCT(--ISNUMBER(SEARCH({"Rugby","Football","League","Touch","Gaelic","Australian","Lacrosse","General Sport","Training Area","Ultimate"},C907)))&gt;0,"full","unknown"))))</f>
        <v/>
      </c>
      <c r="E907" s="9"/>
      <c r="F907" s="9"/>
      <c r="G907" s="9"/>
      <c r="H907" s="9"/>
      <c r="I907" s="12"/>
      <c r="J907" s="9"/>
      <c r="K907" s="9"/>
      <c r="L907" s="9"/>
      <c r="M907" s="9"/>
      <c r="N907" s="9"/>
      <c r="O907" s="13" t="str">
        <f aca="false">IF(C907="","",IF(N(M907)+N(N907)&lt;Settings!$C$9,"untested",M907/(M907+N907)))</f>
        <v/>
      </c>
      <c r="P907" s="9"/>
      <c r="Q907" s="9"/>
      <c r="R907" s="9"/>
      <c r="S907" s="12"/>
      <c r="T907" s="9"/>
      <c r="U907" s="9"/>
      <c r="V907" s="9"/>
      <c r="W907" s="10" t="str">
        <f aca="false">IF(C907="","",IF(OR(G907="training",G907="full"),"Yes",IF(G907="none","No","?")))</f>
        <v/>
      </c>
      <c r="X907" s="10" t="str">
        <f aca="false">IF(C907="","",IF(OR(E907="",E907="unknown"),D907,E907))</f>
        <v/>
      </c>
      <c r="Y907" s="10" t="str">
        <f aca="false">IF(C907="","",IF(OR(T907="unsuitable",T907="retired",X907="no"),"—",IF(J907="","unrated",IF(AND(X907="full",J907&gt;=Settings!$C$5,OR(O907="untested",O907&gt;=Settings!$C$6)),"A",IF(AND(OR(X907="full",X907="reduced"),J907&gt;=Settings!$C$7,OR(O907="untested",O907&gt;=Settings!$C$8)),"B","C")))))</f>
        <v/>
      </c>
      <c r="Z907" s="11" t="str">
        <f aca="false">IF(C907="","",IF(P907&lt;&gt;"",P907,Y907))</f>
        <v/>
      </c>
    </row>
    <row r="908" customFormat="false" ht="15" hidden="false" customHeight="false" outlineLevel="0" collapsed="false">
      <c r="A908" s="9"/>
      <c r="B908" s="10" t="str">
        <f aca="false">IF(A908="","",IFERROR(INDEX(Parks!$A$2:$A$255,MATCH(A908,Parks!$B$2:$B$255,0)),"?"))</f>
        <v/>
      </c>
      <c r="C908" s="9"/>
      <c r="D908" s="10" t="str">
        <f aca="false">IF(C908="","",IF(SUMPRODUCT(--ISNUMBER(SEARCH({"Nets","Wicket","Diamond","Softball","T-ball","Baseball","Netball","Tennis","Bocce","Pentaque","Petanque","Skate","Car Park","Pond","Bridle","Amphitheatre","Perimeter","Passive"},C908)))&gt;0,"no",IF(SUMPRODUCT(--ISNUMBER(SEARCH({"Cricket","Junior","Mini","Summer Football","Small"},C908)))&gt;0,"reduced",IF(SUMPRODUCT(--ISNUMBER(SEARCH({"Rugby","Football","League","Touch","Gaelic","Australian","Lacrosse","General Sport","Training Area","Ultimate"},C908)))&gt;0,"full","unknown"))))</f>
        <v/>
      </c>
      <c r="E908" s="9"/>
      <c r="F908" s="9"/>
      <c r="G908" s="9"/>
      <c r="H908" s="9"/>
      <c r="I908" s="12"/>
      <c r="J908" s="9"/>
      <c r="K908" s="9"/>
      <c r="L908" s="9"/>
      <c r="M908" s="9"/>
      <c r="N908" s="9"/>
      <c r="O908" s="13" t="str">
        <f aca="false">IF(C908="","",IF(N(M908)+N(N908)&lt;Settings!$C$9,"untested",M908/(M908+N908)))</f>
        <v/>
      </c>
      <c r="P908" s="9"/>
      <c r="Q908" s="9"/>
      <c r="R908" s="9"/>
      <c r="S908" s="12"/>
      <c r="T908" s="9"/>
      <c r="U908" s="9"/>
      <c r="V908" s="9"/>
      <c r="W908" s="10" t="str">
        <f aca="false">IF(C908="","",IF(OR(G908="training",G908="full"),"Yes",IF(G908="none","No","?")))</f>
        <v/>
      </c>
      <c r="X908" s="10" t="str">
        <f aca="false">IF(C908="","",IF(OR(E908="",E908="unknown"),D908,E908))</f>
        <v/>
      </c>
      <c r="Y908" s="10" t="str">
        <f aca="false">IF(C908="","",IF(OR(T908="unsuitable",T908="retired",X908="no"),"—",IF(J908="","unrated",IF(AND(X908="full",J908&gt;=Settings!$C$5,OR(O908="untested",O908&gt;=Settings!$C$6)),"A",IF(AND(OR(X908="full",X908="reduced"),J908&gt;=Settings!$C$7,OR(O908="untested",O908&gt;=Settings!$C$8)),"B","C")))))</f>
        <v/>
      </c>
      <c r="Z908" s="11" t="str">
        <f aca="false">IF(C908="","",IF(P908&lt;&gt;"",P908,Y908))</f>
        <v/>
      </c>
    </row>
    <row r="909" customFormat="false" ht="15" hidden="false" customHeight="false" outlineLevel="0" collapsed="false">
      <c r="A909" s="9"/>
      <c r="B909" s="10" t="str">
        <f aca="false">IF(A909="","",IFERROR(INDEX(Parks!$A$2:$A$255,MATCH(A909,Parks!$B$2:$B$255,0)),"?"))</f>
        <v/>
      </c>
      <c r="C909" s="9"/>
      <c r="D909" s="10" t="str">
        <f aca="false">IF(C909="","",IF(SUMPRODUCT(--ISNUMBER(SEARCH({"Nets","Wicket","Diamond","Softball","T-ball","Baseball","Netball","Tennis","Bocce","Pentaque","Petanque","Skate","Car Park","Pond","Bridle","Amphitheatre","Perimeter","Passive"},C909)))&gt;0,"no",IF(SUMPRODUCT(--ISNUMBER(SEARCH({"Cricket","Junior","Mini","Summer Football","Small"},C909)))&gt;0,"reduced",IF(SUMPRODUCT(--ISNUMBER(SEARCH({"Rugby","Football","League","Touch","Gaelic","Australian","Lacrosse","General Sport","Training Area","Ultimate"},C909)))&gt;0,"full","unknown"))))</f>
        <v/>
      </c>
      <c r="E909" s="9"/>
      <c r="F909" s="9"/>
      <c r="G909" s="9"/>
      <c r="H909" s="9"/>
      <c r="I909" s="12"/>
      <c r="J909" s="9"/>
      <c r="K909" s="9"/>
      <c r="L909" s="9"/>
      <c r="M909" s="9"/>
      <c r="N909" s="9"/>
      <c r="O909" s="13" t="str">
        <f aca="false">IF(C909="","",IF(N(M909)+N(N909)&lt;Settings!$C$9,"untested",M909/(M909+N909)))</f>
        <v/>
      </c>
      <c r="P909" s="9"/>
      <c r="Q909" s="9"/>
      <c r="R909" s="9"/>
      <c r="S909" s="12"/>
      <c r="T909" s="9"/>
      <c r="U909" s="9"/>
      <c r="V909" s="9"/>
      <c r="W909" s="10" t="str">
        <f aca="false">IF(C909="","",IF(OR(G909="training",G909="full"),"Yes",IF(G909="none","No","?")))</f>
        <v/>
      </c>
      <c r="X909" s="10" t="str">
        <f aca="false">IF(C909="","",IF(OR(E909="",E909="unknown"),D909,E909))</f>
        <v/>
      </c>
      <c r="Y909" s="10" t="str">
        <f aca="false">IF(C909="","",IF(OR(T909="unsuitable",T909="retired",X909="no"),"—",IF(J909="","unrated",IF(AND(X909="full",J909&gt;=Settings!$C$5,OR(O909="untested",O909&gt;=Settings!$C$6)),"A",IF(AND(OR(X909="full",X909="reduced"),J909&gt;=Settings!$C$7,OR(O909="untested",O909&gt;=Settings!$C$8)),"B","C")))))</f>
        <v/>
      </c>
      <c r="Z909" s="11" t="str">
        <f aca="false">IF(C909="","",IF(P909&lt;&gt;"",P909,Y909))</f>
        <v/>
      </c>
    </row>
    <row r="910" customFormat="false" ht="15" hidden="false" customHeight="false" outlineLevel="0" collapsed="false">
      <c r="A910" s="9"/>
      <c r="B910" s="10" t="str">
        <f aca="false">IF(A910="","",IFERROR(INDEX(Parks!$A$2:$A$255,MATCH(A910,Parks!$B$2:$B$255,0)),"?"))</f>
        <v/>
      </c>
      <c r="C910" s="9"/>
      <c r="D910" s="10" t="str">
        <f aca="false">IF(C910="","",IF(SUMPRODUCT(--ISNUMBER(SEARCH({"Nets","Wicket","Diamond","Softball","T-ball","Baseball","Netball","Tennis","Bocce","Pentaque","Petanque","Skate","Car Park","Pond","Bridle","Amphitheatre","Perimeter","Passive"},C910)))&gt;0,"no",IF(SUMPRODUCT(--ISNUMBER(SEARCH({"Cricket","Junior","Mini","Summer Football","Small"},C910)))&gt;0,"reduced",IF(SUMPRODUCT(--ISNUMBER(SEARCH({"Rugby","Football","League","Touch","Gaelic","Australian","Lacrosse","General Sport","Training Area","Ultimate"},C910)))&gt;0,"full","unknown"))))</f>
        <v/>
      </c>
      <c r="E910" s="9"/>
      <c r="F910" s="9"/>
      <c r="G910" s="9"/>
      <c r="H910" s="9"/>
      <c r="I910" s="12"/>
      <c r="J910" s="9"/>
      <c r="K910" s="9"/>
      <c r="L910" s="9"/>
      <c r="M910" s="9"/>
      <c r="N910" s="9"/>
      <c r="O910" s="13" t="str">
        <f aca="false">IF(C910="","",IF(N(M910)+N(N910)&lt;Settings!$C$9,"untested",M910/(M910+N910)))</f>
        <v/>
      </c>
      <c r="P910" s="9"/>
      <c r="Q910" s="9"/>
      <c r="R910" s="9"/>
      <c r="S910" s="12"/>
      <c r="T910" s="9"/>
      <c r="U910" s="9"/>
      <c r="V910" s="9"/>
      <c r="W910" s="10" t="str">
        <f aca="false">IF(C910="","",IF(OR(G910="training",G910="full"),"Yes",IF(G910="none","No","?")))</f>
        <v/>
      </c>
      <c r="X910" s="10" t="str">
        <f aca="false">IF(C910="","",IF(OR(E910="",E910="unknown"),D910,E910))</f>
        <v/>
      </c>
      <c r="Y910" s="10" t="str">
        <f aca="false">IF(C910="","",IF(OR(T910="unsuitable",T910="retired",X910="no"),"—",IF(J910="","unrated",IF(AND(X910="full",J910&gt;=Settings!$C$5,OR(O910="untested",O910&gt;=Settings!$C$6)),"A",IF(AND(OR(X910="full",X910="reduced"),J910&gt;=Settings!$C$7,OR(O910="untested",O910&gt;=Settings!$C$8)),"B","C")))))</f>
        <v/>
      </c>
      <c r="Z910" s="11" t="str">
        <f aca="false">IF(C910="","",IF(P910&lt;&gt;"",P910,Y910))</f>
        <v/>
      </c>
    </row>
    <row r="911" customFormat="false" ht="15" hidden="false" customHeight="false" outlineLevel="0" collapsed="false">
      <c r="A911" s="9"/>
      <c r="B911" s="10" t="str">
        <f aca="false">IF(A911="","",IFERROR(INDEX(Parks!$A$2:$A$255,MATCH(A911,Parks!$B$2:$B$255,0)),"?"))</f>
        <v/>
      </c>
      <c r="C911" s="9"/>
      <c r="D911" s="10" t="str">
        <f aca="false">IF(C911="","",IF(SUMPRODUCT(--ISNUMBER(SEARCH({"Nets","Wicket","Diamond","Softball","T-ball","Baseball","Netball","Tennis","Bocce","Pentaque","Petanque","Skate","Car Park","Pond","Bridle","Amphitheatre","Perimeter","Passive"},C911)))&gt;0,"no",IF(SUMPRODUCT(--ISNUMBER(SEARCH({"Cricket","Junior","Mini","Summer Football","Small"},C911)))&gt;0,"reduced",IF(SUMPRODUCT(--ISNUMBER(SEARCH({"Rugby","Football","League","Touch","Gaelic","Australian","Lacrosse","General Sport","Training Area","Ultimate"},C911)))&gt;0,"full","unknown"))))</f>
        <v/>
      </c>
      <c r="E911" s="9"/>
      <c r="F911" s="9"/>
      <c r="G911" s="9"/>
      <c r="H911" s="9"/>
      <c r="I911" s="12"/>
      <c r="J911" s="9"/>
      <c r="K911" s="9"/>
      <c r="L911" s="9"/>
      <c r="M911" s="9"/>
      <c r="N911" s="9"/>
      <c r="O911" s="13" t="str">
        <f aca="false">IF(C911="","",IF(N(M911)+N(N911)&lt;Settings!$C$9,"untested",M911/(M911+N911)))</f>
        <v/>
      </c>
      <c r="P911" s="9"/>
      <c r="Q911" s="9"/>
      <c r="R911" s="9"/>
      <c r="S911" s="12"/>
      <c r="T911" s="9"/>
      <c r="U911" s="9"/>
      <c r="V911" s="9"/>
      <c r="W911" s="10" t="str">
        <f aca="false">IF(C911="","",IF(OR(G911="training",G911="full"),"Yes",IF(G911="none","No","?")))</f>
        <v/>
      </c>
      <c r="X911" s="10" t="str">
        <f aca="false">IF(C911="","",IF(OR(E911="",E911="unknown"),D911,E911))</f>
        <v/>
      </c>
      <c r="Y911" s="10" t="str">
        <f aca="false">IF(C911="","",IF(OR(T911="unsuitable",T911="retired",X911="no"),"—",IF(J911="","unrated",IF(AND(X911="full",J911&gt;=Settings!$C$5,OR(O911="untested",O911&gt;=Settings!$C$6)),"A",IF(AND(OR(X911="full",X911="reduced"),J911&gt;=Settings!$C$7,OR(O911="untested",O911&gt;=Settings!$C$8)),"B","C")))))</f>
        <v/>
      </c>
      <c r="Z911" s="11" t="str">
        <f aca="false">IF(C911="","",IF(P911&lt;&gt;"",P911,Y911))</f>
        <v/>
      </c>
    </row>
    <row r="912" customFormat="false" ht="15" hidden="false" customHeight="false" outlineLevel="0" collapsed="false">
      <c r="A912" s="9"/>
      <c r="B912" s="10" t="str">
        <f aca="false">IF(A912="","",IFERROR(INDEX(Parks!$A$2:$A$255,MATCH(A912,Parks!$B$2:$B$255,0)),"?"))</f>
        <v/>
      </c>
      <c r="C912" s="9"/>
      <c r="D912" s="10" t="str">
        <f aca="false">IF(C912="","",IF(SUMPRODUCT(--ISNUMBER(SEARCH({"Nets","Wicket","Diamond","Softball","T-ball","Baseball","Netball","Tennis","Bocce","Pentaque","Petanque","Skate","Car Park","Pond","Bridle","Amphitheatre","Perimeter","Passive"},C912)))&gt;0,"no",IF(SUMPRODUCT(--ISNUMBER(SEARCH({"Cricket","Junior","Mini","Summer Football","Small"},C912)))&gt;0,"reduced",IF(SUMPRODUCT(--ISNUMBER(SEARCH({"Rugby","Football","League","Touch","Gaelic","Australian","Lacrosse","General Sport","Training Area","Ultimate"},C912)))&gt;0,"full","unknown"))))</f>
        <v/>
      </c>
      <c r="E912" s="9"/>
      <c r="F912" s="9"/>
      <c r="G912" s="9"/>
      <c r="H912" s="9"/>
      <c r="I912" s="12"/>
      <c r="J912" s="9"/>
      <c r="K912" s="9"/>
      <c r="L912" s="9"/>
      <c r="M912" s="9"/>
      <c r="N912" s="9"/>
      <c r="O912" s="13" t="str">
        <f aca="false">IF(C912="","",IF(N(M912)+N(N912)&lt;Settings!$C$9,"untested",M912/(M912+N912)))</f>
        <v/>
      </c>
      <c r="P912" s="9"/>
      <c r="Q912" s="9"/>
      <c r="R912" s="9"/>
      <c r="S912" s="12"/>
      <c r="T912" s="9"/>
      <c r="U912" s="9"/>
      <c r="V912" s="9"/>
      <c r="W912" s="10" t="str">
        <f aca="false">IF(C912="","",IF(OR(G912="training",G912="full"),"Yes",IF(G912="none","No","?")))</f>
        <v/>
      </c>
      <c r="X912" s="10" t="str">
        <f aca="false">IF(C912="","",IF(OR(E912="",E912="unknown"),D912,E912))</f>
        <v/>
      </c>
      <c r="Y912" s="10" t="str">
        <f aca="false">IF(C912="","",IF(OR(T912="unsuitable",T912="retired",X912="no"),"—",IF(J912="","unrated",IF(AND(X912="full",J912&gt;=Settings!$C$5,OR(O912="untested",O912&gt;=Settings!$C$6)),"A",IF(AND(OR(X912="full",X912="reduced"),J912&gt;=Settings!$C$7,OR(O912="untested",O912&gt;=Settings!$C$8)),"B","C")))))</f>
        <v/>
      </c>
      <c r="Z912" s="11" t="str">
        <f aca="false">IF(C912="","",IF(P912&lt;&gt;"",P912,Y912))</f>
        <v/>
      </c>
    </row>
    <row r="913" customFormat="false" ht="15" hidden="false" customHeight="false" outlineLevel="0" collapsed="false">
      <c r="A913" s="9"/>
      <c r="B913" s="10" t="str">
        <f aca="false">IF(A913="","",IFERROR(INDEX(Parks!$A$2:$A$255,MATCH(A913,Parks!$B$2:$B$255,0)),"?"))</f>
        <v/>
      </c>
      <c r="C913" s="9"/>
      <c r="D913" s="10" t="str">
        <f aca="false">IF(C913="","",IF(SUMPRODUCT(--ISNUMBER(SEARCH({"Nets","Wicket","Diamond","Softball","T-ball","Baseball","Netball","Tennis","Bocce","Pentaque","Petanque","Skate","Car Park","Pond","Bridle","Amphitheatre","Perimeter","Passive"},C913)))&gt;0,"no",IF(SUMPRODUCT(--ISNUMBER(SEARCH({"Cricket","Junior","Mini","Summer Football","Small"},C913)))&gt;0,"reduced",IF(SUMPRODUCT(--ISNUMBER(SEARCH({"Rugby","Football","League","Touch","Gaelic","Australian","Lacrosse","General Sport","Training Area","Ultimate"},C913)))&gt;0,"full","unknown"))))</f>
        <v/>
      </c>
      <c r="E913" s="9"/>
      <c r="F913" s="9"/>
      <c r="G913" s="9"/>
      <c r="H913" s="9"/>
      <c r="I913" s="12"/>
      <c r="J913" s="9"/>
      <c r="K913" s="9"/>
      <c r="L913" s="9"/>
      <c r="M913" s="9"/>
      <c r="N913" s="9"/>
      <c r="O913" s="13" t="str">
        <f aca="false">IF(C913="","",IF(N(M913)+N(N913)&lt;Settings!$C$9,"untested",M913/(M913+N913)))</f>
        <v/>
      </c>
      <c r="P913" s="9"/>
      <c r="Q913" s="9"/>
      <c r="R913" s="9"/>
      <c r="S913" s="12"/>
      <c r="T913" s="9"/>
      <c r="U913" s="9"/>
      <c r="V913" s="9"/>
      <c r="W913" s="10" t="str">
        <f aca="false">IF(C913="","",IF(OR(G913="training",G913="full"),"Yes",IF(G913="none","No","?")))</f>
        <v/>
      </c>
      <c r="X913" s="10" t="str">
        <f aca="false">IF(C913="","",IF(OR(E913="",E913="unknown"),D913,E913))</f>
        <v/>
      </c>
      <c r="Y913" s="10" t="str">
        <f aca="false">IF(C913="","",IF(OR(T913="unsuitable",T913="retired",X913="no"),"—",IF(J913="","unrated",IF(AND(X913="full",J913&gt;=Settings!$C$5,OR(O913="untested",O913&gt;=Settings!$C$6)),"A",IF(AND(OR(X913="full",X913="reduced"),J913&gt;=Settings!$C$7,OR(O913="untested",O913&gt;=Settings!$C$8)),"B","C")))))</f>
        <v/>
      </c>
      <c r="Z913" s="11" t="str">
        <f aca="false">IF(C913="","",IF(P913&lt;&gt;"",P913,Y913))</f>
        <v/>
      </c>
    </row>
    <row r="914" customFormat="false" ht="15" hidden="false" customHeight="false" outlineLevel="0" collapsed="false">
      <c r="A914" s="9"/>
      <c r="B914" s="10" t="str">
        <f aca="false">IF(A914="","",IFERROR(INDEX(Parks!$A$2:$A$255,MATCH(A914,Parks!$B$2:$B$255,0)),"?"))</f>
        <v/>
      </c>
      <c r="C914" s="9"/>
      <c r="D914" s="10" t="str">
        <f aca="false">IF(C914="","",IF(SUMPRODUCT(--ISNUMBER(SEARCH({"Nets","Wicket","Diamond","Softball","T-ball","Baseball","Netball","Tennis","Bocce","Pentaque","Petanque","Skate","Car Park","Pond","Bridle","Amphitheatre","Perimeter","Passive"},C914)))&gt;0,"no",IF(SUMPRODUCT(--ISNUMBER(SEARCH({"Cricket","Junior","Mini","Summer Football","Small"},C914)))&gt;0,"reduced",IF(SUMPRODUCT(--ISNUMBER(SEARCH({"Rugby","Football","League","Touch","Gaelic","Australian","Lacrosse","General Sport","Training Area","Ultimate"},C914)))&gt;0,"full","unknown"))))</f>
        <v/>
      </c>
      <c r="E914" s="9"/>
      <c r="F914" s="9"/>
      <c r="G914" s="9"/>
      <c r="H914" s="9"/>
      <c r="I914" s="12"/>
      <c r="J914" s="9"/>
      <c r="K914" s="9"/>
      <c r="L914" s="9"/>
      <c r="M914" s="9"/>
      <c r="N914" s="9"/>
      <c r="O914" s="13" t="str">
        <f aca="false">IF(C914="","",IF(N(M914)+N(N914)&lt;Settings!$C$9,"untested",M914/(M914+N914)))</f>
        <v/>
      </c>
      <c r="P914" s="9"/>
      <c r="Q914" s="9"/>
      <c r="R914" s="9"/>
      <c r="S914" s="12"/>
      <c r="T914" s="9"/>
      <c r="U914" s="9"/>
      <c r="V914" s="9"/>
      <c r="W914" s="10" t="str">
        <f aca="false">IF(C914="","",IF(OR(G914="training",G914="full"),"Yes",IF(G914="none","No","?")))</f>
        <v/>
      </c>
      <c r="X914" s="10" t="str">
        <f aca="false">IF(C914="","",IF(OR(E914="",E914="unknown"),D914,E914))</f>
        <v/>
      </c>
      <c r="Y914" s="10" t="str">
        <f aca="false">IF(C914="","",IF(OR(T914="unsuitable",T914="retired",X914="no"),"—",IF(J914="","unrated",IF(AND(X914="full",J914&gt;=Settings!$C$5,OR(O914="untested",O914&gt;=Settings!$C$6)),"A",IF(AND(OR(X914="full",X914="reduced"),J914&gt;=Settings!$C$7,OR(O914="untested",O914&gt;=Settings!$C$8)),"B","C")))))</f>
        <v/>
      </c>
      <c r="Z914" s="11" t="str">
        <f aca="false">IF(C914="","",IF(P914&lt;&gt;"",P914,Y914))</f>
        <v/>
      </c>
    </row>
    <row r="915" customFormat="false" ht="15" hidden="false" customHeight="false" outlineLevel="0" collapsed="false">
      <c r="A915" s="9"/>
      <c r="B915" s="10" t="str">
        <f aca="false">IF(A915="","",IFERROR(INDEX(Parks!$A$2:$A$255,MATCH(A915,Parks!$B$2:$B$255,0)),"?"))</f>
        <v/>
      </c>
      <c r="C915" s="9"/>
      <c r="D915" s="10" t="str">
        <f aca="false">IF(C915="","",IF(SUMPRODUCT(--ISNUMBER(SEARCH({"Nets","Wicket","Diamond","Softball","T-ball","Baseball","Netball","Tennis","Bocce","Pentaque","Petanque","Skate","Car Park","Pond","Bridle","Amphitheatre","Perimeter","Passive"},C915)))&gt;0,"no",IF(SUMPRODUCT(--ISNUMBER(SEARCH({"Cricket","Junior","Mini","Summer Football","Small"},C915)))&gt;0,"reduced",IF(SUMPRODUCT(--ISNUMBER(SEARCH({"Rugby","Football","League","Touch","Gaelic","Australian","Lacrosse","General Sport","Training Area","Ultimate"},C915)))&gt;0,"full","unknown"))))</f>
        <v/>
      </c>
      <c r="E915" s="9"/>
      <c r="F915" s="9"/>
      <c r="G915" s="9"/>
      <c r="H915" s="9"/>
      <c r="I915" s="12"/>
      <c r="J915" s="9"/>
      <c r="K915" s="9"/>
      <c r="L915" s="9"/>
      <c r="M915" s="9"/>
      <c r="N915" s="9"/>
      <c r="O915" s="13" t="str">
        <f aca="false">IF(C915="","",IF(N(M915)+N(N915)&lt;Settings!$C$9,"untested",M915/(M915+N915)))</f>
        <v/>
      </c>
      <c r="P915" s="9"/>
      <c r="Q915" s="9"/>
      <c r="R915" s="9"/>
      <c r="S915" s="12"/>
      <c r="T915" s="9"/>
      <c r="U915" s="9"/>
      <c r="V915" s="9"/>
      <c r="W915" s="10" t="str">
        <f aca="false">IF(C915="","",IF(OR(G915="training",G915="full"),"Yes",IF(G915="none","No","?")))</f>
        <v/>
      </c>
      <c r="X915" s="10" t="str">
        <f aca="false">IF(C915="","",IF(OR(E915="",E915="unknown"),D915,E915))</f>
        <v/>
      </c>
      <c r="Y915" s="10" t="str">
        <f aca="false">IF(C915="","",IF(OR(T915="unsuitable",T915="retired",X915="no"),"—",IF(J915="","unrated",IF(AND(X915="full",J915&gt;=Settings!$C$5,OR(O915="untested",O915&gt;=Settings!$C$6)),"A",IF(AND(OR(X915="full",X915="reduced"),J915&gt;=Settings!$C$7,OR(O915="untested",O915&gt;=Settings!$C$8)),"B","C")))))</f>
        <v/>
      </c>
      <c r="Z915" s="11" t="str">
        <f aca="false">IF(C915="","",IF(P915&lt;&gt;"",P915,Y915))</f>
        <v/>
      </c>
    </row>
    <row r="916" customFormat="false" ht="15" hidden="false" customHeight="false" outlineLevel="0" collapsed="false">
      <c r="A916" s="9"/>
      <c r="B916" s="10" t="str">
        <f aca="false">IF(A916="","",IFERROR(INDEX(Parks!$A$2:$A$255,MATCH(A916,Parks!$B$2:$B$255,0)),"?"))</f>
        <v/>
      </c>
      <c r="C916" s="9"/>
      <c r="D916" s="10" t="str">
        <f aca="false">IF(C916="","",IF(SUMPRODUCT(--ISNUMBER(SEARCH({"Nets","Wicket","Diamond","Softball","T-ball","Baseball","Netball","Tennis","Bocce","Pentaque","Petanque","Skate","Car Park","Pond","Bridle","Amphitheatre","Perimeter","Passive"},C916)))&gt;0,"no",IF(SUMPRODUCT(--ISNUMBER(SEARCH({"Cricket","Junior","Mini","Summer Football","Small"},C916)))&gt;0,"reduced",IF(SUMPRODUCT(--ISNUMBER(SEARCH({"Rugby","Football","League","Touch","Gaelic","Australian","Lacrosse","General Sport","Training Area","Ultimate"},C916)))&gt;0,"full","unknown"))))</f>
        <v/>
      </c>
      <c r="E916" s="9"/>
      <c r="F916" s="9"/>
      <c r="G916" s="9"/>
      <c r="H916" s="9"/>
      <c r="I916" s="12"/>
      <c r="J916" s="9"/>
      <c r="K916" s="9"/>
      <c r="L916" s="9"/>
      <c r="M916" s="9"/>
      <c r="N916" s="9"/>
      <c r="O916" s="13" t="str">
        <f aca="false">IF(C916="","",IF(N(M916)+N(N916)&lt;Settings!$C$9,"untested",M916/(M916+N916)))</f>
        <v/>
      </c>
      <c r="P916" s="9"/>
      <c r="Q916" s="9"/>
      <c r="R916" s="9"/>
      <c r="S916" s="12"/>
      <c r="T916" s="9"/>
      <c r="U916" s="9"/>
      <c r="V916" s="9"/>
      <c r="W916" s="10" t="str">
        <f aca="false">IF(C916="","",IF(OR(G916="training",G916="full"),"Yes",IF(G916="none","No","?")))</f>
        <v/>
      </c>
      <c r="X916" s="10" t="str">
        <f aca="false">IF(C916="","",IF(OR(E916="",E916="unknown"),D916,E916))</f>
        <v/>
      </c>
      <c r="Y916" s="10" t="str">
        <f aca="false">IF(C916="","",IF(OR(T916="unsuitable",T916="retired",X916="no"),"—",IF(J916="","unrated",IF(AND(X916="full",J916&gt;=Settings!$C$5,OR(O916="untested",O916&gt;=Settings!$C$6)),"A",IF(AND(OR(X916="full",X916="reduced"),J916&gt;=Settings!$C$7,OR(O916="untested",O916&gt;=Settings!$C$8)),"B","C")))))</f>
        <v/>
      </c>
      <c r="Z916" s="11" t="str">
        <f aca="false">IF(C916="","",IF(P916&lt;&gt;"",P916,Y916))</f>
        <v/>
      </c>
    </row>
    <row r="917" customFormat="false" ht="15" hidden="false" customHeight="false" outlineLevel="0" collapsed="false">
      <c r="A917" s="9"/>
      <c r="B917" s="10" t="str">
        <f aca="false">IF(A917="","",IFERROR(INDEX(Parks!$A$2:$A$255,MATCH(A917,Parks!$B$2:$B$255,0)),"?"))</f>
        <v/>
      </c>
      <c r="C917" s="9"/>
      <c r="D917" s="10" t="str">
        <f aca="false">IF(C917="","",IF(SUMPRODUCT(--ISNUMBER(SEARCH({"Nets","Wicket","Diamond","Softball","T-ball","Baseball","Netball","Tennis","Bocce","Pentaque","Petanque","Skate","Car Park","Pond","Bridle","Amphitheatre","Perimeter","Passive"},C917)))&gt;0,"no",IF(SUMPRODUCT(--ISNUMBER(SEARCH({"Cricket","Junior","Mini","Summer Football","Small"},C917)))&gt;0,"reduced",IF(SUMPRODUCT(--ISNUMBER(SEARCH({"Rugby","Football","League","Touch","Gaelic","Australian","Lacrosse","General Sport","Training Area","Ultimate"},C917)))&gt;0,"full","unknown"))))</f>
        <v/>
      </c>
      <c r="E917" s="9"/>
      <c r="F917" s="9"/>
      <c r="G917" s="9"/>
      <c r="H917" s="9"/>
      <c r="I917" s="12"/>
      <c r="J917" s="9"/>
      <c r="K917" s="9"/>
      <c r="L917" s="9"/>
      <c r="M917" s="9"/>
      <c r="N917" s="9"/>
      <c r="O917" s="13" t="str">
        <f aca="false">IF(C917="","",IF(N(M917)+N(N917)&lt;Settings!$C$9,"untested",M917/(M917+N917)))</f>
        <v/>
      </c>
      <c r="P917" s="9"/>
      <c r="Q917" s="9"/>
      <c r="R917" s="9"/>
      <c r="S917" s="12"/>
      <c r="T917" s="9"/>
      <c r="U917" s="9"/>
      <c r="V917" s="9"/>
      <c r="W917" s="10" t="str">
        <f aca="false">IF(C917="","",IF(OR(G917="training",G917="full"),"Yes",IF(G917="none","No","?")))</f>
        <v/>
      </c>
      <c r="X917" s="10" t="str">
        <f aca="false">IF(C917="","",IF(OR(E917="",E917="unknown"),D917,E917))</f>
        <v/>
      </c>
      <c r="Y917" s="10" t="str">
        <f aca="false">IF(C917="","",IF(OR(T917="unsuitable",T917="retired",X917="no"),"—",IF(J917="","unrated",IF(AND(X917="full",J917&gt;=Settings!$C$5,OR(O917="untested",O917&gt;=Settings!$C$6)),"A",IF(AND(OR(X917="full",X917="reduced"),J917&gt;=Settings!$C$7,OR(O917="untested",O917&gt;=Settings!$C$8)),"B","C")))))</f>
        <v/>
      </c>
      <c r="Z917" s="11" t="str">
        <f aca="false">IF(C917="","",IF(P917&lt;&gt;"",P917,Y917))</f>
        <v/>
      </c>
    </row>
    <row r="918" customFormat="false" ht="15" hidden="false" customHeight="false" outlineLevel="0" collapsed="false">
      <c r="A918" s="9"/>
      <c r="B918" s="10" t="str">
        <f aca="false">IF(A918="","",IFERROR(INDEX(Parks!$A$2:$A$255,MATCH(A918,Parks!$B$2:$B$255,0)),"?"))</f>
        <v/>
      </c>
      <c r="C918" s="9"/>
      <c r="D918" s="10" t="str">
        <f aca="false">IF(C918="","",IF(SUMPRODUCT(--ISNUMBER(SEARCH({"Nets","Wicket","Diamond","Softball","T-ball","Baseball","Netball","Tennis","Bocce","Pentaque","Petanque","Skate","Car Park","Pond","Bridle","Amphitheatre","Perimeter","Passive"},C918)))&gt;0,"no",IF(SUMPRODUCT(--ISNUMBER(SEARCH({"Cricket","Junior","Mini","Summer Football","Small"},C918)))&gt;0,"reduced",IF(SUMPRODUCT(--ISNUMBER(SEARCH({"Rugby","Football","League","Touch","Gaelic","Australian","Lacrosse","General Sport","Training Area","Ultimate"},C918)))&gt;0,"full","unknown"))))</f>
        <v/>
      </c>
      <c r="E918" s="9"/>
      <c r="F918" s="9"/>
      <c r="G918" s="9"/>
      <c r="H918" s="9"/>
      <c r="I918" s="12"/>
      <c r="J918" s="9"/>
      <c r="K918" s="9"/>
      <c r="L918" s="9"/>
      <c r="M918" s="9"/>
      <c r="N918" s="9"/>
      <c r="O918" s="13" t="str">
        <f aca="false">IF(C918="","",IF(N(M918)+N(N918)&lt;Settings!$C$9,"untested",M918/(M918+N918)))</f>
        <v/>
      </c>
      <c r="P918" s="9"/>
      <c r="Q918" s="9"/>
      <c r="R918" s="9"/>
      <c r="S918" s="12"/>
      <c r="T918" s="9"/>
      <c r="U918" s="9"/>
      <c r="V918" s="9"/>
      <c r="W918" s="10" t="str">
        <f aca="false">IF(C918="","",IF(OR(G918="training",G918="full"),"Yes",IF(G918="none","No","?")))</f>
        <v/>
      </c>
      <c r="X918" s="10" t="str">
        <f aca="false">IF(C918="","",IF(OR(E918="",E918="unknown"),D918,E918))</f>
        <v/>
      </c>
      <c r="Y918" s="10" t="str">
        <f aca="false">IF(C918="","",IF(OR(T918="unsuitable",T918="retired",X918="no"),"—",IF(J918="","unrated",IF(AND(X918="full",J918&gt;=Settings!$C$5,OR(O918="untested",O918&gt;=Settings!$C$6)),"A",IF(AND(OR(X918="full",X918="reduced"),J918&gt;=Settings!$C$7,OR(O918="untested",O918&gt;=Settings!$C$8)),"B","C")))))</f>
        <v/>
      </c>
      <c r="Z918" s="11" t="str">
        <f aca="false">IF(C918="","",IF(P918&lt;&gt;"",P918,Y918))</f>
        <v/>
      </c>
    </row>
    <row r="919" customFormat="false" ht="15" hidden="false" customHeight="false" outlineLevel="0" collapsed="false">
      <c r="A919" s="9"/>
      <c r="B919" s="10" t="str">
        <f aca="false">IF(A919="","",IFERROR(INDEX(Parks!$A$2:$A$255,MATCH(A919,Parks!$B$2:$B$255,0)),"?"))</f>
        <v/>
      </c>
      <c r="C919" s="9"/>
      <c r="D919" s="10" t="str">
        <f aca="false">IF(C919="","",IF(SUMPRODUCT(--ISNUMBER(SEARCH({"Nets","Wicket","Diamond","Softball","T-ball","Baseball","Netball","Tennis","Bocce","Pentaque","Petanque","Skate","Car Park","Pond","Bridle","Amphitheatre","Perimeter","Passive"},C919)))&gt;0,"no",IF(SUMPRODUCT(--ISNUMBER(SEARCH({"Cricket","Junior","Mini","Summer Football","Small"},C919)))&gt;0,"reduced",IF(SUMPRODUCT(--ISNUMBER(SEARCH({"Rugby","Football","League","Touch","Gaelic","Australian","Lacrosse","General Sport","Training Area","Ultimate"},C919)))&gt;0,"full","unknown"))))</f>
        <v/>
      </c>
      <c r="E919" s="9"/>
      <c r="F919" s="9"/>
      <c r="G919" s="9"/>
      <c r="H919" s="9"/>
      <c r="I919" s="12"/>
      <c r="J919" s="9"/>
      <c r="K919" s="9"/>
      <c r="L919" s="9"/>
      <c r="M919" s="9"/>
      <c r="N919" s="9"/>
      <c r="O919" s="13" t="str">
        <f aca="false">IF(C919="","",IF(N(M919)+N(N919)&lt;Settings!$C$9,"untested",M919/(M919+N919)))</f>
        <v/>
      </c>
      <c r="P919" s="9"/>
      <c r="Q919" s="9"/>
      <c r="R919" s="9"/>
      <c r="S919" s="12"/>
      <c r="T919" s="9"/>
      <c r="U919" s="9"/>
      <c r="V919" s="9"/>
      <c r="W919" s="10" t="str">
        <f aca="false">IF(C919="","",IF(OR(G919="training",G919="full"),"Yes",IF(G919="none","No","?")))</f>
        <v/>
      </c>
      <c r="X919" s="10" t="str">
        <f aca="false">IF(C919="","",IF(OR(E919="",E919="unknown"),D919,E919))</f>
        <v/>
      </c>
      <c r="Y919" s="10" t="str">
        <f aca="false">IF(C919="","",IF(OR(T919="unsuitable",T919="retired",X919="no"),"—",IF(J919="","unrated",IF(AND(X919="full",J919&gt;=Settings!$C$5,OR(O919="untested",O919&gt;=Settings!$C$6)),"A",IF(AND(OR(X919="full",X919="reduced"),J919&gt;=Settings!$C$7,OR(O919="untested",O919&gt;=Settings!$C$8)),"B","C")))))</f>
        <v/>
      </c>
      <c r="Z919" s="11" t="str">
        <f aca="false">IF(C919="","",IF(P919&lt;&gt;"",P919,Y919))</f>
        <v/>
      </c>
    </row>
    <row r="920" customFormat="false" ht="15" hidden="false" customHeight="false" outlineLevel="0" collapsed="false">
      <c r="A920" s="9"/>
      <c r="B920" s="10" t="str">
        <f aca="false">IF(A920="","",IFERROR(INDEX(Parks!$A$2:$A$255,MATCH(A920,Parks!$B$2:$B$255,0)),"?"))</f>
        <v/>
      </c>
      <c r="C920" s="9"/>
      <c r="D920" s="10" t="str">
        <f aca="false">IF(C920="","",IF(SUMPRODUCT(--ISNUMBER(SEARCH({"Nets","Wicket","Diamond","Softball","T-ball","Baseball","Netball","Tennis","Bocce","Pentaque","Petanque","Skate","Car Park","Pond","Bridle","Amphitheatre","Perimeter","Passive"},C920)))&gt;0,"no",IF(SUMPRODUCT(--ISNUMBER(SEARCH({"Cricket","Junior","Mini","Summer Football","Small"},C920)))&gt;0,"reduced",IF(SUMPRODUCT(--ISNUMBER(SEARCH({"Rugby","Football","League","Touch","Gaelic","Australian","Lacrosse","General Sport","Training Area","Ultimate"},C920)))&gt;0,"full","unknown"))))</f>
        <v/>
      </c>
      <c r="E920" s="9"/>
      <c r="F920" s="9"/>
      <c r="G920" s="9"/>
      <c r="H920" s="9"/>
      <c r="I920" s="12"/>
      <c r="J920" s="9"/>
      <c r="K920" s="9"/>
      <c r="L920" s="9"/>
      <c r="M920" s="9"/>
      <c r="N920" s="9"/>
      <c r="O920" s="13" t="str">
        <f aca="false">IF(C920="","",IF(N(M920)+N(N920)&lt;Settings!$C$9,"untested",M920/(M920+N920)))</f>
        <v/>
      </c>
      <c r="P920" s="9"/>
      <c r="Q920" s="9"/>
      <c r="R920" s="9"/>
      <c r="S920" s="12"/>
      <c r="T920" s="9"/>
      <c r="U920" s="9"/>
      <c r="V920" s="9"/>
      <c r="W920" s="10" t="str">
        <f aca="false">IF(C920="","",IF(OR(G920="training",G920="full"),"Yes",IF(G920="none","No","?")))</f>
        <v/>
      </c>
      <c r="X920" s="10" t="str">
        <f aca="false">IF(C920="","",IF(OR(E920="",E920="unknown"),D920,E920))</f>
        <v/>
      </c>
      <c r="Y920" s="10" t="str">
        <f aca="false">IF(C920="","",IF(OR(T920="unsuitable",T920="retired",X920="no"),"—",IF(J920="","unrated",IF(AND(X920="full",J920&gt;=Settings!$C$5,OR(O920="untested",O920&gt;=Settings!$C$6)),"A",IF(AND(OR(X920="full",X920="reduced"),J920&gt;=Settings!$C$7,OR(O920="untested",O920&gt;=Settings!$C$8)),"B","C")))))</f>
        <v/>
      </c>
      <c r="Z920" s="11" t="str">
        <f aca="false">IF(C920="","",IF(P920&lt;&gt;"",P920,Y920))</f>
        <v/>
      </c>
    </row>
    <row r="921" customFormat="false" ht="15" hidden="false" customHeight="false" outlineLevel="0" collapsed="false">
      <c r="A921" s="9"/>
      <c r="B921" s="10" t="str">
        <f aca="false">IF(A921="","",IFERROR(INDEX(Parks!$A$2:$A$255,MATCH(A921,Parks!$B$2:$B$255,0)),"?"))</f>
        <v/>
      </c>
      <c r="C921" s="9"/>
      <c r="D921" s="10" t="str">
        <f aca="false">IF(C921="","",IF(SUMPRODUCT(--ISNUMBER(SEARCH({"Nets","Wicket","Diamond","Softball","T-ball","Baseball","Netball","Tennis","Bocce","Pentaque","Petanque","Skate","Car Park","Pond","Bridle","Amphitheatre","Perimeter","Passive"},C921)))&gt;0,"no",IF(SUMPRODUCT(--ISNUMBER(SEARCH({"Cricket","Junior","Mini","Summer Football","Small"},C921)))&gt;0,"reduced",IF(SUMPRODUCT(--ISNUMBER(SEARCH({"Rugby","Football","League","Touch","Gaelic","Australian","Lacrosse","General Sport","Training Area","Ultimate"},C921)))&gt;0,"full","unknown"))))</f>
        <v/>
      </c>
      <c r="E921" s="9"/>
      <c r="F921" s="9"/>
      <c r="G921" s="9"/>
      <c r="H921" s="9"/>
      <c r="I921" s="12"/>
      <c r="J921" s="9"/>
      <c r="K921" s="9"/>
      <c r="L921" s="9"/>
      <c r="M921" s="9"/>
      <c r="N921" s="9"/>
      <c r="O921" s="13" t="str">
        <f aca="false">IF(C921="","",IF(N(M921)+N(N921)&lt;Settings!$C$9,"untested",M921/(M921+N921)))</f>
        <v/>
      </c>
      <c r="P921" s="9"/>
      <c r="Q921" s="9"/>
      <c r="R921" s="9"/>
      <c r="S921" s="12"/>
      <c r="T921" s="9"/>
      <c r="U921" s="9"/>
      <c r="V921" s="9"/>
      <c r="W921" s="10" t="str">
        <f aca="false">IF(C921="","",IF(OR(G921="training",G921="full"),"Yes",IF(G921="none","No","?")))</f>
        <v/>
      </c>
      <c r="X921" s="10" t="str">
        <f aca="false">IF(C921="","",IF(OR(E921="",E921="unknown"),D921,E921))</f>
        <v/>
      </c>
      <c r="Y921" s="10" t="str">
        <f aca="false">IF(C921="","",IF(OR(T921="unsuitable",T921="retired",X921="no"),"—",IF(J921="","unrated",IF(AND(X921="full",J921&gt;=Settings!$C$5,OR(O921="untested",O921&gt;=Settings!$C$6)),"A",IF(AND(OR(X921="full",X921="reduced"),J921&gt;=Settings!$C$7,OR(O921="untested",O921&gt;=Settings!$C$8)),"B","C")))))</f>
        <v/>
      </c>
      <c r="Z921" s="11" t="str">
        <f aca="false">IF(C921="","",IF(P921&lt;&gt;"",P921,Y921))</f>
        <v/>
      </c>
    </row>
    <row r="922" customFormat="false" ht="15" hidden="false" customHeight="false" outlineLevel="0" collapsed="false">
      <c r="A922" s="9"/>
      <c r="B922" s="10" t="str">
        <f aca="false">IF(A922="","",IFERROR(INDEX(Parks!$A$2:$A$255,MATCH(A922,Parks!$B$2:$B$255,0)),"?"))</f>
        <v/>
      </c>
      <c r="C922" s="9"/>
      <c r="D922" s="10" t="str">
        <f aca="false">IF(C922="","",IF(SUMPRODUCT(--ISNUMBER(SEARCH({"Nets","Wicket","Diamond","Softball","T-ball","Baseball","Netball","Tennis","Bocce","Pentaque","Petanque","Skate","Car Park","Pond","Bridle","Amphitheatre","Perimeter","Passive"},C922)))&gt;0,"no",IF(SUMPRODUCT(--ISNUMBER(SEARCH({"Cricket","Junior","Mini","Summer Football","Small"},C922)))&gt;0,"reduced",IF(SUMPRODUCT(--ISNUMBER(SEARCH({"Rugby","Football","League","Touch","Gaelic","Australian","Lacrosse","General Sport","Training Area","Ultimate"},C922)))&gt;0,"full","unknown"))))</f>
        <v/>
      </c>
      <c r="E922" s="9"/>
      <c r="F922" s="9"/>
      <c r="G922" s="9"/>
      <c r="H922" s="9"/>
      <c r="I922" s="12"/>
      <c r="J922" s="9"/>
      <c r="K922" s="9"/>
      <c r="L922" s="9"/>
      <c r="M922" s="9"/>
      <c r="N922" s="9"/>
      <c r="O922" s="13" t="str">
        <f aca="false">IF(C922="","",IF(N(M922)+N(N922)&lt;Settings!$C$9,"untested",M922/(M922+N922)))</f>
        <v/>
      </c>
      <c r="P922" s="9"/>
      <c r="Q922" s="9"/>
      <c r="R922" s="9"/>
      <c r="S922" s="12"/>
      <c r="T922" s="9"/>
      <c r="U922" s="9"/>
      <c r="V922" s="9"/>
      <c r="W922" s="10" t="str">
        <f aca="false">IF(C922="","",IF(OR(G922="training",G922="full"),"Yes",IF(G922="none","No","?")))</f>
        <v/>
      </c>
      <c r="X922" s="10" t="str">
        <f aca="false">IF(C922="","",IF(OR(E922="",E922="unknown"),D922,E922))</f>
        <v/>
      </c>
      <c r="Y922" s="10" t="str">
        <f aca="false">IF(C922="","",IF(OR(T922="unsuitable",T922="retired",X922="no"),"—",IF(J922="","unrated",IF(AND(X922="full",J922&gt;=Settings!$C$5,OR(O922="untested",O922&gt;=Settings!$C$6)),"A",IF(AND(OR(X922="full",X922="reduced"),J922&gt;=Settings!$C$7,OR(O922="untested",O922&gt;=Settings!$C$8)),"B","C")))))</f>
        <v/>
      </c>
      <c r="Z922" s="11" t="str">
        <f aca="false">IF(C922="","",IF(P922&lt;&gt;"",P922,Y922))</f>
        <v/>
      </c>
    </row>
    <row r="923" customFormat="false" ht="15" hidden="false" customHeight="false" outlineLevel="0" collapsed="false">
      <c r="A923" s="9"/>
      <c r="B923" s="10" t="str">
        <f aca="false">IF(A923="","",IFERROR(INDEX(Parks!$A$2:$A$255,MATCH(A923,Parks!$B$2:$B$255,0)),"?"))</f>
        <v/>
      </c>
      <c r="C923" s="9"/>
      <c r="D923" s="10" t="str">
        <f aca="false">IF(C923="","",IF(SUMPRODUCT(--ISNUMBER(SEARCH({"Nets","Wicket","Diamond","Softball","T-ball","Baseball","Netball","Tennis","Bocce","Pentaque","Petanque","Skate","Car Park","Pond","Bridle","Amphitheatre","Perimeter","Passive"},C923)))&gt;0,"no",IF(SUMPRODUCT(--ISNUMBER(SEARCH({"Cricket","Junior","Mini","Summer Football","Small"},C923)))&gt;0,"reduced",IF(SUMPRODUCT(--ISNUMBER(SEARCH({"Rugby","Football","League","Touch","Gaelic","Australian","Lacrosse","General Sport","Training Area","Ultimate"},C923)))&gt;0,"full","unknown"))))</f>
        <v/>
      </c>
      <c r="E923" s="9"/>
      <c r="F923" s="9"/>
      <c r="G923" s="9"/>
      <c r="H923" s="9"/>
      <c r="I923" s="12"/>
      <c r="J923" s="9"/>
      <c r="K923" s="9"/>
      <c r="L923" s="9"/>
      <c r="M923" s="9"/>
      <c r="N923" s="9"/>
      <c r="O923" s="13" t="str">
        <f aca="false">IF(C923="","",IF(N(M923)+N(N923)&lt;Settings!$C$9,"untested",M923/(M923+N923)))</f>
        <v/>
      </c>
      <c r="P923" s="9"/>
      <c r="Q923" s="9"/>
      <c r="R923" s="9"/>
      <c r="S923" s="12"/>
      <c r="T923" s="9"/>
      <c r="U923" s="9"/>
      <c r="V923" s="9"/>
      <c r="W923" s="10" t="str">
        <f aca="false">IF(C923="","",IF(OR(G923="training",G923="full"),"Yes",IF(G923="none","No","?")))</f>
        <v/>
      </c>
      <c r="X923" s="10" t="str">
        <f aca="false">IF(C923="","",IF(OR(E923="",E923="unknown"),D923,E923))</f>
        <v/>
      </c>
      <c r="Y923" s="10" t="str">
        <f aca="false">IF(C923="","",IF(OR(T923="unsuitable",T923="retired",X923="no"),"—",IF(J923="","unrated",IF(AND(X923="full",J923&gt;=Settings!$C$5,OR(O923="untested",O923&gt;=Settings!$C$6)),"A",IF(AND(OR(X923="full",X923="reduced"),J923&gt;=Settings!$C$7,OR(O923="untested",O923&gt;=Settings!$C$8)),"B","C")))))</f>
        <v/>
      </c>
      <c r="Z923" s="11" t="str">
        <f aca="false">IF(C923="","",IF(P923&lt;&gt;"",P923,Y923))</f>
        <v/>
      </c>
    </row>
    <row r="924" customFormat="false" ht="15" hidden="false" customHeight="false" outlineLevel="0" collapsed="false">
      <c r="A924" s="9"/>
      <c r="B924" s="10" t="str">
        <f aca="false">IF(A924="","",IFERROR(INDEX(Parks!$A$2:$A$255,MATCH(A924,Parks!$B$2:$B$255,0)),"?"))</f>
        <v/>
      </c>
      <c r="C924" s="9"/>
      <c r="D924" s="10" t="str">
        <f aca="false">IF(C924="","",IF(SUMPRODUCT(--ISNUMBER(SEARCH({"Nets","Wicket","Diamond","Softball","T-ball","Baseball","Netball","Tennis","Bocce","Pentaque","Petanque","Skate","Car Park","Pond","Bridle","Amphitheatre","Perimeter","Passive"},C924)))&gt;0,"no",IF(SUMPRODUCT(--ISNUMBER(SEARCH({"Cricket","Junior","Mini","Summer Football","Small"},C924)))&gt;0,"reduced",IF(SUMPRODUCT(--ISNUMBER(SEARCH({"Rugby","Football","League","Touch","Gaelic","Australian","Lacrosse","General Sport","Training Area","Ultimate"},C924)))&gt;0,"full","unknown"))))</f>
        <v/>
      </c>
      <c r="E924" s="9"/>
      <c r="F924" s="9"/>
      <c r="G924" s="9"/>
      <c r="H924" s="9"/>
      <c r="I924" s="12"/>
      <c r="J924" s="9"/>
      <c r="K924" s="9"/>
      <c r="L924" s="9"/>
      <c r="M924" s="9"/>
      <c r="N924" s="9"/>
      <c r="O924" s="13" t="str">
        <f aca="false">IF(C924="","",IF(N(M924)+N(N924)&lt;Settings!$C$9,"untested",M924/(M924+N924)))</f>
        <v/>
      </c>
      <c r="P924" s="9"/>
      <c r="Q924" s="9"/>
      <c r="R924" s="9"/>
      <c r="S924" s="12"/>
      <c r="T924" s="9"/>
      <c r="U924" s="9"/>
      <c r="V924" s="9"/>
      <c r="W924" s="10" t="str">
        <f aca="false">IF(C924="","",IF(OR(G924="training",G924="full"),"Yes",IF(G924="none","No","?")))</f>
        <v/>
      </c>
      <c r="X924" s="10" t="str">
        <f aca="false">IF(C924="","",IF(OR(E924="",E924="unknown"),D924,E924))</f>
        <v/>
      </c>
      <c r="Y924" s="10" t="str">
        <f aca="false">IF(C924="","",IF(OR(T924="unsuitable",T924="retired",X924="no"),"—",IF(J924="","unrated",IF(AND(X924="full",J924&gt;=Settings!$C$5,OR(O924="untested",O924&gt;=Settings!$C$6)),"A",IF(AND(OR(X924="full",X924="reduced"),J924&gt;=Settings!$C$7,OR(O924="untested",O924&gt;=Settings!$C$8)),"B","C")))))</f>
        <v/>
      </c>
      <c r="Z924" s="11" t="str">
        <f aca="false">IF(C924="","",IF(P924&lt;&gt;"",P924,Y924))</f>
        <v/>
      </c>
    </row>
    <row r="925" customFormat="false" ht="15" hidden="false" customHeight="false" outlineLevel="0" collapsed="false">
      <c r="A925" s="9"/>
      <c r="B925" s="10" t="str">
        <f aca="false">IF(A925="","",IFERROR(INDEX(Parks!$A$2:$A$255,MATCH(A925,Parks!$B$2:$B$255,0)),"?"))</f>
        <v/>
      </c>
      <c r="C925" s="9"/>
      <c r="D925" s="10" t="str">
        <f aca="false">IF(C925="","",IF(SUMPRODUCT(--ISNUMBER(SEARCH({"Nets","Wicket","Diamond","Softball","T-ball","Baseball","Netball","Tennis","Bocce","Pentaque","Petanque","Skate","Car Park","Pond","Bridle","Amphitheatre","Perimeter","Passive"},C925)))&gt;0,"no",IF(SUMPRODUCT(--ISNUMBER(SEARCH({"Cricket","Junior","Mini","Summer Football","Small"},C925)))&gt;0,"reduced",IF(SUMPRODUCT(--ISNUMBER(SEARCH({"Rugby","Football","League","Touch","Gaelic","Australian","Lacrosse","General Sport","Training Area","Ultimate"},C925)))&gt;0,"full","unknown"))))</f>
        <v/>
      </c>
      <c r="E925" s="9"/>
      <c r="F925" s="9"/>
      <c r="G925" s="9"/>
      <c r="H925" s="9"/>
      <c r="I925" s="12"/>
      <c r="J925" s="9"/>
      <c r="K925" s="9"/>
      <c r="L925" s="9"/>
      <c r="M925" s="9"/>
      <c r="N925" s="9"/>
      <c r="O925" s="13" t="str">
        <f aca="false">IF(C925="","",IF(N(M925)+N(N925)&lt;Settings!$C$9,"untested",M925/(M925+N925)))</f>
        <v/>
      </c>
      <c r="P925" s="9"/>
      <c r="Q925" s="9"/>
      <c r="R925" s="9"/>
      <c r="S925" s="12"/>
      <c r="T925" s="9"/>
      <c r="U925" s="9"/>
      <c r="V925" s="9"/>
      <c r="W925" s="10" t="str">
        <f aca="false">IF(C925="","",IF(OR(G925="training",G925="full"),"Yes",IF(G925="none","No","?")))</f>
        <v/>
      </c>
      <c r="X925" s="10" t="str">
        <f aca="false">IF(C925="","",IF(OR(E925="",E925="unknown"),D925,E925))</f>
        <v/>
      </c>
      <c r="Y925" s="10" t="str">
        <f aca="false">IF(C925="","",IF(OR(T925="unsuitable",T925="retired",X925="no"),"—",IF(J925="","unrated",IF(AND(X925="full",J925&gt;=Settings!$C$5,OR(O925="untested",O925&gt;=Settings!$C$6)),"A",IF(AND(OR(X925="full",X925="reduced"),J925&gt;=Settings!$C$7,OR(O925="untested",O925&gt;=Settings!$C$8)),"B","C")))))</f>
        <v/>
      </c>
      <c r="Z925" s="11" t="str">
        <f aca="false">IF(C925="","",IF(P925&lt;&gt;"",P925,Y925))</f>
        <v/>
      </c>
    </row>
    <row r="926" customFormat="false" ht="15" hidden="false" customHeight="false" outlineLevel="0" collapsed="false">
      <c r="A926" s="9"/>
      <c r="B926" s="10" t="str">
        <f aca="false">IF(A926="","",IFERROR(INDEX(Parks!$A$2:$A$255,MATCH(A926,Parks!$B$2:$B$255,0)),"?"))</f>
        <v/>
      </c>
      <c r="C926" s="9"/>
      <c r="D926" s="10" t="str">
        <f aca="false">IF(C926="","",IF(SUMPRODUCT(--ISNUMBER(SEARCH({"Nets","Wicket","Diamond","Softball","T-ball","Baseball","Netball","Tennis","Bocce","Pentaque","Petanque","Skate","Car Park","Pond","Bridle","Amphitheatre","Perimeter","Passive"},C926)))&gt;0,"no",IF(SUMPRODUCT(--ISNUMBER(SEARCH({"Cricket","Junior","Mini","Summer Football","Small"},C926)))&gt;0,"reduced",IF(SUMPRODUCT(--ISNUMBER(SEARCH({"Rugby","Football","League","Touch","Gaelic","Australian","Lacrosse","General Sport","Training Area","Ultimate"},C926)))&gt;0,"full","unknown"))))</f>
        <v/>
      </c>
      <c r="E926" s="9"/>
      <c r="F926" s="9"/>
      <c r="G926" s="9"/>
      <c r="H926" s="9"/>
      <c r="I926" s="12"/>
      <c r="J926" s="9"/>
      <c r="K926" s="9"/>
      <c r="L926" s="9"/>
      <c r="M926" s="9"/>
      <c r="N926" s="9"/>
      <c r="O926" s="13" t="str">
        <f aca="false">IF(C926="","",IF(N(M926)+N(N926)&lt;Settings!$C$9,"untested",M926/(M926+N926)))</f>
        <v/>
      </c>
      <c r="P926" s="9"/>
      <c r="Q926" s="9"/>
      <c r="R926" s="9"/>
      <c r="S926" s="12"/>
      <c r="T926" s="9"/>
      <c r="U926" s="9"/>
      <c r="V926" s="9"/>
      <c r="W926" s="10" t="str">
        <f aca="false">IF(C926="","",IF(OR(G926="training",G926="full"),"Yes",IF(G926="none","No","?")))</f>
        <v/>
      </c>
      <c r="X926" s="10" t="str">
        <f aca="false">IF(C926="","",IF(OR(E926="",E926="unknown"),D926,E926))</f>
        <v/>
      </c>
      <c r="Y926" s="10" t="str">
        <f aca="false">IF(C926="","",IF(OR(T926="unsuitable",T926="retired",X926="no"),"—",IF(J926="","unrated",IF(AND(X926="full",J926&gt;=Settings!$C$5,OR(O926="untested",O926&gt;=Settings!$C$6)),"A",IF(AND(OR(X926="full",X926="reduced"),J926&gt;=Settings!$C$7,OR(O926="untested",O926&gt;=Settings!$C$8)),"B","C")))))</f>
        <v/>
      </c>
      <c r="Z926" s="11" t="str">
        <f aca="false">IF(C926="","",IF(P926&lt;&gt;"",P926,Y926))</f>
        <v/>
      </c>
    </row>
    <row r="927" customFormat="false" ht="15" hidden="false" customHeight="false" outlineLevel="0" collapsed="false">
      <c r="A927" s="9"/>
      <c r="B927" s="10" t="str">
        <f aca="false">IF(A927="","",IFERROR(INDEX(Parks!$A$2:$A$255,MATCH(A927,Parks!$B$2:$B$255,0)),"?"))</f>
        <v/>
      </c>
      <c r="C927" s="9"/>
      <c r="D927" s="10" t="str">
        <f aca="false">IF(C927="","",IF(SUMPRODUCT(--ISNUMBER(SEARCH({"Nets","Wicket","Diamond","Softball","T-ball","Baseball","Netball","Tennis","Bocce","Pentaque","Petanque","Skate","Car Park","Pond","Bridle","Amphitheatre","Perimeter","Passive"},C927)))&gt;0,"no",IF(SUMPRODUCT(--ISNUMBER(SEARCH({"Cricket","Junior","Mini","Summer Football","Small"},C927)))&gt;0,"reduced",IF(SUMPRODUCT(--ISNUMBER(SEARCH({"Rugby","Football","League","Touch","Gaelic","Australian","Lacrosse","General Sport","Training Area","Ultimate"},C927)))&gt;0,"full","unknown"))))</f>
        <v/>
      </c>
      <c r="E927" s="9"/>
      <c r="F927" s="9"/>
      <c r="G927" s="9"/>
      <c r="H927" s="9"/>
      <c r="I927" s="12"/>
      <c r="J927" s="9"/>
      <c r="K927" s="9"/>
      <c r="L927" s="9"/>
      <c r="M927" s="9"/>
      <c r="N927" s="9"/>
      <c r="O927" s="13" t="str">
        <f aca="false">IF(C927="","",IF(N(M927)+N(N927)&lt;Settings!$C$9,"untested",M927/(M927+N927)))</f>
        <v/>
      </c>
      <c r="P927" s="9"/>
      <c r="Q927" s="9"/>
      <c r="R927" s="9"/>
      <c r="S927" s="12"/>
      <c r="T927" s="9"/>
      <c r="U927" s="9"/>
      <c r="V927" s="9"/>
      <c r="W927" s="10" t="str">
        <f aca="false">IF(C927="","",IF(OR(G927="training",G927="full"),"Yes",IF(G927="none","No","?")))</f>
        <v/>
      </c>
      <c r="X927" s="10" t="str">
        <f aca="false">IF(C927="","",IF(OR(E927="",E927="unknown"),D927,E927))</f>
        <v/>
      </c>
      <c r="Y927" s="10" t="str">
        <f aca="false">IF(C927="","",IF(OR(T927="unsuitable",T927="retired",X927="no"),"—",IF(J927="","unrated",IF(AND(X927="full",J927&gt;=Settings!$C$5,OR(O927="untested",O927&gt;=Settings!$C$6)),"A",IF(AND(OR(X927="full",X927="reduced"),J927&gt;=Settings!$C$7,OR(O927="untested",O927&gt;=Settings!$C$8)),"B","C")))))</f>
        <v/>
      </c>
      <c r="Z927" s="11" t="str">
        <f aca="false">IF(C927="","",IF(P927&lt;&gt;"",P927,Y927))</f>
        <v/>
      </c>
    </row>
    <row r="928" customFormat="false" ht="15" hidden="false" customHeight="false" outlineLevel="0" collapsed="false">
      <c r="A928" s="9"/>
      <c r="B928" s="10" t="str">
        <f aca="false">IF(A928="","",IFERROR(INDEX(Parks!$A$2:$A$255,MATCH(A928,Parks!$B$2:$B$255,0)),"?"))</f>
        <v/>
      </c>
      <c r="C928" s="9"/>
      <c r="D928" s="10" t="str">
        <f aca="false">IF(C928="","",IF(SUMPRODUCT(--ISNUMBER(SEARCH({"Nets","Wicket","Diamond","Softball","T-ball","Baseball","Netball","Tennis","Bocce","Pentaque","Petanque","Skate","Car Park","Pond","Bridle","Amphitheatre","Perimeter","Passive"},C928)))&gt;0,"no",IF(SUMPRODUCT(--ISNUMBER(SEARCH({"Cricket","Junior","Mini","Summer Football","Small"},C928)))&gt;0,"reduced",IF(SUMPRODUCT(--ISNUMBER(SEARCH({"Rugby","Football","League","Touch","Gaelic","Australian","Lacrosse","General Sport","Training Area","Ultimate"},C928)))&gt;0,"full","unknown"))))</f>
        <v/>
      </c>
      <c r="E928" s="9"/>
      <c r="F928" s="9"/>
      <c r="G928" s="9"/>
      <c r="H928" s="9"/>
      <c r="I928" s="12"/>
      <c r="J928" s="9"/>
      <c r="K928" s="9"/>
      <c r="L928" s="9"/>
      <c r="M928" s="9"/>
      <c r="N928" s="9"/>
      <c r="O928" s="13" t="str">
        <f aca="false">IF(C928="","",IF(N(M928)+N(N928)&lt;Settings!$C$9,"untested",M928/(M928+N928)))</f>
        <v/>
      </c>
      <c r="P928" s="9"/>
      <c r="Q928" s="9"/>
      <c r="R928" s="9"/>
      <c r="S928" s="12"/>
      <c r="T928" s="9"/>
      <c r="U928" s="9"/>
      <c r="V928" s="9"/>
      <c r="W928" s="10" t="str">
        <f aca="false">IF(C928="","",IF(OR(G928="training",G928="full"),"Yes",IF(G928="none","No","?")))</f>
        <v/>
      </c>
      <c r="X928" s="10" t="str">
        <f aca="false">IF(C928="","",IF(OR(E928="",E928="unknown"),D928,E928))</f>
        <v/>
      </c>
      <c r="Y928" s="10" t="str">
        <f aca="false">IF(C928="","",IF(OR(T928="unsuitable",T928="retired",X928="no"),"—",IF(J928="","unrated",IF(AND(X928="full",J928&gt;=Settings!$C$5,OR(O928="untested",O928&gt;=Settings!$C$6)),"A",IF(AND(OR(X928="full",X928="reduced"),J928&gt;=Settings!$C$7,OR(O928="untested",O928&gt;=Settings!$C$8)),"B","C")))))</f>
        <v/>
      </c>
      <c r="Z928" s="11" t="str">
        <f aca="false">IF(C928="","",IF(P928&lt;&gt;"",P928,Y928))</f>
        <v/>
      </c>
    </row>
    <row r="929" customFormat="false" ht="15" hidden="false" customHeight="false" outlineLevel="0" collapsed="false">
      <c r="A929" s="9"/>
      <c r="B929" s="10" t="str">
        <f aca="false">IF(A929="","",IFERROR(INDEX(Parks!$A$2:$A$255,MATCH(A929,Parks!$B$2:$B$255,0)),"?"))</f>
        <v/>
      </c>
      <c r="C929" s="9"/>
      <c r="D929" s="10" t="str">
        <f aca="false">IF(C929="","",IF(SUMPRODUCT(--ISNUMBER(SEARCH({"Nets","Wicket","Diamond","Softball","T-ball","Baseball","Netball","Tennis","Bocce","Pentaque","Petanque","Skate","Car Park","Pond","Bridle","Amphitheatre","Perimeter","Passive"},C929)))&gt;0,"no",IF(SUMPRODUCT(--ISNUMBER(SEARCH({"Cricket","Junior","Mini","Summer Football","Small"},C929)))&gt;0,"reduced",IF(SUMPRODUCT(--ISNUMBER(SEARCH({"Rugby","Football","League","Touch","Gaelic","Australian","Lacrosse","General Sport","Training Area","Ultimate"},C929)))&gt;0,"full","unknown"))))</f>
        <v/>
      </c>
      <c r="E929" s="9"/>
      <c r="F929" s="9"/>
      <c r="G929" s="9"/>
      <c r="H929" s="9"/>
      <c r="I929" s="12"/>
      <c r="J929" s="9"/>
      <c r="K929" s="9"/>
      <c r="L929" s="9"/>
      <c r="M929" s="9"/>
      <c r="N929" s="9"/>
      <c r="O929" s="13" t="str">
        <f aca="false">IF(C929="","",IF(N(M929)+N(N929)&lt;Settings!$C$9,"untested",M929/(M929+N929)))</f>
        <v/>
      </c>
      <c r="P929" s="9"/>
      <c r="Q929" s="9"/>
      <c r="R929" s="9"/>
      <c r="S929" s="12"/>
      <c r="T929" s="9"/>
      <c r="U929" s="9"/>
      <c r="V929" s="9"/>
      <c r="W929" s="10" t="str">
        <f aca="false">IF(C929="","",IF(OR(G929="training",G929="full"),"Yes",IF(G929="none","No","?")))</f>
        <v/>
      </c>
      <c r="X929" s="10" t="str">
        <f aca="false">IF(C929="","",IF(OR(E929="",E929="unknown"),D929,E929))</f>
        <v/>
      </c>
      <c r="Y929" s="10" t="str">
        <f aca="false">IF(C929="","",IF(OR(T929="unsuitable",T929="retired",X929="no"),"—",IF(J929="","unrated",IF(AND(X929="full",J929&gt;=Settings!$C$5,OR(O929="untested",O929&gt;=Settings!$C$6)),"A",IF(AND(OR(X929="full",X929="reduced"),J929&gt;=Settings!$C$7,OR(O929="untested",O929&gt;=Settings!$C$8)),"B","C")))))</f>
        <v/>
      </c>
      <c r="Z929" s="11" t="str">
        <f aca="false">IF(C929="","",IF(P929&lt;&gt;"",P929,Y929))</f>
        <v/>
      </c>
    </row>
    <row r="930" customFormat="false" ht="15" hidden="false" customHeight="false" outlineLevel="0" collapsed="false">
      <c r="A930" s="9"/>
      <c r="B930" s="10" t="str">
        <f aca="false">IF(A930="","",IFERROR(INDEX(Parks!$A$2:$A$255,MATCH(A930,Parks!$B$2:$B$255,0)),"?"))</f>
        <v/>
      </c>
      <c r="C930" s="9"/>
      <c r="D930" s="10" t="str">
        <f aca="false">IF(C930="","",IF(SUMPRODUCT(--ISNUMBER(SEARCH({"Nets","Wicket","Diamond","Softball","T-ball","Baseball","Netball","Tennis","Bocce","Pentaque","Petanque","Skate","Car Park","Pond","Bridle","Amphitheatre","Perimeter","Passive"},C930)))&gt;0,"no",IF(SUMPRODUCT(--ISNUMBER(SEARCH({"Cricket","Junior","Mini","Summer Football","Small"},C930)))&gt;0,"reduced",IF(SUMPRODUCT(--ISNUMBER(SEARCH({"Rugby","Football","League","Touch","Gaelic","Australian","Lacrosse","General Sport","Training Area","Ultimate"},C930)))&gt;0,"full","unknown"))))</f>
        <v/>
      </c>
      <c r="E930" s="9"/>
      <c r="F930" s="9"/>
      <c r="G930" s="9"/>
      <c r="H930" s="9"/>
      <c r="I930" s="12"/>
      <c r="J930" s="9"/>
      <c r="K930" s="9"/>
      <c r="L930" s="9"/>
      <c r="M930" s="9"/>
      <c r="N930" s="9"/>
      <c r="O930" s="13" t="str">
        <f aca="false">IF(C930="","",IF(N(M930)+N(N930)&lt;Settings!$C$9,"untested",M930/(M930+N930)))</f>
        <v/>
      </c>
      <c r="P930" s="9"/>
      <c r="Q930" s="9"/>
      <c r="R930" s="9"/>
      <c r="S930" s="12"/>
      <c r="T930" s="9"/>
      <c r="U930" s="9"/>
      <c r="V930" s="9"/>
      <c r="W930" s="10" t="str">
        <f aca="false">IF(C930="","",IF(OR(G930="training",G930="full"),"Yes",IF(G930="none","No","?")))</f>
        <v/>
      </c>
      <c r="X930" s="10" t="str">
        <f aca="false">IF(C930="","",IF(OR(E930="",E930="unknown"),D930,E930))</f>
        <v/>
      </c>
      <c r="Y930" s="10" t="str">
        <f aca="false">IF(C930="","",IF(OR(T930="unsuitable",T930="retired",X930="no"),"—",IF(J930="","unrated",IF(AND(X930="full",J930&gt;=Settings!$C$5,OR(O930="untested",O930&gt;=Settings!$C$6)),"A",IF(AND(OR(X930="full",X930="reduced"),J930&gt;=Settings!$C$7,OR(O930="untested",O930&gt;=Settings!$C$8)),"B","C")))))</f>
        <v/>
      </c>
      <c r="Z930" s="11" t="str">
        <f aca="false">IF(C930="","",IF(P930&lt;&gt;"",P930,Y930))</f>
        <v/>
      </c>
    </row>
    <row r="931" customFormat="false" ht="15" hidden="false" customHeight="false" outlineLevel="0" collapsed="false">
      <c r="A931" s="9"/>
      <c r="B931" s="10" t="str">
        <f aca="false">IF(A931="","",IFERROR(INDEX(Parks!$A$2:$A$255,MATCH(A931,Parks!$B$2:$B$255,0)),"?"))</f>
        <v/>
      </c>
      <c r="C931" s="9"/>
      <c r="D931" s="10" t="str">
        <f aca="false">IF(C931="","",IF(SUMPRODUCT(--ISNUMBER(SEARCH({"Nets","Wicket","Diamond","Softball","T-ball","Baseball","Netball","Tennis","Bocce","Pentaque","Petanque","Skate","Car Park","Pond","Bridle","Amphitheatre","Perimeter","Passive"},C931)))&gt;0,"no",IF(SUMPRODUCT(--ISNUMBER(SEARCH({"Cricket","Junior","Mini","Summer Football","Small"},C931)))&gt;0,"reduced",IF(SUMPRODUCT(--ISNUMBER(SEARCH({"Rugby","Football","League","Touch","Gaelic","Australian","Lacrosse","General Sport","Training Area","Ultimate"},C931)))&gt;0,"full","unknown"))))</f>
        <v/>
      </c>
      <c r="E931" s="9"/>
      <c r="F931" s="9"/>
      <c r="G931" s="9"/>
      <c r="H931" s="9"/>
      <c r="I931" s="12"/>
      <c r="J931" s="9"/>
      <c r="K931" s="9"/>
      <c r="L931" s="9"/>
      <c r="M931" s="9"/>
      <c r="N931" s="9"/>
      <c r="O931" s="13" t="str">
        <f aca="false">IF(C931="","",IF(N(M931)+N(N931)&lt;Settings!$C$9,"untested",M931/(M931+N931)))</f>
        <v/>
      </c>
      <c r="P931" s="9"/>
      <c r="Q931" s="9"/>
      <c r="R931" s="9"/>
      <c r="S931" s="12"/>
      <c r="T931" s="9"/>
      <c r="U931" s="9"/>
      <c r="V931" s="9"/>
      <c r="W931" s="10" t="str">
        <f aca="false">IF(C931="","",IF(OR(G931="training",G931="full"),"Yes",IF(G931="none","No","?")))</f>
        <v/>
      </c>
      <c r="X931" s="10" t="str">
        <f aca="false">IF(C931="","",IF(OR(E931="",E931="unknown"),D931,E931))</f>
        <v/>
      </c>
      <c r="Y931" s="10" t="str">
        <f aca="false">IF(C931="","",IF(OR(T931="unsuitable",T931="retired",X931="no"),"—",IF(J931="","unrated",IF(AND(X931="full",J931&gt;=Settings!$C$5,OR(O931="untested",O931&gt;=Settings!$C$6)),"A",IF(AND(OR(X931="full",X931="reduced"),J931&gt;=Settings!$C$7,OR(O931="untested",O931&gt;=Settings!$C$8)),"B","C")))))</f>
        <v/>
      </c>
      <c r="Z931" s="11" t="str">
        <f aca="false">IF(C931="","",IF(P931&lt;&gt;"",P931,Y931))</f>
        <v/>
      </c>
    </row>
    <row r="932" customFormat="false" ht="15" hidden="false" customHeight="false" outlineLevel="0" collapsed="false">
      <c r="A932" s="9"/>
      <c r="B932" s="10" t="str">
        <f aca="false">IF(A932="","",IFERROR(INDEX(Parks!$A$2:$A$255,MATCH(A932,Parks!$B$2:$B$255,0)),"?"))</f>
        <v/>
      </c>
      <c r="C932" s="9"/>
      <c r="D932" s="10" t="str">
        <f aca="false">IF(C932="","",IF(SUMPRODUCT(--ISNUMBER(SEARCH({"Nets","Wicket","Diamond","Softball","T-ball","Baseball","Netball","Tennis","Bocce","Pentaque","Petanque","Skate","Car Park","Pond","Bridle","Amphitheatre","Perimeter","Passive"},C932)))&gt;0,"no",IF(SUMPRODUCT(--ISNUMBER(SEARCH({"Cricket","Junior","Mini","Summer Football","Small"},C932)))&gt;0,"reduced",IF(SUMPRODUCT(--ISNUMBER(SEARCH({"Rugby","Football","League","Touch","Gaelic","Australian","Lacrosse","General Sport","Training Area","Ultimate"},C932)))&gt;0,"full","unknown"))))</f>
        <v/>
      </c>
      <c r="E932" s="9"/>
      <c r="F932" s="9"/>
      <c r="G932" s="9"/>
      <c r="H932" s="9"/>
      <c r="I932" s="12"/>
      <c r="J932" s="9"/>
      <c r="K932" s="9"/>
      <c r="L932" s="9"/>
      <c r="M932" s="9"/>
      <c r="N932" s="9"/>
      <c r="O932" s="13" t="str">
        <f aca="false">IF(C932="","",IF(N(M932)+N(N932)&lt;Settings!$C$9,"untested",M932/(M932+N932)))</f>
        <v/>
      </c>
      <c r="P932" s="9"/>
      <c r="Q932" s="9"/>
      <c r="R932" s="9"/>
      <c r="S932" s="12"/>
      <c r="T932" s="9"/>
      <c r="U932" s="9"/>
      <c r="V932" s="9"/>
      <c r="W932" s="10" t="str">
        <f aca="false">IF(C932="","",IF(OR(G932="training",G932="full"),"Yes",IF(G932="none","No","?")))</f>
        <v/>
      </c>
      <c r="X932" s="10" t="str">
        <f aca="false">IF(C932="","",IF(OR(E932="",E932="unknown"),D932,E932))</f>
        <v/>
      </c>
      <c r="Y932" s="10" t="str">
        <f aca="false">IF(C932="","",IF(OR(T932="unsuitable",T932="retired",X932="no"),"—",IF(J932="","unrated",IF(AND(X932="full",J932&gt;=Settings!$C$5,OR(O932="untested",O932&gt;=Settings!$C$6)),"A",IF(AND(OR(X932="full",X932="reduced"),J932&gt;=Settings!$C$7,OR(O932="untested",O932&gt;=Settings!$C$8)),"B","C")))))</f>
        <v/>
      </c>
      <c r="Z932" s="11" t="str">
        <f aca="false">IF(C932="","",IF(P932&lt;&gt;"",P932,Y932))</f>
        <v/>
      </c>
    </row>
    <row r="933" customFormat="false" ht="15" hidden="false" customHeight="false" outlineLevel="0" collapsed="false">
      <c r="A933" s="9"/>
      <c r="B933" s="10" t="str">
        <f aca="false">IF(A933="","",IFERROR(INDEX(Parks!$A$2:$A$255,MATCH(A933,Parks!$B$2:$B$255,0)),"?"))</f>
        <v/>
      </c>
      <c r="C933" s="9"/>
      <c r="D933" s="10" t="str">
        <f aca="false">IF(C933="","",IF(SUMPRODUCT(--ISNUMBER(SEARCH({"Nets","Wicket","Diamond","Softball","T-ball","Baseball","Netball","Tennis","Bocce","Pentaque","Petanque","Skate","Car Park","Pond","Bridle","Amphitheatre","Perimeter","Passive"},C933)))&gt;0,"no",IF(SUMPRODUCT(--ISNUMBER(SEARCH({"Cricket","Junior","Mini","Summer Football","Small"},C933)))&gt;0,"reduced",IF(SUMPRODUCT(--ISNUMBER(SEARCH({"Rugby","Football","League","Touch","Gaelic","Australian","Lacrosse","General Sport","Training Area","Ultimate"},C933)))&gt;0,"full","unknown"))))</f>
        <v/>
      </c>
      <c r="E933" s="9"/>
      <c r="F933" s="9"/>
      <c r="G933" s="9"/>
      <c r="H933" s="9"/>
      <c r="I933" s="12"/>
      <c r="J933" s="9"/>
      <c r="K933" s="9"/>
      <c r="L933" s="9"/>
      <c r="M933" s="9"/>
      <c r="N933" s="9"/>
      <c r="O933" s="13" t="str">
        <f aca="false">IF(C933="","",IF(N(M933)+N(N933)&lt;Settings!$C$9,"untested",M933/(M933+N933)))</f>
        <v/>
      </c>
      <c r="P933" s="9"/>
      <c r="Q933" s="9"/>
      <c r="R933" s="9"/>
      <c r="S933" s="12"/>
      <c r="T933" s="9"/>
      <c r="U933" s="9"/>
      <c r="V933" s="9"/>
      <c r="W933" s="10" t="str">
        <f aca="false">IF(C933="","",IF(OR(G933="training",G933="full"),"Yes",IF(G933="none","No","?")))</f>
        <v/>
      </c>
      <c r="X933" s="10" t="str">
        <f aca="false">IF(C933="","",IF(OR(E933="",E933="unknown"),D933,E933))</f>
        <v/>
      </c>
      <c r="Y933" s="10" t="str">
        <f aca="false">IF(C933="","",IF(OR(T933="unsuitable",T933="retired",X933="no"),"—",IF(J933="","unrated",IF(AND(X933="full",J933&gt;=Settings!$C$5,OR(O933="untested",O933&gt;=Settings!$C$6)),"A",IF(AND(OR(X933="full",X933="reduced"),J933&gt;=Settings!$C$7,OR(O933="untested",O933&gt;=Settings!$C$8)),"B","C")))))</f>
        <v/>
      </c>
      <c r="Z933" s="11" t="str">
        <f aca="false">IF(C933="","",IF(P933&lt;&gt;"",P933,Y933))</f>
        <v/>
      </c>
    </row>
    <row r="934" customFormat="false" ht="15" hidden="false" customHeight="false" outlineLevel="0" collapsed="false">
      <c r="A934" s="9"/>
      <c r="B934" s="10" t="str">
        <f aca="false">IF(A934="","",IFERROR(INDEX(Parks!$A$2:$A$255,MATCH(A934,Parks!$B$2:$B$255,0)),"?"))</f>
        <v/>
      </c>
      <c r="C934" s="9"/>
      <c r="D934" s="10" t="str">
        <f aca="false">IF(C934="","",IF(SUMPRODUCT(--ISNUMBER(SEARCH({"Nets","Wicket","Diamond","Softball","T-ball","Baseball","Netball","Tennis","Bocce","Pentaque","Petanque","Skate","Car Park","Pond","Bridle","Amphitheatre","Perimeter","Passive"},C934)))&gt;0,"no",IF(SUMPRODUCT(--ISNUMBER(SEARCH({"Cricket","Junior","Mini","Summer Football","Small"},C934)))&gt;0,"reduced",IF(SUMPRODUCT(--ISNUMBER(SEARCH({"Rugby","Football","League","Touch","Gaelic","Australian","Lacrosse","General Sport","Training Area","Ultimate"},C934)))&gt;0,"full","unknown"))))</f>
        <v/>
      </c>
      <c r="E934" s="9"/>
      <c r="F934" s="9"/>
      <c r="G934" s="9"/>
      <c r="H934" s="9"/>
      <c r="I934" s="12"/>
      <c r="J934" s="9"/>
      <c r="K934" s="9"/>
      <c r="L934" s="9"/>
      <c r="M934" s="9"/>
      <c r="N934" s="9"/>
      <c r="O934" s="13" t="str">
        <f aca="false">IF(C934="","",IF(N(M934)+N(N934)&lt;Settings!$C$9,"untested",M934/(M934+N934)))</f>
        <v/>
      </c>
      <c r="P934" s="9"/>
      <c r="Q934" s="9"/>
      <c r="R934" s="9"/>
      <c r="S934" s="12"/>
      <c r="T934" s="9"/>
      <c r="U934" s="9"/>
      <c r="V934" s="9"/>
      <c r="W934" s="10" t="str">
        <f aca="false">IF(C934="","",IF(OR(G934="training",G934="full"),"Yes",IF(G934="none","No","?")))</f>
        <v/>
      </c>
      <c r="X934" s="10" t="str">
        <f aca="false">IF(C934="","",IF(OR(E934="",E934="unknown"),D934,E934))</f>
        <v/>
      </c>
      <c r="Y934" s="10" t="str">
        <f aca="false">IF(C934="","",IF(OR(T934="unsuitable",T934="retired",X934="no"),"—",IF(J934="","unrated",IF(AND(X934="full",J934&gt;=Settings!$C$5,OR(O934="untested",O934&gt;=Settings!$C$6)),"A",IF(AND(OR(X934="full",X934="reduced"),J934&gt;=Settings!$C$7,OR(O934="untested",O934&gt;=Settings!$C$8)),"B","C")))))</f>
        <v/>
      </c>
      <c r="Z934" s="11" t="str">
        <f aca="false">IF(C934="","",IF(P934&lt;&gt;"",P934,Y934))</f>
        <v/>
      </c>
    </row>
    <row r="935" customFormat="false" ht="15" hidden="false" customHeight="false" outlineLevel="0" collapsed="false">
      <c r="A935" s="9"/>
      <c r="B935" s="10" t="str">
        <f aca="false">IF(A935="","",IFERROR(INDEX(Parks!$A$2:$A$255,MATCH(A935,Parks!$B$2:$B$255,0)),"?"))</f>
        <v/>
      </c>
      <c r="C935" s="9"/>
      <c r="D935" s="10" t="str">
        <f aca="false">IF(C935="","",IF(SUMPRODUCT(--ISNUMBER(SEARCH({"Nets","Wicket","Diamond","Softball","T-ball","Baseball","Netball","Tennis","Bocce","Pentaque","Petanque","Skate","Car Park","Pond","Bridle","Amphitheatre","Perimeter","Passive"},C935)))&gt;0,"no",IF(SUMPRODUCT(--ISNUMBER(SEARCH({"Cricket","Junior","Mini","Summer Football","Small"},C935)))&gt;0,"reduced",IF(SUMPRODUCT(--ISNUMBER(SEARCH({"Rugby","Football","League","Touch","Gaelic","Australian","Lacrosse","General Sport","Training Area","Ultimate"},C935)))&gt;0,"full","unknown"))))</f>
        <v/>
      </c>
      <c r="E935" s="9"/>
      <c r="F935" s="9"/>
      <c r="G935" s="9"/>
      <c r="H935" s="9"/>
      <c r="I935" s="12"/>
      <c r="J935" s="9"/>
      <c r="K935" s="9"/>
      <c r="L935" s="9"/>
      <c r="M935" s="9"/>
      <c r="N935" s="9"/>
      <c r="O935" s="13" t="str">
        <f aca="false">IF(C935="","",IF(N(M935)+N(N935)&lt;Settings!$C$9,"untested",M935/(M935+N935)))</f>
        <v/>
      </c>
      <c r="P935" s="9"/>
      <c r="Q935" s="9"/>
      <c r="R935" s="9"/>
      <c r="S935" s="12"/>
      <c r="T935" s="9"/>
      <c r="U935" s="9"/>
      <c r="V935" s="9"/>
      <c r="W935" s="10" t="str">
        <f aca="false">IF(C935="","",IF(OR(G935="training",G935="full"),"Yes",IF(G935="none","No","?")))</f>
        <v/>
      </c>
      <c r="X935" s="10" t="str">
        <f aca="false">IF(C935="","",IF(OR(E935="",E935="unknown"),D935,E935))</f>
        <v/>
      </c>
      <c r="Y935" s="10" t="str">
        <f aca="false">IF(C935="","",IF(OR(T935="unsuitable",T935="retired",X935="no"),"—",IF(J935="","unrated",IF(AND(X935="full",J935&gt;=Settings!$C$5,OR(O935="untested",O935&gt;=Settings!$C$6)),"A",IF(AND(OR(X935="full",X935="reduced"),J935&gt;=Settings!$C$7,OR(O935="untested",O935&gt;=Settings!$C$8)),"B","C")))))</f>
        <v/>
      </c>
      <c r="Z935" s="11" t="str">
        <f aca="false">IF(C935="","",IF(P935&lt;&gt;"",P935,Y935))</f>
        <v/>
      </c>
    </row>
    <row r="936" customFormat="false" ht="15" hidden="false" customHeight="false" outlineLevel="0" collapsed="false">
      <c r="A936" s="9"/>
      <c r="B936" s="10" t="str">
        <f aca="false">IF(A936="","",IFERROR(INDEX(Parks!$A$2:$A$255,MATCH(A936,Parks!$B$2:$B$255,0)),"?"))</f>
        <v/>
      </c>
      <c r="C936" s="9"/>
      <c r="D936" s="10" t="str">
        <f aca="false">IF(C936="","",IF(SUMPRODUCT(--ISNUMBER(SEARCH({"Nets","Wicket","Diamond","Softball","T-ball","Baseball","Netball","Tennis","Bocce","Pentaque","Petanque","Skate","Car Park","Pond","Bridle","Amphitheatre","Perimeter","Passive"},C936)))&gt;0,"no",IF(SUMPRODUCT(--ISNUMBER(SEARCH({"Cricket","Junior","Mini","Summer Football","Small"},C936)))&gt;0,"reduced",IF(SUMPRODUCT(--ISNUMBER(SEARCH({"Rugby","Football","League","Touch","Gaelic","Australian","Lacrosse","General Sport","Training Area","Ultimate"},C936)))&gt;0,"full","unknown"))))</f>
        <v/>
      </c>
      <c r="E936" s="9"/>
      <c r="F936" s="9"/>
      <c r="G936" s="9"/>
      <c r="H936" s="9"/>
      <c r="I936" s="12"/>
      <c r="J936" s="9"/>
      <c r="K936" s="9"/>
      <c r="L936" s="9"/>
      <c r="M936" s="9"/>
      <c r="N936" s="9"/>
      <c r="O936" s="13" t="str">
        <f aca="false">IF(C936="","",IF(N(M936)+N(N936)&lt;Settings!$C$9,"untested",M936/(M936+N936)))</f>
        <v/>
      </c>
      <c r="P936" s="9"/>
      <c r="Q936" s="9"/>
      <c r="R936" s="9"/>
      <c r="S936" s="12"/>
      <c r="T936" s="9"/>
      <c r="U936" s="9"/>
      <c r="V936" s="9"/>
      <c r="W936" s="10" t="str">
        <f aca="false">IF(C936="","",IF(OR(G936="training",G936="full"),"Yes",IF(G936="none","No","?")))</f>
        <v/>
      </c>
      <c r="X936" s="10" t="str">
        <f aca="false">IF(C936="","",IF(OR(E936="",E936="unknown"),D936,E936))</f>
        <v/>
      </c>
      <c r="Y936" s="10" t="str">
        <f aca="false">IF(C936="","",IF(OR(T936="unsuitable",T936="retired",X936="no"),"—",IF(J936="","unrated",IF(AND(X936="full",J936&gt;=Settings!$C$5,OR(O936="untested",O936&gt;=Settings!$C$6)),"A",IF(AND(OR(X936="full",X936="reduced"),J936&gt;=Settings!$C$7,OR(O936="untested",O936&gt;=Settings!$C$8)),"B","C")))))</f>
        <v/>
      </c>
      <c r="Z936" s="11" t="str">
        <f aca="false">IF(C936="","",IF(P936&lt;&gt;"",P936,Y936))</f>
        <v/>
      </c>
    </row>
    <row r="937" customFormat="false" ht="15" hidden="false" customHeight="false" outlineLevel="0" collapsed="false">
      <c r="A937" s="9"/>
      <c r="B937" s="10" t="str">
        <f aca="false">IF(A937="","",IFERROR(INDEX(Parks!$A$2:$A$255,MATCH(A937,Parks!$B$2:$B$255,0)),"?"))</f>
        <v/>
      </c>
      <c r="C937" s="9"/>
      <c r="D937" s="10" t="str">
        <f aca="false">IF(C937="","",IF(SUMPRODUCT(--ISNUMBER(SEARCH({"Nets","Wicket","Diamond","Softball","T-ball","Baseball","Netball","Tennis","Bocce","Pentaque","Petanque","Skate","Car Park","Pond","Bridle","Amphitheatre","Perimeter","Passive"},C937)))&gt;0,"no",IF(SUMPRODUCT(--ISNUMBER(SEARCH({"Cricket","Junior","Mini","Summer Football","Small"},C937)))&gt;0,"reduced",IF(SUMPRODUCT(--ISNUMBER(SEARCH({"Rugby","Football","League","Touch","Gaelic","Australian","Lacrosse","General Sport","Training Area","Ultimate"},C937)))&gt;0,"full","unknown"))))</f>
        <v/>
      </c>
      <c r="E937" s="9"/>
      <c r="F937" s="9"/>
      <c r="G937" s="9"/>
      <c r="H937" s="9"/>
      <c r="I937" s="12"/>
      <c r="J937" s="9"/>
      <c r="K937" s="9"/>
      <c r="L937" s="9"/>
      <c r="M937" s="9"/>
      <c r="N937" s="9"/>
      <c r="O937" s="13" t="str">
        <f aca="false">IF(C937="","",IF(N(M937)+N(N937)&lt;Settings!$C$9,"untested",M937/(M937+N937)))</f>
        <v/>
      </c>
      <c r="P937" s="9"/>
      <c r="Q937" s="9"/>
      <c r="R937" s="9"/>
      <c r="S937" s="12"/>
      <c r="T937" s="9"/>
      <c r="U937" s="9"/>
      <c r="V937" s="9"/>
      <c r="W937" s="10" t="str">
        <f aca="false">IF(C937="","",IF(OR(G937="training",G937="full"),"Yes",IF(G937="none","No","?")))</f>
        <v/>
      </c>
      <c r="X937" s="10" t="str">
        <f aca="false">IF(C937="","",IF(OR(E937="",E937="unknown"),D937,E937))</f>
        <v/>
      </c>
      <c r="Y937" s="10" t="str">
        <f aca="false">IF(C937="","",IF(OR(T937="unsuitable",T937="retired",X937="no"),"—",IF(J937="","unrated",IF(AND(X937="full",J937&gt;=Settings!$C$5,OR(O937="untested",O937&gt;=Settings!$C$6)),"A",IF(AND(OR(X937="full",X937="reduced"),J937&gt;=Settings!$C$7,OR(O937="untested",O937&gt;=Settings!$C$8)),"B","C")))))</f>
        <v/>
      </c>
      <c r="Z937" s="11" t="str">
        <f aca="false">IF(C937="","",IF(P937&lt;&gt;"",P937,Y937))</f>
        <v/>
      </c>
    </row>
    <row r="938" customFormat="false" ht="15" hidden="false" customHeight="false" outlineLevel="0" collapsed="false">
      <c r="A938" s="9"/>
      <c r="B938" s="10" t="str">
        <f aca="false">IF(A938="","",IFERROR(INDEX(Parks!$A$2:$A$255,MATCH(A938,Parks!$B$2:$B$255,0)),"?"))</f>
        <v/>
      </c>
      <c r="C938" s="9"/>
      <c r="D938" s="10" t="str">
        <f aca="false">IF(C938="","",IF(SUMPRODUCT(--ISNUMBER(SEARCH({"Nets","Wicket","Diamond","Softball","T-ball","Baseball","Netball","Tennis","Bocce","Pentaque","Petanque","Skate","Car Park","Pond","Bridle","Amphitheatre","Perimeter","Passive"},C938)))&gt;0,"no",IF(SUMPRODUCT(--ISNUMBER(SEARCH({"Cricket","Junior","Mini","Summer Football","Small"},C938)))&gt;0,"reduced",IF(SUMPRODUCT(--ISNUMBER(SEARCH({"Rugby","Football","League","Touch","Gaelic","Australian","Lacrosse","General Sport","Training Area","Ultimate"},C938)))&gt;0,"full","unknown"))))</f>
        <v/>
      </c>
      <c r="E938" s="9"/>
      <c r="F938" s="9"/>
      <c r="G938" s="9"/>
      <c r="H938" s="9"/>
      <c r="I938" s="12"/>
      <c r="J938" s="9"/>
      <c r="K938" s="9"/>
      <c r="L938" s="9"/>
      <c r="M938" s="9"/>
      <c r="N938" s="9"/>
      <c r="O938" s="13" t="str">
        <f aca="false">IF(C938="","",IF(N(M938)+N(N938)&lt;Settings!$C$9,"untested",M938/(M938+N938)))</f>
        <v/>
      </c>
      <c r="P938" s="9"/>
      <c r="Q938" s="9"/>
      <c r="R938" s="9"/>
      <c r="S938" s="12"/>
      <c r="T938" s="9"/>
      <c r="U938" s="9"/>
      <c r="V938" s="9"/>
      <c r="W938" s="10" t="str">
        <f aca="false">IF(C938="","",IF(OR(G938="training",G938="full"),"Yes",IF(G938="none","No","?")))</f>
        <v/>
      </c>
      <c r="X938" s="10" t="str">
        <f aca="false">IF(C938="","",IF(OR(E938="",E938="unknown"),D938,E938))</f>
        <v/>
      </c>
      <c r="Y938" s="10" t="str">
        <f aca="false">IF(C938="","",IF(OR(T938="unsuitable",T938="retired",X938="no"),"—",IF(J938="","unrated",IF(AND(X938="full",J938&gt;=Settings!$C$5,OR(O938="untested",O938&gt;=Settings!$C$6)),"A",IF(AND(OR(X938="full",X938="reduced"),J938&gt;=Settings!$C$7,OR(O938="untested",O938&gt;=Settings!$C$8)),"B","C")))))</f>
        <v/>
      </c>
      <c r="Z938" s="11" t="str">
        <f aca="false">IF(C938="","",IF(P938&lt;&gt;"",P938,Y938))</f>
        <v/>
      </c>
    </row>
    <row r="939" customFormat="false" ht="15" hidden="false" customHeight="false" outlineLevel="0" collapsed="false">
      <c r="A939" s="9"/>
      <c r="B939" s="10" t="str">
        <f aca="false">IF(A939="","",IFERROR(INDEX(Parks!$A$2:$A$255,MATCH(A939,Parks!$B$2:$B$255,0)),"?"))</f>
        <v/>
      </c>
      <c r="C939" s="9"/>
      <c r="D939" s="10" t="str">
        <f aca="false">IF(C939="","",IF(SUMPRODUCT(--ISNUMBER(SEARCH({"Nets","Wicket","Diamond","Softball","T-ball","Baseball","Netball","Tennis","Bocce","Pentaque","Petanque","Skate","Car Park","Pond","Bridle","Amphitheatre","Perimeter","Passive"},C939)))&gt;0,"no",IF(SUMPRODUCT(--ISNUMBER(SEARCH({"Cricket","Junior","Mini","Summer Football","Small"},C939)))&gt;0,"reduced",IF(SUMPRODUCT(--ISNUMBER(SEARCH({"Rugby","Football","League","Touch","Gaelic","Australian","Lacrosse","General Sport","Training Area","Ultimate"},C939)))&gt;0,"full","unknown"))))</f>
        <v/>
      </c>
      <c r="E939" s="9"/>
      <c r="F939" s="9"/>
      <c r="G939" s="9"/>
      <c r="H939" s="9"/>
      <c r="I939" s="12"/>
      <c r="J939" s="9"/>
      <c r="K939" s="9"/>
      <c r="L939" s="9"/>
      <c r="M939" s="9"/>
      <c r="N939" s="9"/>
      <c r="O939" s="13" t="str">
        <f aca="false">IF(C939="","",IF(N(M939)+N(N939)&lt;Settings!$C$9,"untested",M939/(M939+N939)))</f>
        <v/>
      </c>
      <c r="P939" s="9"/>
      <c r="Q939" s="9"/>
      <c r="R939" s="9"/>
      <c r="S939" s="12"/>
      <c r="T939" s="9"/>
      <c r="U939" s="9"/>
      <c r="V939" s="9"/>
      <c r="W939" s="10" t="str">
        <f aca="false">IF(C939="","",IF(OR(G939="training",G939="full"),"Yes",IF(G939="none","No","?")))</f>
        <v/>
      </c>
      <c r="X939" s="10" t="str">
        <f aca="false">IF(C939="","",IF(OR(E939="",E939="unknown"),D939,E939))</f>
        <v/>
      </c>
      <c r="Y939" s="10" t="str">
        <f aca="false">IF(C939="","",IF(OR(T939="unsuitable",T939="retired",X939="no"),"—",IF(J939="","unrated",IF(AND(X939="full",J939&gt;=Settings!$C$5,OR(O939="untested",O939&gt;=Settings!$C$6)),"A",IF(AND(OR(X939="full",X939="reduced"),J939&gt;=Settings!$C$7,OR(O939="untested",O939&gt;=Settings!$C$8)),"B","C")))))</f>
        <v/>
      </c>
      <c r="Z939" s="11" t="str">
        <f aca="false">IF(C939="","",IF(P939&lt;&gt;"",P939,Y939))</f>
        <v/>
      </c>
    </row>
    <row r="940" customFormat="false" ht="15" hidden="false" customHeight="false" outlineLevel="0" collapsed="false">
      <c r="A940" s="9"/>
      <c r="B940" s="10" t="str">
        <f aca="false">IF(A940="","",IFERROR(INDEX(Parks!$A$2:$A$255,MATCH(A940,Parks!$B$2:$B$255,0)),"?"))</f>
        <v/>
      </c>
      <c r="C940" s="9"/>
      <c r="D940" s="10" t="str">
        <f aca="false">IF(C940="","",IF(SUMPRODUCT(--ISNUMBER(SEARCH({"Nets","Wicket","Diamond","Softball","T-ball","Baseball","Netball","Tennis","Bocce","Pentaque","Petanque","Skate","Car Park","Pond","Bridle","Amphitheatre","Perimeter","Passive"},C940)))&gt;0,"no",IF(SUMPRODUCT(--ISNUMBER(SEARCH({"Cricket","Junior","Mini","Summer Football","Small"},C940)))&gt;0,"reduced",IF(SUMPRODUCT(--ISNUMBER(SEARCH({"Rugby","Football","League","Touch","Gaelic","Australian","Lacrosse","General Sport","Training Area","Ultimate"},C940)))&gt;0,"full","unknown"))))</f>
        <v/>
      </c>
      <c r="E940" s="9"/>
      <c r="F940" s="9"/>
      <c r="G940" s="9"/>
      <c r="H940" s="9"/>
      <c r="I940" s="12"/>
      <c r="J940" s="9"/>
      <c r="K940" s="9"/>
      <c r="L940" s="9"/>
      <c r="M940" s="9"/>
      <c r="N940" s="9"/>
      <c r="O940" s="13" t="str">
        <f aca="false">IF(C940="","",IF(N(M940)+N(N940)&lt;Settings!$C$9,"untested",M940/(M940+N940)))</f>
        <v/>
      </c>
      <c r="P940" s="9"/>
      <c r="Q940" s="9"/>
      <c r="R940" s="9"/>
      <c r="S940" s="12"/>
      <c r="T940" s="9"/>
      <c r="U940" s="9"/>
      <c r="V940" s="9"/>
      <c r="W940" s="10" t="str">
        <f aca="false">IF(C940="","",IF(OR(G940="training",G940="full"),"Yes",IF(G940="none","No","?")))</f>
        <v/>
      </c>
      <c r="X940" s="10" t="str">
        <f aca="false">IF(C940="","",IF(OR(E940="",E940="unknown"),D940,E940))</f>
        <v/>
      </c>
      <c r="Y940" s="10" t="str">
        <f aca="false">IF(C940="","",IF(OR(T940="unsuitable",T940="retired",X940="no"),"—",IF(J940="","unrated",IF(AND(X940="full",J940&gt;=Settings!$C$5,OR(O940="untested",O940&gt;=Settings!$C$6)),"A",IF(AND(OR(X940="full",X940="reduced"),J940&gt;=Settings!$C$7,OR(O940="untested",O940&gt;=Settings!$C$8)),"B","C")))))</f>
        <v/>
      </c>
      <c r="Z940" s="11" t="str">
        <f aca="false">IF(C940="","",IF(P940&lt;&gt;"",P940,Y940))</f>
        <v/>
      </c>
    </row>
    <row r="941" customFormat="false" ht="15" hidden="false" customHeight="false" outlineLevel="0" collapsed="false">
      <c r="A941" s="9"/>
      <c r="B941" s="10" t="str">
        <f aca="false">IF(A941="","",IFERROR(INDEX(Parks!$A$2:$A$255,MATCH(A941,Parks!$B$2:$B$255,0)),"?"))</f>
        <v/>
      </c>
      <c r="C941" s="9"/>
      <c r="D941" s="10" t="str">
        <f aca="false">IF(C941="","",IF(SUMPRODUCT(--ISNUMBER(SEARCH({"Nets","Wicket","Diamond","Softball","T-ball","Baseball","Netball","Tennis","Bocce","Pentaque","Petanque","Skate","Car Park","Pond","Bridle","Amphitheatre","Perimeter","Passive"},C941)))&gt;0,"no",IF(SUMPRODUCT(--ISNUMBER(SEARCH({"Cricket","Junior","Mini","Summer Football","Small"},C941)))&gt;0,"reduced",IF(SUMPRODUCT(--ISNUMBER(SEARCH({"Rugby","Football","League","Touch","Gaelic","Australian","Lacrosse","General Sport","Training Area","Ultimate"},C941)))&gt;0,"full","unknown"))))</f>
        <v/>
      </c>
      <c r="E941" s="9"/>
      <c r="F941" s="9"/>
      <c r="G941" s="9"/>
      <c r="H941" s="9"/>
      <c r="I941" s="12"/>
      <c r="J941" s="9"/>
      <c r="K941" s="9"/>
      <c r="L941" s="9"/>
      <c r="M941" s="9"/>
      <c r="N941" s="9"/>
      <c r="O941" s="13" t="str">
        <f aca="false">IF(C941="","",IF(N(M941)+N(N941)&lt;Settings!$C$9,"untested",M941/(M941+N941)))</f>
        <v/>
      </c>
      <c r="P941" s="9"/>
      <c r="Q941" s="9"/>
      <c r="R941" s="9"/>
      <c r="S941" s="12"/>
      <c r="T941" s="9"/>
      <c r="U941" s="9"/>
      <c r="V941" s="9"/>
      <c r="W941" s="10" t="str">
        <f aca="false">IF(C941="","",IF(OR(G941="training",G941="full"),"Yes",IF(G941="none","No","?")))</f>
        <v/>
      </c>
      <c r="X941" s="10" t="str">
        <f aca="false">IF(C941="","",IF(OR(E941="",E941="unknown"),D941,E941))</f>
        <v/>
      </c>
      <c r="Y941" s="10" t="str">
        <f aca="false">IF(C941="","",IF(OR(T941="unsuitable",T941="retired",X941="no"),"—",IF(J941="","unrated",IF(AND(X941="full",J941&gt;=Settings!$C$5,OR(O941="untested",O941&gt;=Settings!$C$6)),"A",IF(AND(OR(X941="full",X941="reduced"),J941&gt;=Settings!$C$7,OR(O941="untested",O941&gt;=Settings!$C$8)),"B","C")))))</f>
        <v/>
      </c>
      <c r="Z941" s="11" t="str">
        <f aca="false">IF(C941="","",IF(P941&lt;&gt;"",P941,Y941))</f>
        <v/>
      </c>
    </row>
    <row r="942" customFormat="false" ht="15" hidden="false" customHeight="false" outlineLevel="0" collapsed="false">
      <c r="A942" s="9"/>
      <c r="B942" s="10" t="str">
        <f aca="false">IF(A942="","",IFERROR(INDEX(Parks!$A$2:$A$255,MATCH(A942,Parks!$B$2:$B$255,0)),"?"))</f>
        <v/>
      </c>
      <c r="C942" s="9"/>
      <c r="D942" s="10" t="str">
        <f aca="false">IF(C942="","",IF(SUMPRODUCT(--ISNUMBER(SEARCH({"Nets","Wicket","Diamond","Softball","T-ball","Baseball","Netball","Tennis","Bocce","Pentaque","Petanque","Skate","Car Park","Pond","Bridle","Amphitheatre","Perimeter","Passive"},C942)))&gt;0,"no",IF(SUMPRODUCT(--ISNUMBER(SEARCH({"Cricket","Junior","Mini","Summer Football","Small"},C942)))&gt;0,"reduced",IF(SUMPRODUCT(--ISNUMBER(SEARCH({"Rugby","Football","League","Touch","Gaelic","Australian","Lacrosse","General Sport","Training Area","Ultimate"},C942)))&gt;0,"full","unknown"))))</f>
        <v/>
      </c>
      <c r="E942" s="9"/>
      <c r="F942" s="9"/>
      <c r="G942" s="9"/>
      <c r="H942" s="9"/>
      <c r="I942" s="12"/>
      <c r="J942" s="9"/>
      <c r="K942" s="9"/>
      <c r="L942" s="9"/>
      <c r="M942" s="9"/>
      <c r="N942" s="9"/>
      <c r="O942" s="13" t="str">
        <f aca="false">IF(C942="","",IF(N(M942)+N(N942)&lt;Settings!$C$9,"untested",M942/(M942+N942)))</f>
        <v/>
      </c>
      <c r="P942" s="9"/>
      <c r="Q942" s="9"/>
      <c r="R942" s="9"/>
      <c r="S942" s="12"/>
      <c r="T942" s="9"/>
      <c r="U942" s="9"/>
      <c r="V942" s="9"/>
      <c r="W942" s="10" t="str">
        <f aca="false">IF(C942="","",IF(OR(G942="training",G942="full"),"Yes",IF(G942="none","No","?")))</f>
        <v/>
      </c>
      <c r="X942" s="10" t="str">
        <f aca="false">IF(C942="","",IF(OR(E942="",E942="unknown"),D942,E942))</f>
        <v/>
      </c>
      <c r="Y942" s="10" t="str">
        <f aca="false">IF(C942="","",IF(OR(T942="unsuitable",T942="retired",X942="no"),"—",IF(J942="","unrated",IF(AND(X942="full",J942&gt;=Settings!$C$5,OR(O942="untested",O942&gt;=Settings!$C$6)),"A",IF(AND(OR(X942="full",X942="reduced"),J942&gt;=Settings!$C$7,OR(O942="untested",O942&gt;=Settings!$C$8)),"B","C")))))</f>
        <v/>
      </c>
      <c r="Z942" s="11" t="str">
        <f aca="false">IF(C942="","",IF(P942&lt;&gt;"",P942,Y942))</f>
        <v/>
      </c>
    </row>
    <row r="943" customFormat="false" ht="15" hidden="false" customHeight="false" outlineLevel="0" collapsed="false">
      <c r="A943" s="9"/>
      <c r="B943" s="10" t="str">
        <f aca="false">IF(A943="","",IFERROR(INDEX(Parks!$A$2:$A$255,MATCH(A943,Parks!$B$2:$B$255,0)),"?"))</f>
        <v/>
      </c>
      <c r="C943" s="9"/>
      <c r="D943" s="10" t="str">
        <f aca="false">IF(C943="","",IF(SUMPRODUCT(--ISNUMBER(SEARCH({"Nets","Wicket","Diamond","Softball","T-ball","Baseball","Netball","Tennis","Bocce","Pentaque","Petanque","Skate","Car Park","Pond","Bridle","Amphitheatre","Perimeter","Passive"},C943)))&gt;0,"no",IF(SUMPRODUCT(--ISNUMBER(SEARCH({"Cricket","Junior","Mini","Summer Football","Small"},C943)))&gt;0,"reduced",IF(SUMPRODUCT(--ISNUMBER(SEARCH({"Rugby","Football","League","Touch","Gaelic","Australian","Lacrosse","General Sport","Training Area","Ultimate"},C943)))&gt;0,"full","unknown"))))</f>
        <v/>
      </c>
      <c r="E943" s="9"/>
      <c r="F943" s="9"/>
      <c r="G943" s="9"/>
      <c r="H943" s="9"/>
      <c r="I943" s="12"/>
      <c r="J943" s="9"/>
      <c r="K943" s="9"/>
      <c r="L943" s="9"/>
      <c r="M943" s="9"/>
      <c r="N943" s="9"/>
      <c r="O943" s="13" t="str">
        <f aca="false">IF(C943="","",IF(N(M943)+N(N943)&lt;Settings!$C$9,"untested",M943/(M943+N943)))</f>
        <v/>
      </c>
      <c r="P943" s="9"/>
      <c r="Q943" s="9"/>
      <c r="R943" s="9"/>
      <c r="S943" s="12"/>
      <c r="T943" s="9"/>
      <c r="U943" s="9"/>
      <c r="V943" s="9"/>
      <c r="W943" s="10" t="str">
        <f aca="false">IF(C943="","",IF(OR(G943="training",G943="full"),"Yes",IF(G943="none","No","?")))</f>
        <v/>
      </c>
      <c r="X943" s="10" t="str">
        <f aca="false">IF(C943="","",IF(OR(E943="",E943="unknown"),D943,E943))</f>
        <v/>
      </c>
      <c r="Y943" s="10" t="str">
        <f aca="false">IF(C943="","",IF(OR(T943="unsuitable",T943="retired",X943="no"),"—",IF(J943="","unrated",IF(AND(X943="full",J943&gt;=Settings!$C$5,OR(O943="untested",O943&gt;=Settings!$C$6)),"A",IF(AND(OR(X943="full",X943="reduced"),J943&gt;=Settings!$C$7,OR(O943="untested",O943&gt;=Settings!$C$8)),"B","C")))))</f>
        <v/>
      </c>
      <c r="Z943" s="11" t="str">
        <f aca="false">IF(C943="","",IF(P943&lt;&gt;"",P943,Y943))</f>
        <v/>
      </c>
    </row>
    <row r="944" customFormat="false" ht="15" hidden="false" customHeight="false" outlineLevel="0" collapsed="false">
      <c r="A944" s="9"/>
      <c r="B944" s="10" t="str">
        <f aca="false">IF(A944="","",IFERROR(INDEX(Parks!$A$2:$A$255,MATCH(A944,Parks!$B$2:$B$255,0)),"?"))</f>
        <v/>
      </c>
      <c r="C944" s="9"/>
      <c r="D944" s="10" t="str">
        <f aca="false">IF(C944="","",IF(SUMPRODUCT(--ISNUMBER(SEARCH({"Nets","Wicket","Diamond","Softball","T-ball","Baseball","Netball","Tennis","Bocce","Pentaque","Petanque","Skate","Car Park","Pond","Bridle","Amphitheatre","Perimeter","Passive"},C944)))&gt;0,"no",IF(SUMPRODUCT(--ISNUMBER(SEARCH({"Cricket","Junior","Mini","Summer Football","Small"},C944)))&gt;0,"reduced",IF(SUMPRODUCT(--ISNUMBER(SEARCH({"Rugby","Football","League","Touch","Gaelic","Australian","Lacrosse","General Sport","Training Area","Ultimate"},C944)))&gt;0,"full","unknown"))))</f>
        <v/>
      </c>
      <c r="E944" s="9"/>
      <c r="F944" s="9"/>
      <c r="G944" s="9"/>
      <c r="H944" s="9"/>
      <c r="I944" s="12"/>
      <c r="J944" s="9"/>
      <c r="K944" s="9"/>
      <c r="L944" s="9"/>
      <c r="M944" s="9"/>
      <c r="N944" s="9"/>
      <c r="O944" s="13" t="str">
        <f aca="false">IF(C944="","",IF(N(M944)+N(N944)&lt;Settings!$C$9,"untested",M944/(M944+N944)))</f>
        <v/>
      </c>
      <c r="P944" s="9"/>
      <c r="Q944" s="9"/>
      <c r="R944" s="9"/>
      <c r="S944" s="12"/>
      <c r="T944" s="9"/>
      <c r="U944" s="9"/>
      <c r="V944" s="9"/>
      <c r="W944" s="10" t="str">
        <f aca="false">IF(C944="","",IF(OR(G944="training",G944="full"),"Yes",IF(G944="none","No","?")))</f>
        <v/>
      </c>
      <c r="X944" s="10" t="str">
        <f aca="false">IF(C944="","",IF(OR(E944="",E944="unknown"),D944,E944))</f>
        <v/>
      </c>
      <c r="Y944" s="10" t="str">
        <f aca="false">IF(C944="","",IF(OR(T944="unsuitable",T944="retired",X944="no"),"—",IF(J944="","unrated",IF(AND(X944="full",J944&gt;=Settings!$C$5,OR(O944="untested",O944&gt;=Settings!$C$6)),"A",IF(AND(OR(X944="full",X944="reduced"),J944&gt;=Settings!$C$7,OR(O944="untested",O944&gt;=Settings!$C$8)),"B","C")))))</f>
        <v/>
      </c>
      <c r="Z944" s="11" t="str">
        <f aca="false">IF(C944="","",IF(P944&lt;&gt;"",P944,Y944))</f>
        <v/>
      </c>
    </row>
    <row r="945" customFormat="false" ht="15" hidden="false" customHeight="false" outlineLevel="0" collapsed="false">
      <c r="A945" s="9"/>
      <c r="B945" s="10" t="str">
        <f aca="false">IF(A945="","",IFERROR(INDEX(Parks!$A$2:$A$255,MATCH(A945,Parks!$B$2:$B$255,0)),"?"))</f>
        <v/>
      </c>
      <c r="C945" s="9"/>
      <c r="D945" s="10" t="str">
        <f aca="false">IF(C945="","",IF(SUMPRODUCT(--ISNUMBER(SEARCH({"Nets","Wicket","Diamond","Softball","T-ball","Baseball","Netball","Tennis","Bocce","Pentaque","Petanque","Skate","Car Park","Pond","Bridle","Amphitheatre","Perimeter","Passive"},C945)))&gt;0,"no",IF(SUMPRODUCT(--ISNUMBER(SEARCH({"Cricket","Junior","Mini","Summer Football","Small"},C945)))&gt;0,"reduced",IF(SUMPRODUCT(--ISNUMBER(SEARCH({"Rugby","Football","League","Touch","Gaelic","Australian","Lacrosse","General Sport","Training Area","Ultimate"},C945)))&gt;0,"full","unknown"))))</f>
        <v/>
      </c>
      <c r="E945" s="9"/>
      <c r="F945" s="9"/>
      <c r="G945" s="9"/>
      <c r="H945" s="9"/>
      <c r="I945" s="12"/>
      <c r="J945" s="9"/>
      <c r="K945" s="9"/>
      <c r="L945" s="9"/>
      <c r="M945" s="9"/>
      <c r="N945" s="9"/>
      <c r="O945" s="13" t="str">
        <f aca="false">IF(C945="","",IF(N(M945)+N(N945)&lt;Settings!$C$9,"untested",M945/(M945+N945)))</f>
        <v/>
      </c>
      <c r="P945" s="9"/>
      <c r="Q945" s="9"/>
      <c r="R945" s="9"/>
      <c r="S945" s="12"/>
      <c r="T945" s="9"/>
      <c r="U945" s="9"/>
      <c r="V945" s="9"/>
      <c r="W945" s="10" t="str">
        <f aca="false">IF(C945="","",IF(OR(G945="training",G945="full"),"Yes",IF(G945="none","No","?")))</f>
        <v/>
      </c>
      <c r="X945" s="10" t="str">
        <f aca="false">IF(C945="","",IF(OR(E945="",E945="unknown"),D945,E945))</f>
        <v/>
      </c>
      <c r="Y945" s="10" t="str">
        <f aca="false">IF(C945="","",IF(OR(T945="unsuitable",T945="retired",X945="no"),"—",IF(J945="","unrated",IF(AND(X945="full",J945&gt;=Settings!$C$5,OR(O945="untested",O945&gt;=Settings!$C$6)),"A",IF(AND(OR(X945="full",X945="reduced"),J945&gt;=Settings!$C$7,OR(O945="untested",O945&gt;=Settings!$C$8)),"B","C")))))</f>
        <v/>
      </c>
      <c r="Z945" s="11" t="str">
        <f aca="false">IF(C945="","",IF(P945&lt;&gt;"",P945,Y945))</f>
        <v/>
      </c>
    </row>
    <row r="946" customFormat="false" ht="15" hidden="false" customHeight="false" outlineLevel="0" collapsed="false">
      <c r="A946" s="9"/>
      <c r="B946" s="10" t="str">
        <f aca="false">IF(A946="","",IFERROR(INDEX(Parks!$A$2:$A$255,MATCH(A946,Parks!$B$2:$B$255,0)),"?"))</f>
        <v/>
      </c>
      <c r="C946" s="9"/>
      <c r="D946" s="10" t="str">
        <f aca="false">IF(C946="","",IF(SUMPRODUCT(--ISNUMBER(SEARCH({"Nets","Wicket","Diamond","Softball","T-ball","Baseball","Netball","Tennis","Bocce","Pentaque","Petanque","Skate","Car Park","Pond","Bridle","Amphitheatre","Perimeter","Passive"},C946)))&gt;0,"no",IF(SUMPRODUCT(--ISNUMBER(SEARCH({"Cricket","Junior","Mini","Summer Football","Small"},C946)))&gt;0,"reduced",IF(SUMPRODUCT(--ISNUMBER(SEARCH({"Rugby","Football","League","Touch","Gaelic","Australian","Lacrosse","General Sport","Training Area","Ultimate"},C946)))&gt;0,"full","unknown"))))</f>
        <v/>
      </c>
      <c r="E946" s="9"/>
      <c r="F946" s="9"/>
      <c r="G946" s="9"/>
      <c r="H946" s="9"/>
      <c r="I946" s="12"/>
      <c r="J946" s="9"/>
      <c r="K946" s="9"/>
      <c r="L946" s="9"/>
      <c r="M946" s="9"/>
      <c r="N946" s="9"/>
      <c r="O946" s="13" t="str">
        <f aca="false">IF(C946="","",IF(N(M946)+N(N946)&lt;Settings!$C$9,"untested",M946/(M946+N946)))</f>
        <v/>
      </c>
      <c r="P946" s="9"/>
      <c r="Q946" s="9"/>
      <c r="R946" s="9"/>
      <c r="S946" s="12"/>
      <c r="T946" s="9"/>
      <c r="U946" s="9"/>
      <c r="V946" s="9"/>
      <c r="W946" s="10" t="str">
        <f aca="false">IF(C946="","",IF(OR(G946="training",G946="full"),"Yes",IF(G946="none","No","?")))</f>
        <v/>
      </c>
      <c r="X946" s="10" t="str">
        <f aca="false">IF(C946="","",IF(OR(E946="",E946="unknown"),D946,E946))</f>
        <v/>
      </c>
      <c r="Y946" s="10" t="str">
        <f aca="false">IF(C946="","",IF(OR(T946="unsuitable",T946="retired",X946="no"),"—",IF(J946="","unrated",IF(AND(X946="full",J946&gt;=Settings!$C$5,OR(O946="untested",O946&gt;=Settings!$C$6)),"A",IF(AND(OR(X946="full",X946="reduced"),J946&gt;=Settings!$C$7,OR(O946="untested",O946&gt;=Settings!$C$8)),"B","C")))))</f>
        <v/>
      </c>
      <c r="Z946" s="11" t="str">
        <f aca="false">IF(C946="","",IF(P946&lt;&gt;"",P946,Y946))</f>
        <v/>
      </c>
    </row>
    <row r="947" customFormat="false" ht="15" hidden="false" customHeight="false" outlineLevel="0" collapsed="false">
      <c r="A947" s="9"/>
      <c r="B947" s="10" t="str">
        <f aca="false">IF(A947="","",IFERROR(INDEX(Parks!$A$2:$A$255,MATCH(A947,Parks!$B$2:$B$255,0)),"?"))</f>
        <v/>
      </c>
      <c r="C947" s="9"/>
      <c r="D947" s="10" t="str">
        <f aca="false">IF(C947="","",IF(SUMPRODUCT(--ISNUMBER(SEARCH({"Nets","Wicket","Diamond","Softball","T-ball","Baseball","Netball","Tennis","Bocce","Pentaque","Petanque","Skate","Car Park","Pond","Bridle","Amphitheatre","Perimeter","Passive"},C947)))&gt;0,"no",IF(SUMPRODUCT(--ISNUMBER(SEARCH({"Cricket","Junior","Mini","Summer Football","Small"},C947)))&gt;0,"reduced",IF(SUMPRODUCT(--ISNUMBER(SEARCH({"Rugby","Football","League","Touch","Gaelic","Australian","Lacrosse","General Sport","Training Area","Ultimate"},C947)))&gt;0,"full","unknown"))))</f>
        <v/>
      </c>
      <c r="E947" s="9"/>
      <c r="F947" s="9"/>
      <c r="G947" s="9"/>
      <c r="H947" s="9"/>
      <c r="I947" s="12"/>
      <c r="J947" s="9"/>
      <c r="K947" s="9"/>
      <c r="L947" s="9"/>
      <c r="M947" s="9"/>
      <c r="N947" s="9"/>
      <c r="O947" s="13" t="str">
        <f aca="false">IF(C947="","",IF(N(M947)+N(N947)&lt;Settings!$C$9,"untested",M947/(M947+N947)))</f>
        <v/>
      </c>
      <c r="P947" s="9"/>
      <c r="Q947" s="9"/>
      <c r="R947" s="9"/>
      <c r="S947" s="12"/>
      <c r="T947" s="9"/>
      <c r="U947" s="9"/>
      <c r="V947" s="9"/>
      <c r="W947" s="10" t="str">
        <f aca="false">IF(C947="","",IF(OR(G947="training",G947="full"),"Yes",IF(G947="none","No","?")))</f>
        <v/>
      </c>
      <c r="X947" s="10" t="str">
        <f aca="false">IF(C947="","",IF(OR(E947="",E947="unknown"),D947,E947))</f>
        <v/>
      </c>
      <c r="Y947" s="10" t="str">
        <f aca="false">IF(C947="","",IF(OR(T947="unsuitable",T947="retired",X947="no"),"—",IF(J947="","unrated",IF(AND(X947="full",J947&gt;=Settings!$C$5,OR(O947="untested",O947&gt;=Settings!$C$6)),"A",IF(AND(OR(X947="full",X947="reduced"),J947&gt;=Settings!$C$7,OR(O947="untested",O947&gt;=Settings!$C$8)),"B","C")))))</f>
        <v/>
      </c>
      <c r="Z947" s="11" t="str">
        <f aca="false">IF(C947="","",IF(P947&lt;&gt;"",P947,Y947))</f>
        <v/>
      </c>
    </row>
    <row r="948" customFormat="false" ht="15" hidden="false" customHeight="false" outlineLevel="0" collapsed="false">
      <c r="A948" s="9"/>
      <c r="B948" s="10" t="str">
        <f aca="false">IF(A948="","",IFERROR(INDEX(Parks!$A$2:$A$255,MATCH(A948,Parks!$B$2:$B$255,0)),"?"))</f>
        <v/>
      </c>
      <c r="C948" s="9"/>
      <c r="D948" s="10" t="str">
        <f aca="false">IF(C948="","",IF(SUMPRODUCT(--ISNUMBER(SEARCH({"Nets","Wicket","Diamond","Softball","T-ball","Baseball","Netball","Tennis","Bocce","Pentaque","Petanque","Skate","Car Park","Pond","Bridle","Amphitheatre","Perimeter","Passive"},C948)))&gt;0,"no",IF(SUMPRODUCT(--ISNUMBER(SEARCH({"Cricket","Junior","Mini","Summer Football","Small"},C948)))&gt;0,"reduced",IF(SUMPRODUCT(--ISNUMBER(SEARCH({"Rugby","Football","League","Touch","Gaelic","Australian","Lacrosse","General Sport","Training Area","Ultimate"},C948)))&gt;0,"full","unknown"))))</f>
        <v/>
      </c>
      <c r="E948" s="9"/>
      <c r="F948" s="9"/>
      <c r="G948" s="9"/>
      <c r="H948" s="9"/>
      <c r="I948" s="12"/>
      <c r="J948" s="9"/>
      <c r="K948" s="9"/>
      <c r="L948" s="9"/>
      <c r="M948" s="9"/>
      <c r="N948" s="9"/>
      <c r="O948" s="13" t="str">
        <f aca="false">IF(C948="","",IF(N(M948)+N(N948)&lt;Settings!$C$9,"untested",M948/(M948+N948)))</f>
        <v/>
      </c>
      <c r="P948" s="9"/>
      <c r="Q948" s="9"/>
      <c r="R948" s="9"/>
      <c r="S948" s="12"/>
      <c r="T948" s="9"/>
      <c r="U948" s="9"/>
      <c r="V948" s="9"/>
      <c r="W948" s="10" t="str">
        <f aca="false">IF(C948="","",IF(OR(G948="training",G948="full"),"Yes",IF(G948="none","No","?")))</f>
        <v/>
      </c>
      <c r="X948" s="10" t="str">
        <f aca="false">IF(C948="","",IF(OR(E948="",E948="unknown"),D948,E948))</f>
        <v/>
      </c>
      <c r="Y948" s="10" t="str">
        <f aca="false">IF(C948="","",IF(OR(T948="unsuitable",T948="retired",X948="no"),"—",IF(J948="","unrated",IF(AND(X948="full",J948&gt;=Settings!$C$5,OR(O948="untested",O948&gt;=Settings!$C$6)),"A",IF(AND(OR(X948="full",X948="reduced"),J948&gt;=Settings!$C$7,OR(O948="untested",O948&gt;=Settings!$C$8)),"B","C")))))</f>
        <v/>
      </c>
      <c r="Z948" s="11" t="str">
        <f aca="false">IF(C948="","",IF(P948&lt;&gt;"",P948,Y948))</f>
        <v/>
      </c>
    </row>
    <row r="949" customFormat="false" ht="15" hidden="false" customHeight="false" outlineLevel="0" collapsed="false">
      <c r="A949" s="9"/>
      <c r="B949" s="10" t="str">
        <f aca="false">IF(A949="","",IFERROR(INDEX(Parks!$A$2:$A$255,MATCH(A949,Parks!$B$2:$B$255,0)),"?"))</f>
        <v/>
      </c>
      <c r="C949" s="9"/>
      <c r="D949" s="10" t="str">
        <f aca="false">IF(C949="","",IF(SUMPRODUCT(--ISNUMBER(SEARCH({"Nets","Wicket","Diamond","Softball","T-ball","Baseball","Netball","Tennis","Bocce","Pentaque","Petanque","Skate","Car Park","Pond","Bridle","Amphitheatre","Perimeter","Passive"},C949)))&gt;0,"no",IF(SUMPRODUCT(--ISNUMBER(SEARCH({"Cricket","Junior","Mini","Summer Football","Small"},C949)))&gt;0,"reduced",IF(SUMPRODUCT(--ISNUMBER(SEARCH({"Rugby","Football","League","Touch","Gaelic","Australian","Lacrosse","General Sport","Training Area","Ultimate"},C949)))&gt;0,"full","unknown"))))</f>
        <v/>
      </c>
      <c r="E949" s="9"/>
      <c r="F949" s="9"/>
      <c r="G949" s="9"/>
      <c r="H949" s="9"/>
      <c r="I949" s="12"/>
      <c r="J949" s="9"/>
      <c r="K949" s="9"/>
      <c r="L949" s="9"/>
      <c r="M949" s="9"/>
      <c r="N949" s="9"/>
      <c r="O949" s="13" t="str">
        <f aca="false">IF(C949="","",IF(N(M949)+N(N949)&lt;Settings!$C$9,"untested",M949/(M949+N949)))</f>
        <v/>
      </c>
      <c r="P949" s="9"/>
      <c r="Q949" s="9"/>
      <c r="R949" s="9"/>
      <c r="S949" s="12"/>
      <c r="T949" s="9"/>
      <c r="U949" s="9"/>
      <c r="V949" s="9"/>
      <c r="W949" s="10" t="str">
        <f aca="false">IF(C949="","",IF(OR(G949="training",G949="full"),"Yes",IF(G949="none","No","?")))</f>
        <v/>
      </c>
      <c r="X949" s="10" t="str">
        <f aca="false">IF(C949="","",IF(OR(E949="",E949="unknown"),D949,E949))</f>
        <v/>
      </c>
      <c r="Y949" s="10" t="str">
        <f aca="false">IF(C949="","",IF(OR(T949="unsuitable",T949="retired",X949="no"),"—",IF(J949="","unrated",IF(AND(X949="full",J949&gt;=Settings!$C$5,OR(O949="untested",O949&gt;=Settings!$C$6)),"A",IF(AND(OR(X949="full",X949="reduced"),J949&gt;=Settings!$C$7,OR(O949="untested",O949&gt;=Settings!$C$8)),"B","C")))))</f>
        <v/>
      </c>
      <c r="Z949" s="11" t="str">
        <f aca="false">IF(C949="","",IF(P949&lt;&gt;"",P949,Y949))</f>
        <v/>
      </c>
    </row>
    <row r="950" customFormat="false" ht="15" hidden="false" customHeight="false" outlineLevel="0" collapsed="false">
      <c r="A950" s="9"/>
      <c r="B950" s="10" t="str">
        <f aca="false">IF(A950="","",IFERROR(INDEX(Parks!$A$2:$A$255,MATCH(A950,Parks!$B$2:$B$255,0)),"?"))</f>
        <v/>
      </c>
      <c r="C950" s="9"/>
      <c r="D950" s="10" t="str">
        <f aca="false">IF(C950="","",IF(SUMPRODUCT(--ISNUMBER(SEARCH({"Nets","Wicket","Diamond","Softball","T-ball","Baseball","Netball","Tennis","Bocce","Pentaque","Petanque","Skate","Car Park","Pond","Bridle","Amphitheatre","Perimeter","Passive"},C950)))&gt;0,"no",IF(SUMPRODUCT(--ISNUMBER(SEARCH({"Cricket","Junior","Mini","Summer Football","Small"},C950)))&gt;0,"reduced",IF(SUMPRODUCT(--ISNUMBER(SEARCH({"Rugby","Football","League","Touch","Gaelic","Australian","Lacrosse","General Sport","Training Area","Ultimate"},C950)))&gt;0,"full","unknown"))))</f>
        <v/>
      </c>
      <c r="E950" s="9"/>
      <c r="F950" s="9"/>
      <c r="G950" s="9"/>
      <c r="H950" s="9"/>
      <c r="I950" s="12"/>
      <c r="J950" s="9"/>
      <c r="K950" s="9"/>
      <c r="L950" s="9"/>
      <c r="M950" s="9"/>
      <c r="N950" s="9"/>
      <c r="O950" s="13" t="str">
        <f aca="false">IF(C950="","",IF(N(M950)+N(N950)&lt;Settings!$C$9,"untested",M950/(M950+N950)))</f>
        <v/>
      </c>
      <c r="P950" s="9"/>
      <c r="Q950" s="9"/>
      <c r="R950" s="9"/>
      <c r="S950" s="12"/>
      <c r="T950" s="9"/>
      <c r="U950" s="9"/>
      <c r="V950" s="9"/>
      <c r="W950" s="10" t="str">
        <f aca="false">IF(C950="","",IF(OR(G950="training",G950="full"),"Yes",IF(G950="none","No","?")))</f>
        <v/>
      </c>
      <c r="X950" s="10" t="str">
        <f aca="false">IF(C950="","",IF(OR(E950="",E950="unknown"),D950,E950))</f>
        <v/>
      </c>
      <c r="Y950" s="10" t="str">
        <f aca="false">IF(C950="","",IF(OR(T950="unsuitable",T950="retired",X950="no"),"—",IF(J950="","unrated",IF(AND(X950="full",J950&gt;=Settings!$C$5,OR(O950="untested",O950&gt;=Settings!$C$6)),"A",IF(AND(OR(X950="full",X950="reduced"),J950&gt;=Settings!$C$7,OR(O950="untested",O950&gt;=Settings!$C$8)),"B","C")))))</f>
        <v/>
      </c>
      <c r="Z950" s="11" t="str">
        <f aca="false">IF(C950="","",IF(P950&lt;&gt;"",P950,Y950))</f>
        <v/>
      </c>
    </row>
    <row r="951" customFormat="false" ht="15" hidden="false" customHeight="false" outlineLevel="0" collapsed="false">
      <c r="A951" s="9"/>
      <c r="B951" s="10" t="str">
        <f aca="false">IF(A951="","",IFERROR(INDEX(Parks!$A$2:$A$255,MATCH(A951,Parks!$B$2:$B$255,0)),"?"))</f>
        <v/>
      </c>
      <c r="C951" s="9"/>
      <c r="D951" s="10" t="str">
        <f aca="false">IF(C951="","",IF(SUMPRODUCT(--ISNUMBER(SEARCH({"Nets","Wicket","Diamond","Softball","T-ball","Baseball","Netball","Tennis","Bocce","Pentaque","Petanque","Skate","Car Park","Pond","Bridle","Amphitheatre","Perimeter","Passive"},C951)))&gt;0,"no",IF(SUMPRODUCT(--ISNUMBER(SEARCH({"Cricket","Junior","Mini","Summer Football","Small"},C951)))&gt;0,"reduced",IF(SUMPRODUCT(--ISNUMBER(SEARCH({"Rugby","Football","League","Touch","Gaelic","Australian","Lacrosse","General Sport","Training Area","Ultimate"},C951)))&gt;0,"full","unknown"))))</f>
        <v/>
      </c>
      <c r="E951" s="9"/>
      <c r="F951" s="9"/>
      <c r="G951" s="9"/>
      <c r="H951" s="9"/>
      <c r="I951" s="12"/>
      <c r="J951" s="9"/>
      <c r="K951" s="9"/>
      <c r="L951" s="9"/>
      <c r="M951" s="9"/>
      <c r="N951" s="9"/>
      <c r="O951" s="13" t="str">
        <f aca="false">IF(C951="","",IF(N(M951)+N(N951)&lt;Settings!$C$9,"untested",M951/(M951+N951)))</f>
        <v/>
      </c>
      <c r="P951" s="9"/>
      <c r="Q951" s="9"/>
      <c r="R951" s="9"/>
      <c r="S951" s="12"/>
      <c r="T951" s="9"/>
      <c r="U951" s="9"/>
      <c r="V951" s="9"/>
      <c r="W951" s="10" t="str">
        <f aca="false">IF(C951="","",IF(OR(G951="training",G951="full"),"Yes",IF(G951="none","No","?")))</f>
        <v/>
      </c>
      <c r="X951" s="10" t="str">
        <f aca="false">IF(C951="","",IF(OR(E951="",E951="unknown"),D951,E951))</f>
        <v/>
      </c>
      <c r="Y951" s="10" t="str">
        <f aca="false">IF(C951="","",IF(OR(T951="unsuitable",T951="retired",X951="no"),"—",IF(J951="","unrated",IF(AND(X951="full",J951&gt;=Settings!$C$5,OR(O951="untested",O951&gt;=Settings!$C$6)),"A",IF(AND(OR(X951="full",X951="reduced"),J951&gt;=Settings!$C$7,OR(O951="untested",O951&gt;=Settings!$C$8)),"B","C")))))</f>
        <v/>
      </c>
      <c r="Z951" s="11" t="str">
        <f aca="false">IF(C951="","",IF(P951&lt;&gt;"",P951,Y951))</f>
        <v/>
      </c>
    </row>
    <row r="952" customFormat="false" ht="15" hidden="false" customHeight="false" outlineLevel="0" collapsed="false">
      <c r="A952" s="9"/>
      <c r="B952" s="10" t="str">
        <f aca="false">IF(A952="","",IFERROR(INDEX(Parks!$A$2:$A$255,MATCH(A952,Parks!$B$2:$B$255,0)),"?"))</f>
        <v/>
      </c>
      <c r="C952" s="9"/>
      <c r="D952" s="10" t="str">
        <f aca="false">IF(C952="","",IF(SUMPRODUCT(--ISNUMBER(SEARCH({"Nets","Wicket","Diamond","Softball","T-ball","Baseball","Netball","Tennis","Bocce","Pentaque","Petanque","Skate","Car Park","Pond","Bridle","Amphitheatre","Perimeter","Passive"},C952)))&gt;0,"no",IF(SUMPRODUCT(--ISNUMBER(SEARCH({"Cricket","Junior","Mini","Summer Football","Small"},C952)))&gt;0,"reduced",IF(SUMPRODUCT(--ISNUMBER(SEARCH({"Rugby","Football","League","Touch","Gaelic","Australian","Lacrosse","General Sport","Training Area","Ultimate"},C952)))&gt;0,"full","unknown"))))</f>
        <v/>
      </c>
      <c r="E952" s="9"/>
      <c r="F952" s="9"/>
      <c r="G952" s="9"/>
      <c r="H952" s="9"/>
      <c r="I952" s="12"/>
      <c r="J952" s="9"/>
      <c r="K952" s="9"/>
      <c r="L952" s="9"/>
      <c r="M952" s="9"/>
      <c r="N952" s="9"/>
      <c r="O952" s="13" t="str">
        <f aca="false">IF(C952="","",IF(N(M952)+N(N952)&lt;Settings!$C$9,"untested",M952/(M952+N952)))</f>
        <v/>
      </c>
      <c r="P952" s="9"/>
      <c r="Q952" s="9"/>
      <c r="R952" s="9"/>
      <c r="S952" s="12"/>
      <c r="T952" s="9"/>
      <c r="U952" s="9"/>
      <c r="V952" s="9"/>
      <c r="W952" s="10" t="str">
        <f aca="false">IF(C952="","",IF(OR(G952="training",G952="full"),"Yes",IF(G952="none","No","?")))</f>
        <v/>
      </c>
      <c r="X952" s="10" t="str">
        <f aca="false">IF(C952="","",IF(OR(E952="",E952="unknown"),D952,E952))</f>
        <v/>
      </c>
      <c r="Y952" s="10" t="str">
        <f aca="false">IF(C952="","",IF(OR(T952="unsuitable",T952="retired",X952="no"),"—",IF(J952="","unrated",IF(AND(X952="full",J952&gt;=Settings!$C$5,OR(O952="untested",O952&gt;=Settings!$C$6)),"A",IF(AND(OR(X952="full",X952="reduced"),J952&gt;=Settings!$C$7,OR(O952="untested",O952&gt;=Settings!$C$8)),"B","C")))))</f>
        <v/>
      </c>
      <c r="Z952" s="11" t="str">
        <f aca="false">IF(C952="","",IF(P952&lt;&gt;"",P952,Y952))</f>
        <v/>
      </c>
    </row>
    <row r="953" customFormat="false" ht="15" hidden="false" customHeight="false" outlineLevel="0" collapsed="false">
      <c r="A953" s="9"/>
      <c r="B953" s="10" t="str">
        <f aca="false">IF(A953="","",IFERROR(INDEX(Parks!$A$2:$A$255,MATCH(A953,Parks!$B$2:$B$255,0)),"?"))</f>
        <v/>
      </c>
      <c r="C953" s="9"/>
      <c r="D953" s="10" t="str">
        <f aca="false">IF(C953="","",IF(SUMPRODUCT(--ISNUMBER(SEARCH({"Nets","Wicket","Diamond","Softball","T-ball","Baseball","Netball","Tennis","Bocce","Pentaque","Petanque","Skate","Car Park","Pond","Bridle","Amphitheatre","Perimeter","Passive"},C953)))&gt;0,"no",IF(SUMPRODUCT(--ISNUMBER(SEARCH({"Cricket","Junior","Mini","Summer Football","Small"},C953)))&gt;0,"reduced",IF(SUMPRODUCT(--ISNUMBER(SEARCH({"Rugby","Football","League","Touch","Gaelic","Australian","Lacrosse","General Sport","Training Area","Ultimate"},C953)))&gt;0,"full","unknown"))))</f>
        <v/>
      </c>
      <c r="E953" s="9"/>
      <c r="F953" s="9"/>
      <c r="G953" s="9"/>
      <c r="H953" s="9"/>
      <c r="I953" s="12"/>
      <c r="J953" s="9"/>
      <c r="K953" s="9"/>
      <c r="L953" s="9"/>
      <c r="M953" s="9"/>
      <c r="N953" s="9"/>
      <c r="O953" s="13" t="str">
        <f aca="false">IF(C953="","",IF(N(M953)+N(N953)&lt;Settings!$C$9,"untested",M953/(M953+N953)))</f>
        <v/>
      </c>
      <c r="P953" s="9"/>
      <c r="Q953" s="9"/>
      <c r="R953" s="9"/>
      <c r="S953" s="12"/>
      <c r="T953" s="9"/>
      <c r="U953" s="9"/>
      <c r="V953" s="9"/>
      <c r="W953" s="10" t="str">
        <f aca="false">IF(C953="","",IF(OR(G953="training",G953="full"),"Yes",IF(G953="none","No","?")))</f>
        <v/>
      </c>
      <c r="X953" s="10" t="str">
        <f aca="false">IF(C953="","",IF(OR(E953="",E953="unknown"),D953,E953))</f>
        <v/>
      </c>
      <c r="Y953" s="10" t="str">
        <f aca="false">IF(C953="","",IF(OR(T953="unsuitable",T953="retired",X953="no"),"—",IF(J953="","unrated",IF(AND(X953="full",J953&gt;=Settings!$C$5,OR(O953="untested",O953&gt;=Settings!$C$6)),"A",IF(AND(OR(X953="full",X953="reduced"),J953&gt;=Settings!$C$7,OR(O953="untested",O953&gt;=Settings!$C$8)),"B","C")))))</f>
        <v/>
      </c>
      <c r="Z953" s="11" t="str">
        <f aca="false">IF(C953="","",IF(P953&lt;&gt;"",P953,Y953))</f>
        <v/>
      </c>
    </row>
    <row r="954" customFormat="false" ht="15" hidden="false" customHeight="false" outlineLevel="0" collapsed="false">
      <c r="A954" s="9"/>
      <c r="B954" s="10" t="str">
        <f aca="false">IF(A954="","",IFERROR(INDEX(Parks!$A$2:$A$255,MATCH(A954,Parks!$B$2:$B$255,0)),"?"))</f>
        <v/>
      </c>
      <c r="C954" s="9"/>
      <c r="D954" s="10" t="str">
        <f aca="false">IF(C954="","",IF(SUMPRODUCT(--ISNUMBER(SEARCH({"Nets","Wicket","Diamond","Softball","T-ball","Baseball","Netball","Tennis","Bocce","Pentaque","Petanque","Skate","Car Park","Pond","Bridle","Amphitheatre","Perimeter","Passive"},C954)))&gt;0,"no",IF(SUMPRODUCT(--ISNUMBER(SEARCH({"Cricket","Junior","Mini","Summer Football","Small"},C954)))&gt;0,"reduced",IF(SUMPRODUCT(--ISNUMBER(SEARCH({"Rugby","Football","League","Touch","Gaelic","Australian","Lacrosse","General Sport","Training Area","Ultimate"},C954)))&gt;0,"full","unknown"))))</f>
        <v/>
      </c>
      <c r="E954" s="9"/>
      <c r="F954" s="9"/>
      <c r="G954" s="9"/>
      <c r="H954" s="9"/>
      <c r="I954" s="12"/>
      <c r="J954" s="9"/>
      <c r="K954" s="9"/>
      <c r="L954" s="9"/>
      <c r="M954" s="9"/>
      <c r="N954" s="9"/>
      <c r="O954" s="13" t="str">
        <f aca="false">IF(C954="","",IF(N(M954)+N(N954)&lt;Settings!$C$9,"untested",M954/(M954+N954)))</f>
        <v/>
      </c>
      <c r="P954" s="9"/>
      <c r="Q954" s="9"/>
      <c r="R954" s="9"/>
      <c r="S954" s="12"/>
      <c r="T954" s="9"/>
      <c r="U954" s="9"/>
      <c r="V954" s="9"/>
      <c r="W954" s="10" t="str">
        <f aca="false">IF(C954="","",IF(OR(G954="training",G954="full"),"Yes",IF(G954="none","No","?")))</f>
        <v/>
      </c>
      <c r="X954" s="10" t="str">
        <f aca="false">IF(C954="","",IF(OR(E954="",E954="unknown"),D954,E954))</f>
        <v/>
      </c>
      <c r="Y954" s="10" t="str">
        <f aca="false">IF(C954="","",IF(OR(T954="unsuitable",T954="retired",X954="no"),"—",IF(J954="","unrated",IF(AND(X954="full",J954&gt;=Settings!$C$5,OR(O954="untested",O954&gt;=Settings!$C$6)),"A",IF(AND(OR(X954="full",X954="reduced"),J954&gt;=Settings!$C$7,OR(O954="untested",O954&gt;=Settings!$C$8)),"B","C")))))</f>
        <v/>
      </c>
      <c r="Z954" s="11" t="str">
        <f aca="false">IF(C954="","",IF(P954&lt;&gt;"",P954,Y954))</f>
        <v/>
      </c>
    </row>
    <row r="955" customFormat="false" ht="15" hidden="false" customHeight="false" outlineLevel="0" collapsed="false">
      <c r="A955" s="9"/>
      <c r="B955" s="10" t="str">
        <f aca="false">IF(A955="","",IFERROR(INDEX(Parks!$A$2:$A$255,MATCH(A955,Parks!$B$2:$B$255,0)),"?"))</f>
        <v/>
      </c>
      <c r="C955" s="9"/>
      <c r="D955" s="10" t="str">
        <f aca="false">IF(C955="","",IF(SUMPRODUCT(--ISNUMBER(SEARCH({"Nets","Wicket","Diamond","Softball","T-ball","Baseball","Netball","Tennis","Bocce","Pentaque","Petanque","Skate","Car Park","Pond","Bridle","Amphitheatre","Perimeter","Passive"},C955)))&gt;0,"no",IF(SUMPRODUCT(--ISNUMBER(SEARCH({"Cricket","Junior","Mini","Summer Football","Small"},C955)))&gt;0,"reduced",IF(SUMPRODUCT(--ISNUMBER(SEARCH({"Rugby","Football","League","Touch","Gaelic","Australian","Lacrosse","General Sport","Training Area","Ultimate"},C955)))&gt;0,"full","unknown"))))</f>
        <v/>
      </c>
      <c r="E955" s="9"/>
      <c r="F955" s="9"/>
      <c r="G955" s="9"/>
      <c r="H955" s="9"/>
      <c r="I955" s="12"/>
      <c r="J955" s="9"/>
      <c r="K955" s="9"/>
      <c r="L955" s="9"/>
      <c r="M955" s="9"/>
      <c r="N955" s="9"/>
      <c r="O955" s="13" t="str">
        <f aca="false">IF(C955="","",IF(N(M955)+N(N955)&lt;Settings!$C$9,"untested",M955/(M955+N955)))</f>
        <v/>
      </c>
      <c r="P955" s="9"/>
      <c r="Q955" s="9"/>
      <c r="R955" s="9"/>
      <c r="S955" s="12"/>
      <c r="T955" s="9"/>
      <c r="U955" s="9"/>
      <c r="V955" s="9"/>
      <c r="W955" s="10" t="str">
        <f aca="false">IF(C955="","",IF(OR(G955="training",G955="full"),"Yes",IF(G955="none","No","?")))</f>
        <v/>
      </c>
      <c r="X955" s="10" t="str">
        <f aca="false">IF(C955="","",IF(OR(E955="",E955="unknown"),D955,E955))</f>
        <v/>
      </c>
      <c r="Y955" s="10" t="str">
        <f aca="false">IF(C955="","",IF(OR(T955="unsuitable",T955="retired",X955="no"),"—",IF(J955="","unrated",IF(AND(X955="full",J955&gt;=Settings!$C$5,OR(O955="untested",O955&gt;=Settings!$C$6)),"A",IF(AND(OR(X955="full",X955="reduced"),J955&gt;=Settings!$C$7,OR(O955="untested",O955&gt;=Settings!$C$8)),"B","C")))))</f>
        <v/>
      </c>
      <c r="Z955" s="11" t="str">
        <f aca="false">IF(C955="","",IF(P955&lt;&gt;"",P955,Y955))</f>
        <v/>
      </c>
    </row>
    <row r="956" customFormat="false" ht="15" hidden="false" customHeight="false" outlineLevel="0" collapsed="false">
      <c r="A956" s="9"/>
      <c r="B956" s="10" t="str">
        <f aca="false">IF(A956="","",IFERROR(INDEX(Parks!$A$2:$A$255,MATCH(A956,Parks!$B$2:$B$255,0)),"?"))</f>
        <v/>
      </c>
      <c r="C956" s="9"/>
      <c r="D956" s="10" t="str">
        <f aca="false">IF(C956="","",IF(SUMPRODUCT(--ISNUMBER(SEARCH({"Nets","Wicket","Diamond","Softball","T-ball","Baseball","Netball","Tennis","Bocce","Pentaque","Petanque","Skate","Car Park","Pond","Bridle","Amphitheatre","Perimeter","Passive"},C956)))&gt;0,"no",IF(SUMPRODUCT(--ISNUMBER(SEARCH({"Cricket","Junior","Mini","Summer Football","Small"},C956)))&gt;0,"reduced",IF(SUMPRODUCT(--ISNUMBER(SEARCH({"Rugby","Football","League","Touch","Gaelic","Australian","Lacrosse","General Sport","Training Area","Ultimate"},C956)))&gt;0,"full","unknown"))))</f>
        <v/>
      </c>
      <c r="E956" s="9"/>
      <c r="F956" s="9"/>
      <c r="G956" s="9"/>
      <c r="H956" s="9"/>
      <c r="I956" s="12"/>
      <c r="J956" s="9"/>
      <c r="K956" s="9"/>
      <c r="L956" s="9"/>
      <c r="M956" s="9"/>
      <c r="N956" s="9"/>
      <c r="O956" s="13" t="str">
        <f aca="false">IF(C956="","",IF(N(M956)+N(N956)&lt;Settings!$C$9,"untested",M956/(M956+N956)))</f>
        <v/>
      </c>
      <c r="P956" s="9"/>
      <c r="Q956" s="9"/>
      <c r="R956" s="9"/>
      <c r="S956" s="12"/>
      <c r="T956" s="9"/>
      <c r="U956" s="9"/>
      <c r="V956" s="9"/>
      <c r="W956" s="10" t="str">
        <f aca="false">IF(C956="","",IF(OR(G956="training",G956="full"),"Yes",IF(G956="none","No","?")))</f>
        <v/>
      </c>
      <c r="X956" s="10" t="str">
        <f aca="false">IF(C956="","",IF(OR(E956="",E956="unknown"),D956,E956))</f>
        <v/>
      </c>
      <c r="Y956" s="10" t="str">
        <f aca="false">IF(C956="","",IF(OR(T956="unsuitable",T956="retired",X956="no"),"—",IF(J956="","unrated",IF(AND(X956="full",J956&gt;=Settings!$C$5,OR(O956="untested",O956&gt;=Settings!$C$6)),"A",IF(AND(OR(X956="full",X956="reduced"),J956&gt;=Settings!$C$7,OR(O956="untested",O956&gt;=Settings!$C$8)),"B","C")))))</f>
        <v/>
      </c>
      <c r="Z956" s="11" t="str">
        <f aca="false">IF(C956="","",IF(P956&lt;&gt;"",P956,Y956))</f>
        <v/>
      </c>
    </row>
    <row r="957" customFormat="false" ht="15" hidden="false" customHeight="false" outlineLevel="0" collapsed="false">
      <c r="A957" s="9"/>
      <c r="B957" s="10" t="str">
        <f aca="false">IF(A957="","",IFERROR(INDEX(Parks!$A$2:$A$255,MATCH(A957,Parks!$B$2:$B$255,0)),"?"))</f>
        <v/>
      </c>
      <c r="C957" s="9"/>
      <c r="D957" s="10" t="str">
        <f aca="false">IF(C957="","",IF(SUMPRODUCT(--ISNUMBER(SEARCH({"Nets","Wicket","Diamond","Softball","T-ball","Baseball","Netball","Tennis","Bocce","Pentaque","Petanque","Skate","Car Park","Pond","Bridle","Amphitheatre","Perimeter","Passive"},C957)))&gt;0,"no",IF(SUMPRODUCT(--ISNUMBER(SEARCH({"Cricket","Junior","Mini","Summer Football","Small"},C957)))&gt;0,"reduced",IF(SUMPRODUCT(--ISNUMBER(SEARCH({"Rugby","Football","League","Touch","Gaelic","Australian","Lacrosse","General Sport","Training Area","Ultimate"},C957)))&gt;0,"full","unknown"))))</f>
        <v/>
      </c>
      <c r="E957" s="9"/>
      <c r="F957" s="9"/>
      <c r="G957" s="9"/>
      <c r="H957" s="9"/>
      <c r="I957" s="12"/>
      <c r="J957" s="9"/>
      <c r="K957" s="9"/>
      <c r="L957" s="9"/>
      <c r="M957" s="9"/>
      <c r="N957" s="9"/>
      <c r="O957" s="13" t="str">
        <f aca="false">IF(C957="","",IF(N(M957)+N(N957)&lt;Settings!$C$9,"untested",M957/(M957+N957)))</f>
        <v/>
      </c>
      <c r="P957" s="9"/>
      <c r="Q957" s="9"/>
      <c r="R957" s="9"/>
      <c r="S957" s="12"/>
      <c r="T957" s="9"/>
      <c r="U957" s="9"/>
      <c r="V957" s="9"/>
      <c r="W957" s="10" t="str">
        <f aca="false">IF(C957="","",IF(OR(G957="training",G957="full"),"Yes",IF(G957="none","No","?")))</f>
        <v/>
      </c>
      <c r="X957" s="10" t="str">
        <f aca="false">IF(C957="","",IF(OR(E957="",E957="unknown"),D957,E957))</f>
        <v/>
      </c>
      <c r="Y957" s="10" t="str">
        <f aca="false">IF(C957="","",IF(OR(T957="unsuitable",T957="retired",X957="no"),"—",IF(J957="","unrated",IF(AND(X957="full",J957&gt;=Settings!$C$5,OR(O957="untested",O957&gt;=Settings!$C$6)),"A",IF(AND(OR(X957="full",X957="reduced"),J957&gt;=Settings!$C$7,OR(O957="untested",O957&gt;=Settings!$C$8)),"B","C")))))</f>
        <v/>
      </c>
      <c r="Z957" s="11" t="str">
        <f aca="false">IF(C957="","",IF(P957&lt;&gt;"",P957,Y957))</f>
        <v/>
      </c>
    </row>
    <row r="958" customFormat="false" ht="15" hidden="false" customHeight="false" outlineLevel="0" collapsed="false">
      <c r="A958" s="9"/>
      <c r="B958" s="10" t="str">
        <f aca="false">IF(A958="","",IFERROR(INDEX(Parks!$A$2:$A$255,MATCH(A958,Parks!$B$2:$B$255,0)),"?"))</f>
        <v/>
      </c>
      <c r="C958" s="9"/>
      <c r="D958" s="10" t="str">
        <f aca="false">IF(C958="","",IF(SUMPRODUCT(--ISNUMBER(SEARCH({"Nets","Wicket","Diamond","Softball","T-ball","Baseball","Netball","Tennis","Bocce","Pentaque","Petanque","Skate","Car Park","Pond","Bridle","Amphitheatre","Perimeter","Passive"},C958)))&gt;0,"no",IF(SUMPRODUCT(--ISNUMBER(SEARCH({"Cricket","Junior","Mini","Summer Football","Small"},C958)))&gt;0,"reduced",IF(SUMPRODUCT(--ISNUMBER(SEARCH({"Rugby","Football","League","Touch","Gaelic","Australian","Lacrosse","General Sport","Training Area","Ultimate"},C958)))&gt;0,"full","unknown"))))</f>
        <v/>
      </c>
      <c r="E958" s="9"/>
      <c r="F958" s="9"/>
      <c r="G958" s="9"/>
      <c r="H958" s="9"/>
      <c r="I958" s="12"/>
      <c r="J958" s="9"/>
      <c r="K958" s="9"/>
      <c r="L958" s="9"/>
      <c r="M958" s="9"/>
      <c r="N958" s="9"/>
      <c r="O958" s="13" t="str">
        <f aca="false">IF(C958="","",IF(N(M958)+N(N958)&lt;Settings!$C$9,"untested",M958/(M958+N958)))</f>
        <v/>
      </c>
      <c r="P958" s="9"/>
      <c r="Q958" s="9"/>
      <c r="R958" s="9"/>
      <c r="S958" s="12"/>
      <c r="T958" s="9"/>
      <c r="U958" s="9"/>
      <c r="V958" s="9"/>
      <c r="W958" s="10" t="str">
        <f aca="false">IF(C958="","",IF(OR(G958="training",G958="full"),"Yes",IF(G958="none","No","?")))</f>
        <v/>
      </c>
      <c r="X958" s="10" t="str">
        <f aca="false">IF(C958="","",IF(OR(E958="",E958="unknown"),D958,E958))</f>
        <v/>
      </c>
      <c r="Y958" s="10" t="str">
        <f aca="false">IF(C958="","",IF(OR(T958="unsuitable",T958="retired",X958="no"),"—",IF(J958="","unrated",IF(AND(X958="full",J958&gt;=Settings!$C$5,OR(O958="untested",O958&gt;=Settings!$C$6)),"A",IF(AND(OR(X958="full",X958="reduced"),J958&gt;=Settings!$C$7,OR(O958="untested",O958&gt;=Settings!$C$8)),"B","C")))))</f>
        <v/>
      </c>
      <c r="Z958" s="11" t="str">
        <f aca="false">IF(C958="","",IF(P958&lt;&gt;"",P958,Y958))</f>
        <v/>
      </c>
    </row>
    <row r="959" customFormat="false" ht="15" hidden="false" customHeight="false" outlineLevel="0" collapsed="false">
      <c r="A959" s="9"/>
      <c r="B959" s="10" t="str">
        <f aca="false">IF(A959="","",IFERROR(INDEX(Parks!$A$2:$A$255,MATCH(A959,Parks!$B$2:$B$255,0)),"?"))</f>
        <v/>
      </c>
      <c r="C959" s="9"/>
      <c r="D959" s="10" t="str">
        <f aca="false">IF(C959="","",IF(SUMPRODUCT(--ISNUMBER(SEARCH({"Nets","Wicket","Diamond","Softball","T-ball","Baseball","Netball","Tennis","Bocce","Pentaque","Petanque","Skate","Car Park","Pond","Bridle","Amphitheatre","Perimeter","Passive"},C959)))&gt;0,"no",IF(SUMPRODUCT(--ISNUMBER(SEARCH({"Cricket","Junior","Mini","Summer Football","Small"},C959)))&gt;0,"reduced",IF(SUMPRODUCT(--ISNUMBER(SEARCH({"Rugby","Football","League","Touch","Gaelic","Australian","Lacrosse","General Sport","Training Area","Ultimate"},C959)))&gt;0,"full","unknown"))))</f>
        <v/>
      </c>
      <c r="E959" s="9"/>
      <c r="F959" s="9"/>
      <c r="G959" s="9"/>
      <c r="H959" s="9"/>
      <c r="I959" s="12"/>
      <c r="J959" s="9"/>
      <c r="K959" s="9"/>
      <c r="L959" s="9"/>
      <c r="M959" s="9"/>
      <c r="N959" s="9"/>
      <c r="O959" s="13" t="str">
        <f aca="false">IF(C959="","",IF(N(M959)+N(N959)&lt;Settings!$C$9,"untested",M959/(M959+N959)))</f>
        <v/>
      </c>
      <c r="P959" s="9"/>
      <c r="Q959" s="9"/>
      <c r="R959" s="9"/>
      <c r="S959" s="12"/>
      <c r="T959" s="9"/>
      <c r="U959" s="9"/>
      <c r="V959" s="9"/>
      <c r="W959" s="10" t="str">
        <f aca="false">IF(C959="","",IF(OR(G959="training",G959="full"),"Yes",IF(G959="none","No","?")))</f>
        <v/>
      </c>
      <c r="X959" s="10" t="str">
        <f aca="false">IF(C959="","",IF(OR(E959="",E959="unknown"),D959,E959))</f>
        <v/>
      </c>
      <c r="Y959" s="10" t="str">
        <f aca="false">IF(C959="","",IF(OR(T959="unsuitable",T959="retired",X959="no"),"—",IF(J959="","unrated",IF(AND(X959="full",J959&gt;=Settings!$C$5,OR(O959="untested",O959&gt;=Settings!$C$6)),"A",IF(AND(OR(X959="full",X959="reduced"),J959&gt;=Settings!$C$7,OR(O959="untested",O959&gt;=Settings!$C$8)),"B","C")))))</f>
        <v/>
      </c>
      <c r="Z959" s="11" t="str">
        <f aca="false">IF(C959="","",IF(P959&lt;&gt;"",P959,Y959))</f>
        <v/>
      </c>
    </row>
    <row r="960" customFormat="false" ht="15" hidden="false" customHeight="false" outlineLevel="0" collapsed="false">
      <c r="A960" s="9"/>
      <c r="B960" s="10" t="str">
        <f aca="false">IF(A960="","",IFERROR(INDEX(Parks!$A$2:$A$255,MATCH(A960,Parks!$B$2:$B$255,0)),"?"))</f>
        <v/>
      </c>
      <c r="C960" s="9"/>
      <c r="D960" s="10" t="str">
        <f aca="false">IF(C960="","",IF(SUMPRODUCT(--ISNUMBER(SEARCH({"Nets","Wicket","Diamond","Softball","T-ball","Baseball","Netball","Tennis","Bocce","Pentaque","Petanque","Skate","Car Park","Pond","Bridle","Amphitheatre","Perimeter","Passive"},C960)))&gt;0,"no",IF(SUMPRODUCT(--ISNUMBER(SEARCH({"Cricket","Junior","Mini","Summer Football","Small"},C960)))&gt;0,"reduced",IF(SUMPRODUCT(--ISNUMBER(SEARCH({"Rugby","Football","League","Touch","Gaelic","Australian","Lacrosse","General Sport","Training Area","Ultimate"},C960)))&gt;0,"full","unknown"))))</f>
        <v/>
      </c>
      <c r="E960" s="9"/>
      <c r="F960" s="9"/>
      <c r="G960" s="9"/>
      <c r="H960" s="9"/>
      <c r="I960" s="12"/>
      <c r="J960" s="9"/>
      <c r="K960" s="9"/>
      <c r="L960" s="9"/>
      <c r="M960" s="9"/>
      <c r="N960" s="9"/>
      <c r="O960" s="13" t="str">
        <f aca="false">IF(C960="","",IF(N(M960)+N(N960)&lt;Settings!$C$9,"untested",M960/(M960+N960)))</f>
        <v/>
      </c>
      <c r="P960" s="9"/>
      <c r="Q960" s="9"/>
      <c r="R960" s="9"/>
      <c r="S960" s="12"/>
      <c r="T960" s="9"/>
      <c r="U960" s="9"/>
      <c r="V960" s="9"/>
      <c r="W960" s="10" t="str">
        <f aca="false">IF(C960="","",IF(OR(G960="training",G960="full"),"Yes",IF(G960="none","No","?")))</f>
        <v/>
      </c>
      <c r="X960" s="10" t="str">
        <f aca="false">IF(C960="","",IF(OR(E960="",E960="unknown"),D960,E960))</f>
        <v/>
      </c>
      <c r="Y960" s="10" t="str">
        <f aca="false">IF(C960="","",IF(OR(T960="unsuitable",T960="retired",X960="no"),"—",IF(J960="","unrated",IF(AND(X960="full",J960&gt;=Settings!$C$5,OR(O960="untested",O960&gt;=Settings!$C$6)),"A",IF(AND(OR(X960="full",X960="reduced"),J960&gt;=Settings!$C$7,OR(O960="untested",O960&gt;=Settings!$C$8)),"B","C")))))</f>
        <v/>
      </c>
      <c r="Z960" s="11" t="str">
        <f aca="false">IF(C960="","",IF(P960&lt;&gt;"",P960,Y960))</f>
        <v/>
      </c>
    </row>
    <row r="961" customFormat="false" ht="15" hidden="false" customHeight="false" outlineLevel="0" collapsed="false">
      <c r="A961" s="9"/>
      <c r="B961" s="10" t="str">
        <f aca="false">IF(A961="","",IFERROR(INDEX(Parks!$A$2:$A$255,MATCH(A961,Parks!$B$2:$B$255,0)),"?"))</f>
        <v/>
      </c>
      <c r="C961" s="9"/>
      <c r="D961" s="10" t="str">
        <f aca="false">IF(C961="","",IF(SUMPRODUCT(--ISNUMBER(SEARCH({"Nets","Wicket","Diamond","Softball","T-ball","Baseball","Netball","Tennis","Bocce","Pentaque","Petanque","Skate","Car Park","Pond","Bridle","Amphitheatre","Perimeter","Passive"},C961)))&gt;0,"no",IF(SUMPRODUCT(--ISNUMBER(SEARCH({"Cricket","Junior","Mini","Summer Football","Small"},C961)))&gt;0,"reduced",IF(SUMPRODUCT(--ISNUMBER(SEARCH({"Rugby","Football","League","Touch","Gaelic","Australian","Lacrosse","General Sport","Training Area","Ultimate"},C961)))&gt;0,"full","unknown"))))</f>
        <v/>
      </c>
      <c r="E961" s="9"/>
      <c r="F961" s="9"/>
      <c r="G961" s="9"/>
      <c r="H961" s="9"/>
      <c r="I961" s="12"/>
      <c r="J961" s="9"/>
      <c r="K961" s="9"/>
      <c r="L961" s="9"/>
      <c r="M961" s="9"/>
      <c r="N961" s="9"/>
      <c r="O961" s="13" t="str">
        <f aca="false">IF(C961="","",IF(N(M961)+N(N961)&lt;Settings!$C$9,"untested",M961/(M961+N961)))</f>
        <v/>
      </c>
      <c r="P961" s="9"/>
      <c r="Q961" s="9"/>
      <c r="R961" s="9"/>
      <c r="S961" s="12"/>
      <c r="T961" s="9"/>
      <c r="U961" s="9"/>
      <c r="V961" s="9"/>
      <c r="W961" s="10" t="str">
        <f aca="false">IF(C961="","",IF(OR(G961="training",G961="full"),"Yes",IF(G961="none","No","?")))</f>
        <v/>
      </c>
      <c r="X961" s="10" t="str">
        <f aca="false">IF(C961="","",IF(OR(E961="",E961="unknown"),D961,E961))</f>
        <v/>
      </c>
      <c r="Y961" s="10" t="str">
        <f aca="false">IF(C961="","",IF(OR(T961="unsuitable",T961="retired",X961="no"),"—",IF(J961="","unrated",IF(AND(X961="full",J961&gt;=Settings!$C$5,OR(O961="untested",O961&gt;=Settings!$C$6)),"A",IF(AND(OR(X961="full",X961="reduced"),J961&gt;=Settings!$C$7,OR(O961="untested",O961&gt;=Settings!$C$8)),"B","C")))))</f>
        <v/>
      </c>
      <c r="Z961" s="11" t="str">
        <f aca="false">IF(C961="","",IF(P961&lt;&gt;"",P961,Y961))</f>
        <v/>
      </c>
    </row>
    <row r="962" customFormat="false" ht="15" hidden="false" customHeight="false" outlineLevel="0" collapsed="false">
      <c r="A962" s="9"/>
      <c r="B962" s="10" t="str">
        <f aca="false">IF(A962="","",IFERROR(INDEX(Parks!$A$2:$A$255,MATCH(A962,Parks!$B$2:$B$255,0)),"?"))</f>
        <v/>
      </c>
      <c r="C962" s="9"/>
      <c r="D962" s="10" t="str">
        <f aca="false">IF(C962="","",IF(SUMPRODUCT(--ISNUMBER(SEARCH({"Nets","Wicket","Diamond","Softball","T-ball","Baseball","Netball","Tennis","Bocce","Pentaque","Petanque","Skate","Car Park","Pond","Bridle","Amphitheatre","Perimeter","Passive"},C962)))&gt;0,"no",IF(SUMPRODUCT(--ISNUMBER(SEARCH({"Cricket","Junior","Mini","Summer Football","Small"},C962)))&gt;0,"reduced",IF(SUMPRODUCT(--ISNUMBER(SEARCH({"Rugby","Football","League","Touch","Gaelic","Australian","Lacrosse","General Sport","Training Area","Ultimate"},C962)))&gt;0,"full","unknown"))))</f>
        <v/>
      </c>
      <c r="E962" s="9"/>
      <c r="F962" s="9"/>
      <c r="G962" s="9"/>
      <c r="H962" s="9"/>
      <c r="I962" s="12"/>
      <c r="J962" s="9"/>
      <c r="K962" s="9"/>
      <c r="L962" s="9"/>
      <c r="M962" s="9"/>
      <c r="N962" s="9"/>
      <c r="O962" s="13" t="str">
        <f aca="false">IF(C962="","",IF(N(M962)+N(N962)&lt;Settings!$C$9,"untested",M962/(M962+N962)))</f>
        <v/>
      </c>
      <c r="P962" s="9"/>
      <c r="Q962" s="9"/>
      <c r="R962" s="9"/>
      <c r="S962" s="12"/>
      <c r="T962" s="9"/>
      <c r="U962" s="9"/>
      <c r="V962" s="9"/>
      <c r="W962" s="10" t="str">
        <f aca="false">IF(C962="","",IF(OR(G962="training",G962="full"),"Yes",IF(G962="none","No","?")))</f>
        <v/>
      </c>
      <c r="X962" s="10" t="str">
        <f aca="false">IF(C962="","",IF(OR(E962="",E962="unknown"),D962,E962))</f>
        <v/>
      </c>
      <c r="Y962" s="10" t="str">
        <f aca="false">IF(C962="","",IF(OR(T962="unsuitable",T962="retired",X962="no"),"—",IF(J962="","unrated",IF(AND(X962="full",J962&gt;=Settings!$C$5,OR(O962="untested",O962&gt;=Settings!$C$6)),"A",IF(AND(OR(X962="full",X962="reduced"),J962&gt;=Settings!$C$7,OR(O962="untested",O962&gt;=Settings!$C$8)),"B","C")))))</f>
        <v/>
      </c>
      <c r="Z962" s="11" t="str">
        <f aca="false">IF(C962="","",IF(P962&lt;&gt;"",P962,Y962))</f>
        <v/>
      </c>
    </row>
    <row r="963" customFormat="false" ht="15" hidden="false" customHeight="false" outlineLevel="0" collapsed="false">
      <c r="A963" s="9"/>
      <c r="B963" s="10" t="str">
        <f aca="false">IF(A963="","",IFERROR(INDEX(Parks!$A$2:$A$255,MATCH(A963,Parks!$B$2:$B$255,0)),"?"))</f>
        <v/>
      </c>
      <c r="C963" s="9"/>
      <c r="D963" s="10" t="str">
        <f aca="false">IF(C963="","",IF(SUMPRODUCT(--ISNUMBER(SEARCH({"Nets","Wicket","Diamond","Softball","T-ball","Baseball","Netball","Tennis","Bocce","Pentaque","Petanque","Skate","Car Park","Pond","Bridle","Amphitheatre","Perimeter","Passive"},C963)))&gt;0,"no",IF(SUMPRODUCT(--ISNUMBER(SEARCH({"Cricket","Junior","Mini","Summer Football","Small"},C963)))&gt;0,"reduced",IF(SUMPRODUCT(--ISNUMBER(SEARCH({"Rugby","Football","League","Touch","Gaelic","Australian","Lacrosse","General Sport","Training Area","Ultimate"},C963)))&gt;0,"full","unknown"))))</f>
        <v/>
      </c>
      <c r="E963" s="9"/>
      <c r="F963" s="9"/>
      <c r="G963" s="9"/>
      <c r="H963" s="9"/>
      <c r="I963" s="12"/>
      <c r="J963" s="9"/>
      <c r="K963" s="9"/>
      <c r="L963" s="9"/>
      <c r="M963" s="9"/>
      <c r="N963" s="9"/>
      <c r="O963" s="13" t="str">
        <f aca="false">IF(C963="","",IF(N(M963)+N(N963)&lt;Settings!$C$9,"untested",M963/(M963+N963)))</f>
        <v/>
      </c>
      <c r="P963" s="9"/>
      <c r="Q963" s="9"/>
      <c r="R963" s="9"/>
      <c r="S963" s="12"/>
      <c r="T963" s="9"/>
      <c r="U963" s="9"/>
      <c r="V963" s="9"/>
      <c r="W963" s="10" t="str">
        <f aca="false">IF(C963="","",IF(OR(G963="training",G963="full"),"Yes",IF(G963="none","No","?")))</f>
        <v/>
      </c>
      <c r="X963" s="10" t="str">
        <f aca="false">IF(C963="","",IF(OR(E963="",E963="unknown"),D963,E963))</f>
        <v/>
      </c>
      <c r="Y963" s="10" t="str">
        <f aca="false">IF(C963="","",IF(OR(T963="unsuitable",T963="retired",X963="no"),"—",IF(J963="","unrated",IF(AND(X963="full",J963&gt;=Settings!$C$5,OR(O963="untested",O963&gt;=Settings!$C$6)),"A",IF(AND(OR(X963="full",X963="reduced"),J963&gt;=Settings!$C$7,OR(O963="untested",O963&gt;=Settings!$C$8)),"B","C")))))</f>
        <v/>
      </c>
      <c r="Z963" s="11" t="str">
        <f aca="false">IF(C963="","",IF(P963&lt;&gt;"",P963,Y963))</f>
        <v/>
      </c>
    </row>
    <row r="964" customFormat="false" ht="15" hidden="false" customHeight="false" outlineLevel="0" collapsed="false">
      <c r="A964" s="9"/>
      <c r="B964" s="10" t="str">
        <f aca="false">IF(A964="","",IFERROR(INDEX(Parks!$A$2:$A$255,MATCH(A964,Parks!$B$2:$B$255,0)),"?"))</f>
        <v/>
      </c>
      <c r="C964" s="9"/>
      <c r="D964" s="10" t="str">
        <f aca="false">IF(C964="","",IF(SUMPRODUCT(--ISNUMBER(SEARCH({"Nets","Wicket","Diamond","Softball","T-ball","Baseball","Netball","Tennis","Bocce","Pentaque","Petanque","Skate","Car Park","Pond","Bridle","Amphitheatre","Perimeter","Passive"},C964)))&gt;0,"no",IF(SUMPRODUCT(--ISNUMBER(SEARCH({"Cricket","Junior","Mini","Summer Football","Small"},C964)))&gt;0,"reduced",IF(SUMPRODUCT(--ISNUMBER(SEARCH({"Rugby","Football","League","Touch","Gaelic","Australian","Lacrosse","General Sport","Training Area","Ultimate"},C964)))&gt;0,"full","unknown"))))</f>
        <v/>
      </c>
      <c r="E964" s="9"/>
      <c r="F964" s="9"/>
      <c r="G964" s="9"/>
      <c r="H964" s="9"/>
      <c r="I964" s="12"/>
      <c r="J964" s="9"/>
      <c r="K964" s="9"/>
      <c r="L964" s="9"/>
      <c r="M964" s="9"/>
      <c r="N964" s="9"/>
      <c r="O964" s="13" t="str">
        <f aca="false">IF(C964="","",IF(N(M964)+N(N964)&lt;Settings!$C$9,"untested",M964/(M964+N964)))</f>
        <v/>
      </c>
      <c r="P964" s="9"/>
      <c r="Q964" s="9"/>
      <c r="R964" s="9"/>
      <c r="S964" s="12"/>
      <c r="T964" s="9"/>
      <c r="U964" s="9"/>
      <c r="V964" s="9"/>
      <c r="W964" s="10" t="str">
        <f aca="false">IF(C964="","",IF(OR(G964="training",G964="full"),"Yes",IF(G964="none","No","?")))</f>
        <v/>
      </c>
      <c r="X964" s="10" t="str">
        <f aca="false">IF(C964="","",IF(OR(E964="",E964="unknown"),D964,E964))</f>
        <v/>
      </c>
      <c r="Y964" s="10" t="str">
        <f aca="false">IF(C964="","",IF(OR(T964="unsuitable",T964="retired",X964="no"),"—",IF(J964="","unrated",IF(AND(X964="full",J964&gt;=Settings!$C$5,OR(O964="untested",O964&gt;=Settings!$C$6)),"A",IF(AND(OR(X964="full",X964="reduced"),J964&gt;=Settings!$C$7,OR(O964="untested",O964&gt;=Settings!$C$8)),"B","C")))))</f>
        <v/>
      </c>
      <c r="Z964" s="11" t="str">
        <f aca="false">IF(C964="","",IF(P964&lt;&gt;"",P964,Y964))</f>
        <v/>
      </c>
    </row>
    <row r="965" customFormat="false" ht="15" hidden="false" customHeight="false" outlineLevel="0" collapsed="false">
      <c r="A965" s="9"/>
      <c r="B965" s="10" t="str">
        <f aca="false">IF(A965="","",IFERROR(INDEX(Parks!$A$2:$A$255,MATCH(A965,Parks!$B$2:$B$255,0)),"?"))</f>
        <v/>
      </c>
      <c r="C965" s="9"/>
      <c r="D965" s="10" t="str">
        <f aca="false">IF(C965="","",IF(SUMPRODUCT(--ISNUMBER(SEARCH({"Nets","Wicket","Diamond","Softball","T-ball","Baseball","Netball","Tennis","Bocce","Pentaque","Petanque","Skate","Car Park","Pond","Bridle","Amphitheatre","Perimeter","Passive"},C965)))&gt;0,"no",IF(SUMPRODUCT(--ISNUMBER(SEARCH({"Cricket","Junior","Mini","Summer Football","Small"},C965)))&gt;0,"reduced",IF(SUMPRODUCT(--ISNUMBER(SEARCH({"Rugby","Football","League","Touch","Gaelic","Australian","Lacrosse","General Sport","Training Area","Ultimate"},C965)))&gt;0,"full","unknown"))))</f>
        <v/>
      </c>
      <c r="E965" s="9"/>
      <c r="F965" s="9"/>
      <c r="G965" s="9"/>
      <c r="H965" s="9"/>
      <c r="I965" s="12"/>
      <c r="J965" s="9"/>
      <c r="K965" s="9"/>
      <c r="L965" s="9"/>
      <c r="M965" s="9"/>
      <c r="N965" s="9"/>
      <c r="O965" s="13" t="str">
        <f aca="false">IF(C965="","",IF(N(M965)+N(N965)&lt;Settings!$C$9,"untested",M965/(M965+N965)))</f>
        <v/>
      </c>
      <c r="P965" s="9"/>
      <c r="Q965" s="9"/>
      <c r="R965" s="9"/>
      <c r="S965" s="12"/>
      <c r="T965" s="9"/>
      <c r="U965" s="9"/>
      <c r="V965" s="9"/>
      <c r="W965" s="10" t="str">
        <f aca="false">IF(C965="","",IF(OR(G965="training",G965="full"),"Yes",IF(G965="none","No","?")))</f>
        <v/>
      </c>
      <c r="X965" s="10" t="str">
        <f aca="false">IF(C965="","",IF(OR(E965="",E965="unknown"),D965,E965))</f>
        <v/>
      </c>
      <c r="Y965" s="10" t="str">
        <f aca="false">IF(C965="","",IF(OR(T965="unsuitable",T965="retired",X965="no"),"—",IF(J965="","unrated",IF(AND(X965="full",J965&gt;=Settings!$C$5,OR(O965="untested",O965&gt;=Settings!$C$6)),"A",IF(AND(OR(X965="full",X965="reduced"),J965&gt;=Settings!$C$7,OR(O965="untested",O965&gt;=Settings!$C$8)),"B","C")))))</f>
        <v/>
      </c>
      <c r="Z965" s="11" t="str">
        <f aca="false">IF(C965="","",IF(P965&lt;&gt;"",P965,Y965))</f>
        <v/>
      </c>
    </row>
    <row r="966" customFormat="false" ht="15" hidden="false" customHeight="false" outlineLevel="0" collapsed="false">
      <c r="A966" s="9"/>
      <c r="B966" s="10" t="str">
        <f aca="false">IF(A966="","",IFERROR(INDEX(Parks!$A$2:$A$255,MATCH(A966,Parks!$B$2:$B$255,0)),"?"))</f>
        <v/>
      </c>
      <c r="C966" s="9"/>
      <c r="D966" s="10" t="str">
        <f aca="false">IF(C966="","",IF(SUMPRODUCT(--ISNUMBER(SEARCH({"Nets","Wicket","Diamond","Softball","T-ball","Baseball","Netball","Tennis","Bocce","Pentaque","Petanque","Skate","Car Park","Pond","Bridle","Amphitheatre","Perimeter","Passive"},C966)))&gt;0,"no",IF(SUMPRODUCT(--ISNUMBER(SEARCH({"Cricket","Junior","Mini","Summer Football","Small"},C966)))&gt;0,"reduced",IF(SUMPRODUCT(--ISNUMBER(SEARCH({"Rugby","Football","League","Touch","Gaelic","Australian","Lacrosse","General Sport","Training Area","Ultimate"},C966)))&gt;0,"full","unknown"))))</f>
        <v/>
      </c>
      <c r="E966" s="9"/>
      <c r="F966" s="9"/>
      <c r="G966" s="9"/>
      <c r="H966" s="9"/>
      <c r="I966" s="12"/>
      <c r="J966" s="9"/>
      <c r="K966" s="9"/>
      <c r="L966" s="9"/>
      <c r="M966" s="9"/>
      <c r="N966" s="9"/>
      <c r="O966" s="13" t="str">
        <f aca="false">IF(C966="","",IF(N(M966)+N(N966)&lt;Settings!$C$9,"untested",M966/(M966+N966)))</f>
        <v/>
      </c>
      <c r="P966" s="9"/>
      <c r="Q966" s="9"/>
      <c r="R966" s="9"/>
      <c r="S966" s="12"/>
      <c r="T966" s="9"/>
      <c r="U966" s="9"/>
      <c r="V966" s="9"/>
      <c r="W966" s="10" t="str">
        <f aca="false">IF(C966="","",IF(OR(G966="training",G966="full"),"Yes",IF(G966="none","No","?")))</f>
        <v/>
      </c>
      <c r="X966" s="10" t="str">
        <f aca="false">IF(C966="","",IF(OR(E966="",E966="unknown"),D966,E966))</f>
        <v/>
      </c>
      <c r="Y966" s="10" t="str">
        <f aca="false">IF(C966="","",IF(OR(T966="unsuitable",T966="retired",X966="no"),"—",IF(J966="","unrated",IF(AND(X966="full",J966&gt;=Settings!$C$5,OR(O966="untested",O966&gt;=Settings!$C$6)),"A",IF(AND(OR(X966="full",X966="reduced"),J966&gt;=Settings!$C$7,OR(O966="untested",O966&gt;=Settings!$C$8)),"B","C")))))</f>
        <v/>
      </c>
      <c r="Z966" s="11" t="str">
        <f aca="false">IF(C966="","",IF(P966&lt;&gt;"",P966,Y966))</f>
        <v/>
      </c>
    </row>
    <row r="967" customFormat="false" ht="15" hidden="false" customHeight="false" outlineLevel="0" collapsed="false">
      <c r="A967" s="9"/>
      <c r="B967" s="10" t="str">
        <f aca="false">IF(A967="","",IFERROR(INDEX(Parks!$A$2:$A$255,MATCH(A967,Parks!$B$2:$B$255,0)),"?"))</f>
        <v/>
      </c>
      <c r="C967" s="9"/>
      <c r="D967" s="10" t="str">
        <f aca="false">IF(C967="","",IF(SUMPRODUCT(--ISNUMBER(SEARCH({"Nets","Wicket","Diamond","Softball","T-ball","Baseball","Netball","Tennis","Bocce","Pentaque","Petanque","Skate","Car Park","Pond","Bridle","Amphitheatre","Perimeter","Passive"},C967)))&gt;0,"no",IF(SUMPRODUCT(--ISNUMBER(SEARCH({"Cricket","Junior","Mini","Summer Football","Small"},C967)))&gt;0,"reduced",IF(SUMPRODUCT(--ISNUMBER(SEARCH({"Rugby","Football","League","Touch","Gaelic","Australian","Lacrosse","General Sport","Training Area","Ultimate"},C967)))&gt;0,"full","unknown"))))</f>
        <v/>
      </c>
      <c r="E967" s="9"/>
      <c r="F967" s="9"/>
      <c r="G967" s="9"/>
      <c r="H967" s="9"/>
      <c r="I967" s="12"/>
      <c r="J967" s="9"/>
      <c r="K967" s="9"/>
      <c r="L967" s="9"/>
      <c r="M967" s="9"/>
      <c r="N967" s="9"/>
      <c r="O967" s="13" t="str">
        <f aca="false">IF(C967="","",IF(N(M967)+N(N967)&lt;Settings!$C$9,"untested",M967/(M967+N967)))</f>
        <v/>
      </c>
      <c r="P967" s="9"/>
      <c r="Q967" s="9"/>
      <c r="R967" s="9"/>
      <c r="S967" s="12"/>
      <c r="T967" s="9"/>
      <c r="U967" s="9"/>
      <c r="V967" s="9"/>
      <c r="W967" s="10" t="str">
        <f aca="false">IF(C967="","",IF(OR(G967="training",G967="full"),"Yes",IF(G967="none","No","?")))</f>
        <v/>
      </c>
      <c r="X967" s="10" t="str">
        <f aca="false">IF(C967="","",IF(OR(E967="",E967="unknown"),D967,E967))</f>
        <v/>
      </c>
      <c r="Y967" s="10" t="str">
        <f aca="false">IF(C967="","",IF(OR(T967="unsuitable",T967="retired",X967="no"),"—",IF(J967="","unrated",IF(AND(X967="full",J967&gt;=Settings!$C$5,OR(O967="untested",O967&gt;=Settings!$C$6)),"A",IF(AND(OR(X967="full",X967="reduced"),J967&gt;=Settings!$C$7,OR(O967="untested",O967&gt;=Settings!$C$8)),"B","C")))))</f>
        <v/>
      </c>
      <c r="Z967" s="11" t="str">
        <f aca="false">IF(C967="","",IF(P967&lt;&gt;"",P967,Y967))</f>
        <v/>
      </c>
    </row>
    <row r="968" customFormat="false" ht="15" hidden="false" customHeight="false" outlineLevel="0" collapsed="false">
      <c r="A968" s="9"/>
      <c r="B968" s="10" t="str">
        <f aca="false">IF(A968="","",IFERROR(INDEX(Parks!$A$2:$A$255,MATCH(A968,Parks!$B$2:$B$255,0)),"?"))</f>
        <v/>
      </c>
      <c r="C968" s="9"/>
      <c r="D968" s="10" t="str">
        <f aca="false">IF(C968="","",IF(SUMPRODUCT(--ISNUMBER(SEARCH({"Nets","Wicket","Diamond","Softball","T-ball","Baseball","Netball","Tennis","Bocce","Pentaque","Petanque","Skate","Car Park","Pond","Bridle","Amphitheatre","Perimeter","Passive"},C968)))&gt;0,"no",IF(SUMPRODUCT(--ISNUMBER(SEARCH({"Cricket","Junior","Mini","Summer Football","Small"},C968)))&gt;0,"reduced",IF(SUMPRODUCT(--ISNUMBER(SEARCH({"Rugby","Football","League","Touch","Gaelic","Australian","Lacrosse","General Sport","Training Area","Ultimate"},C968)))&gt;0,"full","unknown"))))</f>
        <v/>
      </c>
      <c r="E968" s="9"/>
      <c r="F968" s="9"/>
      <c r="G968" s="9"/>
      <c r="H968" s="9"/>
      <c r="I968" s="12"/>
      <c r="J968" s="9"/>
      <c r="K968" s="9"/>
      <c r="L968" s="9"/>
      <c r="M968" s="9"/>
      <c r="N968" s="9"/>
      <c r="O968" s="13" t="str">
        <f aca="false">IF(C968="","",IF(N(M968)+N(N968)&lt;Settings!$C$9,"untested",M968/(M968+N968)))</f>
        <v/>
      </c>
      <c r="P968" s="9"/>
      <c r="Q968" s="9"/>
      <c r="R968" s="9"/>
      <c r="S968" s="12"/>
      <c r="T968" s="9"/>
      <c r="U968" s="9"/>
      <c r="V968" s="9"/>
      <c r="W968" s="10" t="str">
        <f aca="false">IF(C968="","",IF(OR(G968="training",G968="full"),"Yes",IF(G968="none","No","?")))</f>
        <v/>
      </c>
      <c r="X968" s="10" t="str">
        <f aca="false">IF(C968="","",IF(OR(E968="",E968="unknown"),D968,E968))</f>
        <v/>
      </c>
      <c r="Y968" s="10" t="str">
        <f aca="false">IF(C968="","",IF(OR(T968="unsuitable",T968="retired",X968="no"),"—",IF(J968="","unrated",IF(AND(X968="full",J968&gt;=Settings!$C$5,OR(O968="untested",O968&gt;=Settings!$C$6)),"A",IF(AND(OR(X968="full",X968="reduced"),J968&gt;=Settings!$C$7,OR(O968="untested",O968&gt;=Settings!$C$8)),"B","C")))))</f>
        <v/>
      </c>
      <c r="Z968" s="11" t="str">
        <f aca="false">IF(C968="","",IF(P968&lt;&gt;"",P968,Y968))</f>
        <v/>
      </c>
    </row>
    <row r="969" customFormat="false" ht="15" hidden="false" customHeight="false" outlineLevel="0" collapsed="false">
      <c r="A969" s="9"/>
      <c r="B969" s="10" t="str">
        <f aca="false">IF(A969="","",IFERROR(INDEX(Parks!$A$2:$A$255,MATCH(A969,Parks!$B$2:$B$255,0)),"?"))</f>
        <v/>
      </c>
      <c r="C969" s="9"/>
      <c r="D969" s="10" t="str">
        <f aca="false">IF(C969="","",IF(SUMPRODUCT(--ISNUMBER(SEARCH({"Nets","Wicket","Diamond","Softball","T-ball","Baseball","Netball","Tennis","Bocce","Pentaque","Petanque","Skate","Car Park","Pond","Bridle","Amphitheatre","Perimeter","Passive"},C969)))&gt;0,"no",IF(SUMPRODUCT(--ISNUMBER(SEARCH({"Cricket","Junior","Mini","Summer Football","Small"},C969)))&gt;0,"reduced",IF(SUMPRODUCT(--ISNUMBER(SEARCH({"Rugby","Football","League","Touch","Gaelic","Australian","Lacrosse","General Sport","Training Area","Ultimate"},C969)))&gt;0,"full","unknown"))))</f>
        <v/>
      </c>
      <c r="E969" s="9"/>
      <c r="F969" s="9"/>
      <c r="G969" s="9"/>
      <c r="H969" s="9"/>
      <c r="I969" s="12"/>
      <c r="J969" s="9"/>
      <c r="K969" s="9"/>
      <c r="L969" s="9"/>
      <c r="M969" s="9"/>
      <c r="N969" s="9"/>
      <c r="O969" s="13" t="str">
        <f aca="false">IF(C969="","",IF(N(M969)+N(N969)&lt;Settings!$C$9,"untested",M969/(M969+N969)))</f>
        <v/>
      </c>
      <c r="P969" s="9"/>
      <c r="Q969" s="9"/>
      <c r="R969" s="9"/>
      <c r="S969" s="12"/>
      <c r="T969" s="9"/>
      <c r="U969" s="9"/>
      <c r="V969" s="9"/>
      <c r="W969" s="10" t="str">
        <f aca="false">IF(C969="","",IF(OR(G969="training",G969="full"),"Yes",IF(G969="none","No","?")))</f>
        <v/>
      </c>
      <c r="X969" s="10" t="str">
        <f aca="false">IF(C969="","",IF(OR(E969="",E969="unknown"),D969,E969))</f>
        <v/>
      </c>
      <c r="Y969" s="10" t="str">
        <f aca="false">IF(C969="","",IF(OR(T969="unsuitable",T969="retired",X969="no"),"—",IF(J969="","unrated",IF(AND(X969="full",J969&gt;=Settings!$C$5,OR(O969="untested",O969&gt;=Settings!$C$6)),"A",IF(AND(OR(X969="full",X969="reduced"),J969&gt;=Settings!$C$7,OR(O969="untested",O969&gt;=Settings!$C$8)),"B","C")))))</f>
        <v/>
      </c>
      <c r="Z969" s="11" t="str">
        <f aca="false">IF(C969="","",IF(P969&lt;&gt;"",P969,Y969))</f>
        <v/>
      </c>
    </row>
    <row r="970" customFormat="false" ht="15" hidden="false" customHeight="false" outlineLevel="0" collapsed="false">
      <c r="A970" s="9"/>
      <c r="B970" s="10" t="str">
        <f aca="false">IF(A970="","",IFERROR(INDEX(Parks!$A$2:$A$255,MATCH(A970,Parks!$B$2:$B$255,0)),"?"))</f>
        <v/>
      </c>
      <c r="C970" s="9"/>
      <c r="D970" s="10" t="str">
        <f aca="false">IF(C970="","",IF(SUMPRODUCT(--ISNUMBER(SEARCH({"Nets","Wicket","Diamond","Softball","T-ball","Baseball","Netball","Tennis","Bocce","Pentaque","Petanque","Skate","Car Park","Pond","Bridle","Amphitheatre","Perimeter","Passive"},C970)))&gt;0,"no",IF(SUMPRODUCT(--ISNUMBER(SEARCH({"Cricket","Junior","Mini","Summer Football","Small"},C970)))&gt;0,"reduced",IF(SUMPRODUCT(--ISNUMBER(SEARCH({"Rugby","Football","League","Touch","Gaelic","Australian","Lacrosse","General Sport","Training Area","Ultimate"},C970)))&gt;0,"full","unknown"))))</f>
        <v/>
      </c>
      <c r="E970" s="9"/>
      <c r="F970" s="9"/>
      <c r="G970" s="9"/>
      <c r="H970" s="9"/>
      <c r="I970" s="12"/>
      <c r="J970" s="9"/>
      <c r="K970" s="9"/>
      <c r="L970" s="9"/>
      <c r="M970" s="9"/>
      <c r="N970" s="9"/>
      <c r="O970" s="13" t="str">
        <f aca="false">IF(C970="","",IF(N(M970)+N(N970)&lt;Settings!$C$9,"untested",M970/(M970+N970)))</f>
        <v/>
      </c>
      <c r="P970" s="9"/>
      <c r="Q970" s="9"/>
      <c r="R970" s="9"/>
      <c r="S970" s="12"/>
      <c r="T970" s="9"/>
      <c r="U970" s="9"/>
      <c r="V970" s="9"/>
      <c r="W970" s="10" t="str">
        <f aca="false">IF(C970="","",IF(OR(G970="training",G970="full"),"Yes",IF(G970="none","No","?")))</f>
        <v/>
      </c>
      <c r="X970" s="10" t="str">
        <f aca="false">IF(C970="","",IF(OR(E970="",E970="unknown"),D970,E970))</f>
        <v/>
      </c>
      <c r="Y970" s="10" t="str">
        <f aca="false">IF(C970="","",IF(OR(T970="unsuitable",T970="retired",X970="no"),"—",IF(J970="","unrated",IF(AND(X970="full",J970&gt;=Settings!$C$5,OR(O970="untested",O970&gt;=Settings!$C$6)),"A",IF(AND(OR(X970="full",X970="reduced"),J970&gt;=Settings!$C$7,OR(O970="untested",O970&gt;=Settings!$C$8)),"B","C")))))</f>
        <v/>
      </c>
      <c r="Z970" s="11" t="str">
        <f aca="false">IF(C970="","",IF(P970&lt;&gt;"",P970,Y970))</f>
        <v/>
      </c>
    </row>
    <row r="971" customFormat="false" ht="15" hidden="false" customHeight="false" outlineLevel="0" collapsed="false">
      <c r="A971" s="9"/>
      <c r="B971" s="10" t="str">
        <f aca="false">IF(A971="","",IFERROR(INDEX(Parks!$A$2:$A$255,MATCH(A971,Parks!$B$2:$B$255,0)),"?"))</f>
        <v/>
      </c>
      <c r="C971" s="9"/>
      <c r="D971" s="10" t="str">
        <f aca="false">IF(C971="","",IF(SUMPRODUCT(--ISNUMBER(SEARCH({"Nets","Wicket","Diamond","Softball","T-ball","Baseball","Netball","Tennis","Bocce","Pentaque","Petanque","Skate","Car Park","Pond","Bridle","Amphitheatre","Perimeter","Passive"},C971)))&gt;0,"no",IF(SUMPRODUCT(--ISNUMBER(SEARCH({"Cricket","Junior","Mini","Summer Football","Small"},C971)))&gt;0,"reduced",IF(SUMPRODUCT(--ISNUMBER(SEARCH({"Rugby","Football","League","Touch","Gaelic","Australian","Lacrosse","General Sport","Training Area","Ultimate"},C971)))&gt;0,"full","unknown"))))</f>
        <v/>
      </c>
      <c r="E971" s="9"/>
      <c r="F971" s="9"/>
      <c r="G971" s="9"/>
      <c r="H971" s="9"/>
      <c r="I971" s="12"/>
      <c r="J971" s="9"/>
      <c r="K971" s="9"/>
      <c r="L971" s="9"/>
      <c r="M971" s="9"/>
      <c r="N971" s="9"/>
      <c r="O971" s="13" t="str">
        <f aca="false">IF(C971="","",IF(N(M971)+N(N971)&lt;Settings!$C$9,"untested",M971/(M971+N971)))</f>
        <v/>
      </c>
      <c r="P971" s="9"/>
      <c r="Q971" s="9"/>
      <c r="R971" s="9"/>
      <c r="S971" s="12"/>
      <c r="T971" s="9"/>
      <c r="U971" s="9"/>
      <c r="V971" s="9"/>
      <c r="W971" s="10" t="str">
        <f aca="false">IF(C971="","",IF(OR(G971="training",G971="full"),"Yes",IF(G971="none","No","?")))</f>
        <v/>
      </c>
      <c r="X971" s="10" t="str">
        <f aca="false">IF(C971="","",IF(OR(E971="",E971="unknown"),D971,E971))</f>
        <v/>
      </c>
      <c r="Y971" s="10" t="str">
        <f aca="false">IF(C971="","",IF(OR(T971="unsuitable",T971="retired",X971="no"),"—",IF(J971="","unrated",IF(AND(X971="full",J971&gt;=Settings!$C$5,OR(O971="untested",O971&gt;=Settings!$C$6)),"A",IF(AND(OR(X971="full",X971="reduced"),J971&gt;=Settings!$C$7,OR(O971="untested",O971&gt;=Settings!$C$8)),"B","C")))))</f>
        <v/>
      </c>
      <c r="Z971" s="11" t="str">
        <f aca="false">IF(C971="","",IF(P971&lt;&gt;"",P971,Y971))</f>
        <v/>
      </c>
    </row>
    <row r="972" customFormat="false" ht="15" hidden="false" customHeight="false" outlineLevel="0" collapsed="false">
      <c r="A972" s="9"/>
      <c r="B972" s="10" t="str">
        <f aca="false">IF(A972="","",IFERROR(INDEX(Parks!$A$2:$A$255,MATCH(A972,Parks!$B$2:$B$255,0)),"?"))</f>
        <v/>
      </c>
      <c r="C972" s="9"/>
      <c r="D972" s="10" t="str">
        <f aca="false">IF(C972="","",IF(SUMPRODUCT(--ISNUMBER(SEARCH({"Nets","Wicket","Diamond","Softball","T-ball","Baseball","Netball","Tennis","Bocce","Pentaque","Petanque","Skate","Car Park","Pond","Bridle","Amphitheatre","Perimeter","Passive"},C972)))&gt;0,"no",IF(SUMPRODUCT(--ISNUMBER(SEARCH({"Cricket","Junior","Mini","Summer Football","Small"},C972)))&gt;0,"reduced",IF(SUMPRODUCT(--ISNUMBER(SEARCH({"Rugby","Football","League","Touch","Gaelic","Australian","Lacrosse","General Sport","Training Area","Ultimate"},C972)))&gt;0,"full","unknown"))))</f>
        <v/>
      </c>
      <c r="E972" s="9"/>
      <c r="F972" s="9"/>
      <c r="G972" s="9"/>
      <c r="H972" s="9"/>
      <c r="I972" s="12"/>
      <c r="J972" s="9"/>
      <c r="K972" s="9"/>
      <c r="L972" s="9"/>
      <c r="M972" s="9"/>
      <c r="N972" s="9"/>
      <c r="O972" s="13" t="str">
        <f aca="false">IF(C972="","",IF(N(M972)+N(N972)&lt;Settings!$C$9,"untested",M972/(M972+N972)))</f>
        <v/>
      </c>
      <c r="P972" s="9"/>
      <c r="Q972" s="9"/>
      <c r="R972" s="9"/>
      <c r="S972" s="12"/>
      <c r="T972" s="9"/>
      <c r="U972" s="9"/>
      <c r="V972" s="9"/>
      <c r="W972" s="10" t="str">
        <f aca="false">IF(C972="","",IF(OR(G972="training",G972="full"),"Yes",IF(G972="none","No","?")))</f>
        <v/>
      </c>
      <c r="X972" s="10" t="str">
        <f aca="false">IF(C972="","",IF(OR(E972="",E972="unknown"),D972,E972))</f>
        <v/>
      </c>
      <c r="Y972" s="10" t="str">
        <f aca="false">IF(C972="","",IF(OR(T972="unsuitable",T972="retired",X972="no"),"—",IF(J972="","unrated",IF(AND(X972="full",J972&gt;=Settings!$C$5,OR(O972="untested",O972&gt;=Settings!$C$6)),"A",IF(AND(OR(X972="full",X972="reduced"),J972&gt;=Settings!$C$7,OR(O972="untested",O972&gt;=Settings!$C$8)),"B","C")))))</f>
        <v/>
      </c>
      <c r="Z972" s="11" t="str">
        <f aca="false">IF(C972="","",IF(P972&lt;&gt;"",P972,Y972))</f>
        <v/>
      </c>
    </row>
    <row r="973" customFormat="false" ht="15" hidden="false" customHeight="false" outlineLevel="0" collapsed="false">
      <c r="A973" s="9"/>
      <c r="B973" s="10" t="str">
        <f aca="false">IF(A973="","",IFERROR(INDEX(Parks!$A$2:$A$255,MATCH(A973,Parks!$B$2:$B$255,0)),"?"))</f>
        <v/>
      </c>
      <c r="C973" s="9"/>
      <c r="D973" s="10" t="str">
        <f aca="false">IF(C973="","",IF(SUMPRODUCT(--ISNUMBER(SEARCH({"Nets","Wicket","Diamond","Softball","T-ball","Baseball","Netball","Tennis","Bocce","Pentaque","Petanque","Skate","Car Park","Pond","Bridle","Amphitheatre","Perimeter","Passive"},C973)))&gt;0,"no",IF(SUMPRODUCT(--ISNUMBER(SEARCH({"Cricket","Junior","Mini","Summer Football","Small"},C973)))&gt;0,"reduced",IF(SUMPRODUCT(--ISNUMBER(SEARCH({"Rugby","Football","League","Touch","Gaelic","Australian","Lacrosse","General Sport","Training Area","Ultimate"},C973)))&gt;0,"full","unknown"))))</f>
        <v/>
      </c>
      <c r="E973" s="9"/>
      <c r="F973" s="9"/>
      <c r="G973" s="9"/>
      <c r="H973" s="9"/>
      <c r="I973" s="12"/>
      <c r="J973" s="9"/>
      <c r="K973" s="9"/>
      <c r="L973" s="9"/>
      <c r="M973" s="9"/>
      <c r="N973" s="9"/>
      <c r="O973" s="13" t="str">
        <f aca="false">IF(C973="","",IF(N(M973)+N(N973)&lt;Settings!$C$9,"untested",M973/(M973+N973)))</f>
        <v/>
      </c>
      <c r="P973" s="9"/>
      <c r="Q973" s="9"/>
      <c r="R973" s="9"/>
      <c r="S973" s="12"/>
      <c r="T973" s="9"/>
      <c r="U973" s="9"/>
      <c r="V973" s="9"/>
      <c r="W973" s="10" t="str">
        <f aca="false">IF(C973="","",IF(OR(G973="training",G973="full"),"Yes",IF(G973="none","No","?")))</f>
        <v/>
      </c>
      <c r="X973" s="10" t="str">
        <f aca="false">IF(C973="","",IF(OR(E973="",E973="unknown"),D973,E973))</f>
        <v/>
      </c>
      <c r="Y973" s="10" t="str">
        <f aca="false">IF(C973="","",IF(OR(T973="unsuitable",T973="retired",X973="no"),"—",IF(J973="","unrated",IF(AND(X973="full",J973&gt;=Settings!$C$5,OR(O973="untested",O973&gt;=Settings!$C$6)),"A",IF(AND(OR(X973="full",X973="reduced"),J973&gt;=Settings!$C$7,OR(O973="untested",O973&gt;=Settings!$C$8)),"B","C")))))</f>
        <v/>
      </c>
      <c r="Z973" s="11" t="str">
        <f aca="false">IF(C973="","",IF(P973&lt;&gt;"",P973,Y973))</f>
        <v/>
      </c>
    </row>
    <row r="974" customFormat="false" ht="15" hidden="false" customHeight="false" outlineLevel="0" collapsed="false">
      <c r="A974" s="9"/>
      <c r="B974" s="10" t="str">
        <f aca="false">IF(A974="","",IFERROR(INDEX(Parks!$A$2:$A$255,MATCH(A974,Parks!$B$2:$B$255,0)),"?"))</f>
        <v/>
      </c>
      <c r="C974" s="9"/>
      <c r="D974" s="10" t="str">
        <f aca="false">IF(C974="","",IF(SUMPRODUCT(--ISNUMBER(SEARCH({"Nets","Wicket","Diamond","Softball","T-ball","Baseball","Netball","Tennis","Bocce","Pentaque","Petanque","Skate","Car Park","Pond","Bridle","Amphitheatre","Perimeter","Passive"},C974)))&gt;0,"no",IF(SUMPRODUCT(--ISNUMBER(SEARCH({"Cricket","Junior","Mini","Summer Football","Small"},C974)))&gt;0,"reduced",IF(SUMPRODUCT(--ISNUMBER(SEARCH({"Rugby","Football","League","Touch","Gaelic","Australian","Lacrosse","General Sport","Training Area","Ultimate"},C974)))&gt;0,"full","unknown"))))</f>
        <v/>
      </c>
      <c r="E974" s="9"/>
      <c r="F974" s="9"/>
      <c r="G974" s="9"/>
      <c r="H974" s="9"/>
      <c r="I974" s="12"/>
      <c r="J974" s="9"/>
      <c r="K974" s="9"/>
      <c r="L974" s="9"/>
      <c r="M974" s="9"/>
      <c r="N974" s="9"/>
      <c r="O974" s="13" t="str">
        <f aca="false">IF(C974="","",IF(N(M974)+N(N974)&lt;Settings!$C$9,"untested",M974/(M974+N974)))</f>
        <v/>
      </c>
      <c r="P974" s="9"/>
      <c r="Q974" s="9"/>
      <c r="R974" s="9"/>
      <c r="S974" s="12"/>
      <c r="T974" s="9"/>
      <c r="U974" s="9"/>
      <c r="V974" s="9"/>
      <c r="W974" s="10" t="str">
        <f aca="false">IF(C974="","",IF(OR(G974="training",G974="full"),"Yes",IF(G974="none","No","?")))</f>
        <v/>
      </c>
      <c r="X974" s="10" t="str">
        <f aca="false">IF(C974="","",IF(OR(E974="",E974="unknown"),D974,E974))</f>
        <v/>
      </c>
      <c r="Y974" s="10" t="str">
        <f aca="false">IF(C974="","",IF(OR(T974="unsuitable",T974="retired",X974="no"),"—",IF(J974="","unrated",IF(AND(X974="full",J974&gt;=Settings!$C$5,OR(O974="untested",O974&gt;=Settings!$C$6)),"A",IF(AND(OR(X974="full",X974="reduced"),J974&gt;=Settings!$C$7,OR(O974="untested",O974&gt;=Settings!$C$8)),"B","C")))))</f>
        <v/>
      </c>
      <c r="Z974" s="11" t="str">
        <f aca="false">IF(C974="","",IF(P974&lt;&gt;"",P974,Y974))</f>
        <v/>
      </c>
    </row>
    <row r="975" customFormat="false" ht="15" hidden="false" customHeight="false" outlineLevel="0" collapsed="false">
      <c r="A975" s="9"/>
      <c r="B975" s="10" t="str">
        <f aca="false">IF(A975="","",IFERROR(INDEX(Parks!$A$2:$A$255,MATCH(A975,Parks!$B$2:$B$255,0)),"?"))</f>
        <v/>
      </c>
      <c r="C975" s="9"/>
      <c r="D975" s="10" t="str">
        <f aca="false">IF(C975="","",IF(SUMPRODUCT(--ISNUMBER(SEARCH({"Nets","Wicket","Diamond","Softball","T-ball","Baseball","Netball","Tennis","Bocce","Pentaque","Petanque","Skate","Car Park","Pond","Bridle","Amphitheatre","Perimeter","Passive"},C975)))&gt;0,"no",IF(SUMPRODUCT(--ISNUMBER(SEARCH({"Cricket","Junior","Mini","Summer Football","Small"},C975)))&gt;0,"reduced",IF(SUMPRODUCT(--ISNUMBER(SEARCH({"Rugby","Football","League","Touch","Gaelic","Australian","Lacrosse","General Sport","Training Area","Ultimate"},C975)))&gt;0,"full","unknown"))))</f>
        <v/>
      </c>
      <c r="E975" s="9"/>
      <c r="F975" s="9"/>
      <c r="G975" s="9"/>
      <c r="H975" s="9"/>
      <c r="I975" s="12"/>
      <c r="J975" s="9"/>
      <c r="K975" s="9"/>
      <c r="L975" s="9"/>
      <c r="M975" s="9"/>
      <c r="N975" s="9"/>
      <c r="O975" s="13" t="str">
        <f aca="false">IF(C975="","",IF(N(M975)+N(N975)&lt;Settings!$C$9,"untested",M975/(M975+N975)))</f>
        <v/>
      </c>
      <c r="P975" s="9"/>
      <c r="Q975" s="9"/>
      <c r="R975" s="9"/>
      <c r="S975" s="12"/>
      <c r="T975" s="9"/>
      <c r="U975" s="9"/>
      <c r="V975" s="9"/>
      <c r="W975" s="10" t="str">
        <f aca="false">IF(C975="","",IF(OR(G975="training",G975="full"),"Yes",IF(G975="none","No","?")))</f>
        <v/>
      </c>
      <c r="X975" s="10" t="str">
        <f aca="false">IF(C975="","",IF(OR(E975="",E975="unknown"),D975,E975))</f>
        <v/>
      </c>
      <c r="Y975" s="10" t="str">
        <f aca="false">IF(C975="","",IF(OR(T975="unsuitable",T975="retired",X975="no"),"—",IF(J975="","unrated",IF(AND(X975="full",J975&gt;=Settings!$C$5,OR(O975="untested",O975&gt;=Settings!$C$6)),"A",IF(AND(OR(X975="full",X975="reduced"),J975&gt;=Settings!$C$7,OR(O975="untested",O975&gt;=Settings!$C$8)),"B","C")))))</f>
        <v/>
      </c>
      <c r="Z975" s="11" t="str">
        <f aca="false">IF(C975="","",IF(P975&lt;&gt;"",P975,Y975))</f>
        <v/>
      </c>
    </row>
    <row r="976" customFormat="false" ht="15" hidden="false" customHeight="false" outlineLevel="0" collapsed="false">
      <c r="A976" s="9"/>
      <c r="B976" s="10" t="str">
        <f aca="false">IF(A976="","",IFERROR(INDEX(Parks!$A$2:$A$255,MATCH(A976,Parks!$B$2:$B$255,0)),"?"))</f>
        <v/>
      </c>
      <c r="C976" s="9"/>
      <c r="D976" s="10" t="str">
        <f aca="false">IF(C976="","",IF(SUMPRODUCT(--ISNUMBER(SEARCH({"Nets","Wicket","Diamond","Softball","T-ball","Baseball","Netball","Tennis","Bocce","Pentaque","Petanque","Skate","Car Park","Pond","Bridle","Amphitheatre","Perimeter","Passive"},C976)))&gt;0,"no",IF(SUMPRODUCT(--ISNUMBER(SEARCH({"Cricket","Junior","Mini","Summer Football","Small"},C976)))&gt;0,"reduced",IF(SUMPRODUCT(--ISNUMBER(SEARCH({"Rugby","Football","League","Touch","Gaelic","Australian","Lacrosse","General Sport","Training Area","Ultimate"},C976)))&gt;0,"full","unknown"))))</f>
        <v/>
      </c>
      <c r="E976" s="9"/>
      <c r="F976" s="9"/>
      <c r="G976" s="9"/>
      <c r="H976" s="9"/>
      <c r="I976" s="12"/>
      <c r="J976" s="9"/>
      <c r="K976" s="9"/>
      <c r="L976" s="9"/>
      <c r="M976" s="9"/>
      <c r="N976" s="9"/>
      <c r="O976" s="13" t="str">
        <f aca="false">IF(C976="","",IF(N(M976)+N(N976)&lt;Settings!$C$9,"untested",M976/(M976+N976)))</f>
        <v/>
      </c>
      <c r="P976" s="9"/>
      <c r="Q976" s="9"/>
      <c r="R976" s="9"/>
      <c r="S976" s="12"/>
      <c r="T976" s="9"/>
      <c r="U976" s="9"/>
      <c r="V976" s="9"/>
      <c r="W976" s="10" t="str">
        <f aca="false">IF(C976="","",IF(OR(G976="training",G976="full"),"Yes",IF(G976="none","No","?")))</f>
        <v/>
      </c>
      <c r="X976" s="10" t="str">
        <f aca="false">IF(C976="","",IF(OR(E976="",E976="unknown"),D976,E976))</f>
        <v/>
      </c>
      <c r="Y976" s="10" t="str">
        <f aca="false">IF(C976="","",IF(OR(T976="unsuitable",T976="retired",X976="no"),"—",IF(J976="","unrated",IF(AND(X976="full",J976&gt;=Settings!$C$5,OR(O976="untested",O976&gt;=Settings!$C$6)),"A",IF(AND(OR(X976="full",X976="reduced"),J976&gt;=Settings!$C$7,OR(O976="untested",O976&gt;=Settings!$C$8)),"B","C")))))</f>
        <v/>
      </c>
      <c r="Z976" s="11" t="str">
        <f aca="false">IF(C976="","",IF(P976&lt;&gt;"",P976,Y976))</f>
        <v/>
      </c>
    </row>
    <row r="977" customFormat="false" ht="15" hidden="false" customHeight="false" outlineLevel="0" collapsed="false">
      <c r="A977" s="9"/>
      <c r="B977" s="10" t="str">
        <f aca="false">IF(A977="","",IFERROR(INDEX(Parks!$A$2:$A$255,MATCH(A977,Parks!$B$2:$B$255,0)),"?"))</f>
        <v/>
      </c>
      <c r="C977" s="9"/>
      <c r="D977" s="10" t="str">
        <f aca="false">IF(C977="","",IF(SUMPRODUCT(--ISNUMBER(SEARCH({"Nets","Wicket","Diamond","Softball","T-ball","Baseball","Netball","Tennis","Bocce","Pentaque","Petanque","Skate","Car Park","Pond","Bridle","Amphitheatre","Perimeter","Passive"},C977)))&gt;0,"no",IF(SUMPRODUCT(--ISNUMBER(SEARCH({"Cricket","Junior","Mini","Summer Football","Small"},C977)))&gt;0,"reduced",IF(SUMPRODUCT(--ISNUMBER(SEARCH({"Rugby","Football","League","Touch","Gaelic","Australian","Lacrosse","General Sport","Training Area","Ultimate"},C977)))&gt;0,"full","unknown"))))</f>
        <v/>
      </c>
      <c r="E977" s="9"/>
      <c r="F977" s="9"/>
      <c r="G977" s="9"/>
      <c r="H977" s="9"/>
      <c r="I977" s="12"/>
      <c r="J977" s="9"/>
      <c r="K977" s="9"/>
      <c r="L977" s="9"/>
      <c r="M977" s="9"/>
      <c r="N977" s="9"/>
      <c r="O977" s="13" t="str">
        <f aca="false">IF(C977="","",IF(N(M977)+N(N977)&lt;Settings!$C$9,"untested",M977/(M977+N977)))</f>
        <v/>
      </c>
      <c r="P977" s="9"/>
      <c r="Q977" s="9"/>
      <c r="R977" s="9"/>
      <c r="S977" s="12"/>
      <c r="T977" s="9"/>
      <c r="U977" s="9"/>
      <c r="V977" s="9"/>
      <c r="W977" s="10" t="str">
        <f aca="false">IF(C977="","",IF(OR(G977="training",G977="full"),"Yes",IF(G977="none","No","?")))</f>
        <v/>
      </c>
      <c r="X977" s="10" t="str">
        <f aca="false">IF(C977="","",IF(OR(E977="",E977="unknown"),D977,E977))</f>
        <v/>
      </c>
      <c r="Y977" s="10" t="str">
        <f aca="false">IF(C977="","",IF(OR(T977="unsuitable",T977="retired",X977="no"),"—",IF(J977="","unrated",IF(AND(X977="full",J977&gt;=Settings!$C$5,OR(O977="untested",O977&gt;=Settings!$C$6)),"A",IF(AND(OR(X977="full",X977="reduced"),J977&gt;=Settings!$C$7,OR(O977="untested",O977&gt;=Settings!$C$8)),"B","C")))))</f>
        <v/>
      </c>
      <c r="Z977" s="11" t="str">
        <f aca="false">IF(C977="","",IF(P977&lt;&gt;"",P977,Y977))</f>
        <v/>
      </c>
    </row>
    <row r="978" customFormat="false" ht="15" hidden="false" customHeight="false" outlineLevel="0" collapsed="false">
      <c r="A978" s="9"/>
      <c r="B978" s="10" t="str">
        <f aca="false">IF(A978="","",IFERROR(INDEX(Parks!$A$2:$A$255,MATCH(A978,Parks!$B$2:$B$255,0)),"?"))</f>
        <v/>
      </c>
      <c r="C978" s="9"/>
      <c r="D978" s="10" t="str">
        <f aca="false">IF(C978="","",IF(SUMPRODUCT(--ISNUMBER(SEARCH({"Nets","Wicket","Diamond","Softball","T-ball","Baseball","Netball","Tennis","Bocce","Pentaque","Petanque","Skate","Car Park","Pond","Bridle","Amphitheatre","Perimeter","Passive"},C978)))&gt;0,"no",IF(SUMPRODUCT(--ISNUMBER(SEARCH({"Cricket","Junior","Mini","Summer Football","Small"},C978)))&gt;0,"reduced",IF(SUMPRODUCT(--ISNUMBER(SEARCH({"Rugby","Football","League","Touch","Gaelic","Australian","Lacrosse","General Sport","Training Area","Ultimate"},C978)))&gt;0,"full","unknown"))))</f>
        <v/>
      </c>
      <c r="E978" s="9"/>
      <c r="F978" s="9"/>
      <c r="G978" s="9"/>
      <c r="H978" s="9"/>
      <c r="I978" s="12"/>
      <c r="J978" s="9"/>
      <c r="K978" s="9"/>
      <c r="L978" s="9"/>
      <c r="M978" s="9"/>
      <c r="N978" s="9"/>
      <c r="O978" s="13" t="str">
        <f aca="false">IF(C978="","",IF(N(M978)+N(N978)&lt;Settings!$C$9,"untested",M978/(M978+N978)))</f>
        <v/>
      </c>
      <c r="P978" s="9"/>
      <c r="Q978" s="9"/>
      <c r="R978" s="9"/>
      <c r="S978" s="12"/>
      <c r="T978" s="9"/>
      <c r="U978" s="9"/>
      <c r="V978" s="9"/>
      <c r="W978" s="10" t="str">
        <f aca="false">IF(C978="","",IF(OR(G978="training",G978="full"),"Yes",IF(G978="none","No","?")))</f>
        <v/>
      </c>
      <c r="X978" s="10" t="str">
        <f aca="false">IF(C978="","",IF(OR(E978="",E978="unknown"),D978,E978))</f>
        <v/>
      </c>
      <c r="Y978" s="10" t="str">
        <f aca="false">IF(C978="","",IF(OR(T978="unsuitable",T978="retired",X978="no"),"—",IF(J978="","unrated",IF(AND(X978="full",J978&gt;=Settings!$C$5,OR(O978="untested",O978&gt;=Settings!$C$6)),"A",IF(AND(OR(X978="full",X978="reduced"),J978&gt;=Settings!$C$7,OR(O978="untested",O978&gt;=Settings!$C$8)),"B","C")))))</f>
        <v/>
      </c>
      <c r="Z978" s="11" t="str">
        <f aca="false">IF(C978="","",IF(P978&lt;&gt;"",P978,Y978))</f>
        <v/>
      </c>
    </row>
    <row r="979" customFormat="false" ht="15" hidden="false" customHeight="false" outlineLevel="0" collapsed="false">
      <c r="A979" s="9"/>
      <c r="B979" s="10" t="str">
        <f aca="false">IF(A979="","",IFERROR(INDEX(Parks!$A$2:$A$255,MATCH(A979,Parks!$B$2:$B$255,0)),"?"))</f>
        <v/>
      </c>
      <c r="C979" s="9"/>
      <c r="D979" s="10" t="str">
        <f aca="false">IF(C979="","",IF(SUMPRODUCT(--ISNUMBER(SEARCH({"Nets","Wicket","Diamond","Softball","T-ball","Baseball","Netball","Tennis","Bocce","Pentaque","Petanque","Skate","Car Park","Pond","Bridle","Amphitheatre","Perimeter","Passive"},C979)))&gt;0,"no",IF(SUMPRODUCT(--ISNUMBER(SEARCH({"Cricket","Junior","Mini","Summer Football","Small"},C979)))&gt;0,"reduced",IF(SUMPRODUCT(--ISNUMBER(SEARCH({"Rugby","Football","League","Touch","Gaelic","Australian","Lacrosse","General Sport","Training Area","Ultimate"},C979)))&gt;0,"full","unknown"))))</f>
        <v/>
      </c>
      <c r="E979" s="9"/>
      <c r="F979" s="9"/>
      <c r="G979" s="9"/>
      <c r="H979" s="9"/>
      <c r="I979" s="12"/>
      <c r="J979" s="9"/>
      <c r="K979" s="9"/>
      <c r="L979" s="9"/>
      <c r="M979" s="9"/>
      <c r="N979" s="9"/>
      <c r="O979" s="13" t="str">
        <f aca="false">IF(C979="","",IF(N(M979)+N(N979)&lt;Settings!$C$9,"untested",M979/(M979+N979)))</f>
        <v/>
      </c>
      <c r="P979" s="9"/>
      <c r="Q979" s="9"/>
      <c r="R979" s="9"/>
      <c r="S979" s="12"/>
      <c r="T979" s="9"/>
      <c r="U979" s="9"/>
      <c r="V979" s="9"/>
      <c r="W979" s="10" t="str">
        <f aca="false">IF(C979="","",IF(OR(G979="training",G979="full"),"Yes",IF(G979="none","No","?")))</f>
        <v/>
      </c>
      <c r="X979" s="10" t="str">
        <f aca="false">IF(C979="","",IF(OR(E979="",E979="unknown"),D979,E979))</f>
        <v/>
      </c>
      <c r="Y979" s="10" t="str">
        <f aca="false">IF(C979="","",IF(OR(T979="unsuitable",T979="retired",X979="no"),"—",IF(J979="","unrated",IF(AND(X979="full",J979&gt;=Settings!$C$5,OR(O979="untested",O979&gt;=Settings!$C$6)),"A",IF(AND(OR(X979="full",X979="reduced"),J979&gt;=Settings!$C$7,OR(O979="untested",O979&gt;=Settings!$C$8)),"B","C")))))</f>
        <v/>
      </c>
      <c r="Z979" s="11" t="str">
        <f aca="false">IF(C979="","",IF(P979&lt;&gt;"",P979,Y979))</f>
        <v/>
      </c>
    </row>
    <row r="980" customFormat="false" ht="15" hidden="false" customHeight="false" outlineLevel="0" collapsed="false">
      <c r="A980" s="9"/>
      <c r="B980" s="10" t="str">
        <f aca="false">IF(A980="","",IFERROR(INDEX(Parks!$A$2:$A$255,MATCH(A980,Parks!$B$2:$B$255,0)),"?"))</f>
        <v/>
      </c>
      <c r="C980" s="9"/>
      <c r="D980" s="10" t="str">
        <f aca="false">IF(C980="","",IF(SUMPRODUCT(--ISNUMBER(SEARCH({"Nets","Wicket","Diamond","Softball","T-ball","Baseball","Netball","Tennis","Bocce","Pentaque","Petanque","Skate","Car Park","Pond","Bridle","Amphitheatre","Perimeter","Passive"},C980)))&gt;0,"no",IF(SUMPRODUCT(--ISNUMBER(SEARCH({"Cricket","Junior","Mini","Summer Football","Small"},C980)))&gt;0,"reduced",IF(SUMPRODUCT(--ISNUMBER(SEARCH({"Rugby","Football","League","Touch","Gaelic","Australian","Lacrosse","General Sport","Training Area","Ultimate"},C980)))&gt;0,"full","unknown"))))</f>
        <v/>
      </c>
      <c r="E980" s="9"/>
      <c r="F980" s="9"/>
      <c r="G980" s="9"/>
      <c r="H980" s="9"/>
      <c r="I980" s="12"/>
      <c r="J980" s="9"/>
      <c r="K980" s="9"/>
      <c r="L980" s="9"/>
      <c r="M980" s="9"/>
      <c r="N980" s="9"/>
      <c r="O980" s="13" t="str">
        <f aca="false">IF(C980="","",IF(N(M980)+N(N980)&lt;Settings!$C$9,"untested",M980/(M980+N980)))</f>
        <v/>
      </c>
      <c r="P980" s="9"/>
      <c r="Q980" s="9"/>
      <c r="R980" s="9"/>
      <c r="S980" s="12"/>
      <c r="T980" s="9"/>
      <c r="U980" s="9"/>
      <c r="V980" s="9"/>
      <c r="W980" s="10" t="str">
        <f aca="false">IF(C980="","",IF(OR(G980="training",G980="full"),"Yes",IF(G980="none","No","?")))</f>
        <v/>
      </c>
      <c r="X980" s="10" t="str">
        <f aca="false">IF(C980="","",IF(OR(E980="",E980="unknown"),D980,E980))</f>
        <v/>
      </c>
      <c r="Y980" s="10" t="str">
        <f aca="false">IF(C980="","",IF(OR(T980="unsuitable",T980="retired",X980="no"),"—",IF(J980="","unrated",IF(AND(X980="full",J980&gt;=Settings!$C$5,OR(O980="untested",O980&gt;=Settings!$C$6)),"A",IF(AND(OR(X980="full",X980="reduced"),J980&gt;=Settings!$C$7,OR(O980="untested",O980&gt;=Settings!$C$8)),"B","C")))))</f>
        <v/>
      </c>
      <c r="Z980" s="11" t="str">
        <f aca="false">IF(C980="","",IF(P980&lt;&gt;"",P980,Y980))</f>
        <v/>
      </c>
    </row>
    <row r="981" customFormat="false" ht="15" hidden="false" customHeight="false" outlineLevel="0" collapsed="false">
      <c r="A981" s="9"/>
      <c r="B981" s="10" t="str">
        <f aca="false">IF(A981="","",IFERROR(INDEX(Parks!$A$2:$A$255,MATCH(A981,Parks!$B$2:$B$255,0)),"?"))</f>
        <v/>
      </c>
      <c r="C981" s="9"/>
      <c r="D981" s="10" t="str">
        <f aca="false">IF(C981="","",IF(SUMPRODUCT(--ISNUMBER(SEARCH({"Nets","Wicket","Diamond","Softball","T-ball","Baseball","Netball","Tennis","Bocce","Pentaque","Petanque","Skate","Car Park","Pond","Bridle","Amphitheatre","Perimeter","Passive"},C981)))&gt;0,"no",IF(SUMPRODUCT(--ISNUMBER(SEARCH({"Cricket","Junior","Mini","Summer Football","Small"},C981)))&gt;0,"reduced",IF(SUMPRODUCT(--ISNUMBER(SEARCH({"Rugby","Football","League","Touch","Gaelic","Australian","Lacrosse","General Sport","Training Area","Ultimate"},C981)))&gt;0,"full","unknown"))))</f>
        <v/>
      </c>
      <c r="E981" s="9"/>
      <c r="F981" s="9"/>
      <c r="G981" s="9"/>
      <c r="H981" s="9"/>
      <c r="I981" s="12"/>
      <c r="J981" s="9"/>
      <c r="K981" s="9"/>
      <c r="L981" s="9"/>
      <c r="M981" s="9"/>
      <c r="N981" s="9"/>
      <c r="O981" s="13" t="str">
        <f aca="false">IF(C981="","",IF(N(M981)+N(N981)&lt;Settings!$C$9,"untested",M981/(M981+N981)))</f>
        <v/>
      </c>
      <c r="P981" s="9"/>
      <c r="Q981" s="9"/>
      <c r="R981" s="9"/>
      <c r="S981" s="12"/>
      <c r="T981" s="9"/>
      <c r="U981" s="9"/>
      <c r="V981" s="9"/>
      <c r="W981" s="10" t="str">
        <f aca="false">IF(C981="","",IF(OR(G981="training",G981="full"),"Yes",IF(G981="none","No","?")))</f>
        <v/>
      </c>
      <c r="X981" s="10" t="str">
        <f aca="false">IF(C981="","",IF(OR(E981="",E981="unknown"),D981,E981))</f>
        <v/>
      </c>
      <c r="Y981" s="10" t="str">
        <f aca="false">IF(C981="","",IF(OR(T981="unsuitable",T981="retired",X981="no"),"—",IF(J981="","unrated",IF(AND(X981="full",J981&gt;=Settings!$C$5,OR(O981="untested",O981&gt;=Settings!$C$6)),"A",IF(AND(OR(X981="full",X981="reduced"),J981&gt;=Settings!$C$7,OR(O981="untested",O981&gt;=Settings!$C$8)),"B","C")))))</f>
        <v/>
      </c>
      <c r="Z981" s="11" t="str">
        <f aca="false">IF(C981="","",IF(P981&lt;&gt;"",P981,Y981))</f>
        <v/>
      </c>
    </row>
    <row r="982" customFormat="false" ht="15" hidden="false" customHeight="false" outlineLevel="0" collapsed="false">
      <c r="A982" s="9"/>
      <c r="B982" s="10" t="str">
        <f aca="false">IF(A982="","",IFERROR(INDEX(Parks!$A$2:$A$255,MATCH(A982,Parks!$B$2:$B$255,0)),"?"))</f>
        <v/>
      </c>
      <c r="C982" s="9"/>
      <c r="D982" s="10" t="str">
        <f aca="false">IF(C982="","",IF(SUMPRODUCT(--ISNUMBER(SEARCH({"Nets","Wicket","Diamond","Softball","T-ball","Baseball","Netball","Tennis","Bocce","Pentaque","Petanque","Skate","Car Park","Pond","Bridle","Amphitheatre","Perimeter","Passive"},C982)))&gt;0,"no",IF(SUMPRODUCT(--ISNUMBER(SEARCH({"Cricket","Junior","Mini","Summer Football","Small"},C982)))&gt;0,"reduced",IF(SUMPRODUCT(--ISNUMBER(SEARCH({"Rugby","Football","League","Touch","Gaelic","Australian","Lacrosse","General Sport","Training Area","Ultimate"},C982)))&gt;0,"full","unknown"))))</f>
        <v/>
      </c>
      <c r="E982" s="9"/>
      <c r="F982" s="9"/>
      <c r="G982" s="9"/>
      <c r="H982" s="9"/>
      <c r="I982" s="12"/>
      <c r="J982" s="9"/>
      <c r="K982" s="9"/>
      <c r="L982" s="9"/>
      <c r="M982" s="9"/>
      <c r="N982" s="9"/>
      <c r="O982" s="13" t="str">
        <f aca="false">IF(C982="","",IF(N(M982)+N(N982)&lt;Settings!$C$9,"untested",M982/(M982+N982)))</f>
        <v/>
      </c>
      <c r="P982" s="9"/>
      <c r="Q982" s="9"/>
      <c r="R982" s="9"/>
      <c r="S982" s="12"/>
      <c r="T982" s="9"/>
      <c r="U982" s="9"/>
      <c r="V982" s="9"/>
      <c r="W982" s="10" t="str">
        <f aca="false">IF(C982="","",IF(OR(G982="training",G982="full"),"Yes",IF(G982="none","No","?")))</f>
        <v/>
      </c>
      <c r="X982" s="10" t="str">
        <f aca="false">IF(C982="","",IF(OR(E982="",E982="unknown"),D982,E982))</f>
        <v/>
      </c>
      <c r="Y982" s="10" t="str">
        <f aca="false">IF(C982="","",IF(OR(T982="unsuitable",T982="retired",X982="no"),"—",IF(J982="","unrated",IF(AND(X982="full",J982&gt;=Settings!$C$5,OR(O982="untested",O982&gt;=Settings!$C$6)),"A",IF(AND(OR(X982="full",X982="reduced"),J982&gt;=Settings!$C$7,OR(O982="untested",O982&gt;=Settings!$C$8)),"B","C")))))</f>
        <v/>
      </c>
      <c r="Z982" s="11" t="str">
        <f aca="false">IF(C982="","",IF(P982&lt;&gt;"",P982,Y982))</f>
        <v/>
      </c>
    </row>
    <row r="983" customFormat="false" ht="15" hidden="false" customHeight="false" outlineLevel="0" collapsed="false">
      <c r="A983" s="9"/>
      <c r="B983" s="10" t="str">
        <f aca="false">IF(A983="","",IFERROR(INDEX(Parks!$A$2:$A$255,MATCH(A983,Parks!$B$2:$B$255,0)),"?"))</f>
        <v/>
      </c>
      <c r="C983" s="9"/>
      <c r="D983" s="10" t="str">
        <f aca="false">IF(C983="","",IF(SUMPRODUCT(--ISNUMBER(SEARCH({"Nets","Wicket","Diamond","Softball","T-ball","Baseball","Netball","Tennis","Bocce","Pentaque","Petanque","Skate","Car Park","Pond","Bridle","Amphitheatre","Perimeter","Passive"},C983)))&gt;0,"no",IF(SUMPRODUCT(--ISNUMBER(SEARCH({"Cricket","Junior","Mini","Summer Football","Small"},C983)))&gt;0,"reduced",IF(SUMPRODUCT(--ISNUMBER(SEARCH({"Rugby","Football","League","Touch","Gaelic","Australian","Lacrosse","General Sport","Training Area","Ultimate"},C983)))&gt;0,"full","unknown"))))</f>
        <v/>
      </c>
      <c r="E983" s="9"/>
      <c r="F983" s="9"/>
      <c r="G983" s="9"/>
      <c r="H983" s="9"/>
      <c r="I983" s="12"/>
      <c r="J983" s="9"/>
      <c r="K983" s="9"/>
      <c r="L983" s="9"/>
      <c r="M983" s="9"/>
      <c r="N983" s="9"/>
      <c r="O983" s="13" t="str">
        <f aca="false">IF(C983="","",IF(N(M983)+N(N983)&lt;Settings!$C$9,"untested",M983/(M983+N983)))</f>
        <v/>
      </c>
      <c r="P983" s="9"/>
      <c r="Q983" s="9"/>
      <c r="R983" s="9"/>
      <c r="S983" s="12"/>
      <c r="T983" s="9"/>
      <c r="U983" s="9"/>
      <c r="V983" s="9"/>
      <c r="W983" s="10" t="str">
        <f aca="false">IF(C983="","",IF(OR(G983="training",G983="full"),"Yes",IF(G983="none","No","?")))</f>
        <v/>
      </c>
      <c r="X983" s="10" t="str">
        <f aca="false">IF(C983="","",IF(OR(E983="",E983="unknown"),D983,E983))</f>
        <v/>
      </c>
      <c r="Y983" s="10" t="str">
        <f aca="false">IF(C983="","",IF(OR(T983="unsuitable",T983="retired",X983="no"),"—",IF(J983="","unrated",IF(AND(X983="full",J983&gt;=Settings!$C$5,OR(O983="untested",O983&gt;=Settings!$C$6)),"A",IF(AND(OR(X983="full",X983="reduced"),J983&gt;=Settings!$C$7,OR(O983="untested",O983&gt;=Settings!$C$8)),"B","C")))))</f>
        <v/>
      </c>
      <c r="Z983" s="11" t="str">
        <f aca="false">IF(C983="","",IF(P983&lt;&gt;"",P983,Y983))</f>
        <v/>
      </c>
    </row>
    <row r="984" customFormat="false" ht="15" hidden="false" customHeight="false" outlineLevel="0" collapsed="false">
      <c r="A984" s="9"/>
      <c r="B984" s="10" t="str">
        <f aca="false">IF(A984="","",IFERROR(INDEX(Parks!$A$2:$A$255,MATCH(A984,Parks!$B$2:$B$255,0)),"?"))</f>
        <v/>
      </c>
      <c r="C984" s="9"/>
      <c r="D984" s="10" t="str">
        <f aca="false">IF(C984="","",IF(SUMPRODUCT(--ISNUMBER(SEARCH({"Nets","Wicket","Diamond","Softball","T-ball","Baseball","Netball","Tennis","Bocce","Pentaque","Petanque","Skate","Car Park","Pond","Bridle","Amphitheatre","Perimeter","Passive"},C984)))&gt;0,"no",IF(SUMPRODUCT(--ISNUMBER(SEARCH({"Cricket","Junior","Mini","Summer Football","Small"},C984)))&gt;0,"reduced",IF(SUMPRODUCT(--ISNUMBER(SEARCH({"Rugby","Football","League","Touch","Gaelic","Australian","Lacrosse","General Sport","Training Area","Ultimate"},C984)))&gt;0,"full","unknown"))))</f>
        <v/>
      </c>
      <c r="E984" s="9"/>
      <c r="F984" s="9"/>
      <c r="G984" s="9"/>
      <c r="H984" s="9"/>
      <c r="I984" s="12"/>
      <c r="J984" s="9"/>
      <c r="K984" s="9"/>
      <c r="L984" s="9"/>
      <c r="M984" s="9"/>
      <c r="N984" s="9"/>
      <c r="O984" s="13" t="str">
        <f aca="false">IF(C984="","",IF(N(M984)+N(N984)&lt;Settings!$C$9,"untested",M984/(M984+N984)))</f>
        <v/>
      </c>
      <c r="P984" s="9"/>
      <c r="Q984" s="9"/>
      <c r="R984" s="9"/>
      <c r="S984" s="12"/>
      <c r="T984" s="9"/>
      <c r="U984" s="9"/>
      <c r="V984" s="9"/>
      <c r="W984" s="10" t="str">
        <f aca="false">IF(C984="","",IF(OR(G984="training",G984="full"),"Yes",IF(G984="none","No","?")))</f>
        <v/>
      </c>
      <c r="X984" s="10" t="str">
        <f aca="false">IF(C984="","",IF(OR(E984="",E984="unknown"),D984,E984))</f>
        <v/>
      </c>
      <c r="Y984" s="10" t="str">
        <f aca="false">IF(C984="","",IF(OR(T984="unsuitable",T984="retired",X984="no"),"—",IF(J984="","unrated",IF(AND(X984="full",J984&gt;=Settings!$C$5,OR(O984="untested",O984&gt;=Settings!$C$6)),"A",IF(AND(OR(X984="full",X984="reduced"),J984&gt;=Settings!$C$7,OR(O984="untested",O984&gt;=Settings!$C$8)),"B","C")))))</f>
        <v/>
      </c>
      <c r="Z984" s="11" t="str">
        <f aca="false">IF(C984="","",IF(P984&lt;&gt;"",P984,Y984))</f>
        <v/>
      </c>
    </row>
    <row r="985" customFormat="false" ht="15" hidden="false" customHeight="false" outlineLevel="0" collapsed="false">
      <c r="A985" s="9"/>
      <c r="B985" s="10" t="str">
        <f aca="false">IF(A985="","",IFERROR(INDEX(Parks!$A$2:$A$255,MATCH(A985,Parks!$B$2:$B$255,0)),"?"))</f>
        <v/>
      </c>
      <c r="C985" s="9"/>
      <c r="D985" s="10" t="str">
        <f aca="false">IF(C985="","",IF(SUMPRODUCT(--ISNUMBER(SEARCH({"Nets","Wicket","Diamond","Softball","T-ball","Baseball","Netball","Tennis","Bocce","Pentaque","Petanque","Skate","Car Park","Pond","Bridle","Amphitheatre","Perimeter","Passive"},C985)))&gt;0,"no",IF(SUMPRODUCT(--ISNUMBER(SEARCH({"Cricket","Junior","Mini","Summer Football","Small"},C985)))&gt;0,"reduced",IF(SUMPRODUCT(--ISNUMBER(SEARCH({"Rugby","Football","League","Touch","Gaelic","Australian","Lacrosse","General Sport","Training Area","Ultimate"},C985)))&gt;0,"full","unknown"))))</f>
        <v/>
      </c>
      <c r="E985" s="9"/>
      <c r="F985" s="9"/>
      <c r="G985" s="9"/>
      <c r="H985" s="9"/>
      <c r="I985" s="12"/>
      <c r="J985" s="9"/>
      <c r="K985" s="9"/>
      <c r="L985" s="9"/>
      <c r="M985" s="9"/>
      <c r="N985" s="9"/>
      <c r="O985" s="13" t="str">
        <f aca="false">IF(C985="","",IF(N(M985)+N(N985)&lt;Settings!$C$9,"untested",M985/(M985+N985)))</f>
        <v/>
      </c>
      <c r="P985" s="9"/>
      <c r="Q985" s="9"/>
      <c r="R985" s="9"/>
      <c r="S985" s="12"/>
      <c r="T985" s="9"/>
      <c r="U985" s="9"/>
      <c r="V985" s="9"/>
      <c r="W985" s="10" t="str">
        <f aca="false">IF(C985="","",IF(OR(G985="training",G985="full"),"Yes",IF(G985="none","No","?")))</f>
        <v/>
      </c>
      <c r="X985" s="10" t="str">
        <f aca="false">IF(C985="","",IF(OR(E985="",E985="unknown"),D985,E985))</f>
        <v/>
      </c>
      <c r="Y985" s="10" t="str">
        <f aca="false">IF(C985="","",IF(OR(T985="unsuitable",T985="retired",X985="no"),"—",IF(J985="","unrated",IF(AND(X985="full",J985&gt;=Settings!$C$5,OR(O985="untested",O985&gt;=Settings!$C$6)),"A",IF(AND(OR(X985="full",X985="reduced"),J985&gt;=Settings!$C$7,OR(O985="untested",O985&gt;=Settings!$C$8)),"B","C")))))</f>
        <v/>
      </c>
      <c r="Z985" s="11" t="str">
        <f aca="false">IF(C985="","",IF(P985&lt;&gt;"",P985,Y985))</f>
        <v/>
      </c>
    </row>
    <row r="986" customFormat="false" ht="15" hidden="false" customHeight="false" outlineLevel="0" collapsed="false">
      <c r="A986" s="9"/>
      <c r="B986" s="10" t="str">
        <f aca="false">IF(A986="","",IFERROR(INDEX(Parks!$A$2:$A$255,MATCH(A986,Parks!$B$2:$B$255,0)),"?"))</f>
        <v/>
      </c>
      <c r="C986" s="9"/>
      <c r="D986" s="10" t="str">
        <f aca="false">IF(C986="","",IF(SUMPRODUCT(--ISNUMBER(SEARCH({"Nets","Wicket","Diamond","Softball","T-ball","Baseball","Netball","Tennis","Bocce","Pentaque","Petanque","Skate","Car Park","Pond","Bridle","Amphitheatre","Perimeter","Passive"},C986)))&gt;0,"no",IF(SUMPRODUCT(--ISNUMBER(SEARCH({"Cricket","Junior","Mini","Summer Football","Small"},C986)))&gt;0,"reduced",IF(SUMPRODUCT(--ISNUMBER(SEARCH({"Rugby","Football","League","Touch","Gaelic","Australian","Lacrosse","General Sport","Training Area","Ultimate"},C986)))&gt;0,"full","unknown"))))</f>
        <v/>
      </c>
      <c r="E986" s="9"/>
      <c r="F986" s="9"/>
      <c r="G986" s="9"/>
      <c r="H986" s="9"/>
      <c r="I986" s="12"/>
      <c r="J986" s="9"/>
      <c r="K986" s="9"/>
      <c r="L986" s="9"/>
      <c r="M986" s="9"/>
      <c r="N986" s="9"/>
      <c r="O986" s="13" t="str">
        <f aca="false">IF(C986="","",IF(N(M986)+N(N986)&lt;Settings!$C$9,"untested",M986/(M986+N986)))</f>
        <v/>
      </c>
      <c r="P986" s="9"/>
      <c r="Q986" s="9"/>
      <c r="R986" s="9"/>
      <c r="S986" s="12"/>
      <c r="T986" s="9"/>
      <c r="U986" s="9"/>
      <c r="V986" s="9"/>
      <c r="W986" s="10" t="str">
        <f aca="false">IF(C986="","",IF(OR(G986="training",G986="full"),"Yes",IF(G986="none","No","?")))</f>
        <v/>
      </c>
      <c r="X986" s="10" t="str">
        <f aca="false">IF(C986="","",IF(OR(E986="",E986="unknown"),D986,E986))</f>
        <v/>
      </c>
      <c r="Y986" s="10" t="str">
        <f aca="false">IF(C986="","",IF(OR(T986="unsuitable",T986="retired",X986="no"),"—",IF(J986="","unrated",IF(AND(X986="full",J986&gt;=Settings!$C$5,OR(O986="untested",O986&gt;=Settings!$C$6)),"A",IF(AND(OR(X986="full",X986="reduced"),J986&gt;=Settings!$C$7,OR(O986="untested",O986&gt;=Settings!$C$8)),"B","C")))))</f>
        <v/>
      </c>
      <c r="Z986" s="11" t="str">
        <f aca="false">IF(C986="","",IF(P986&lt;&gt;"",P986,Y986))</f>
        <v/>
      </c>
    </row>
    <row r="987" customFormat="false" ht="15" hidden="false" customHeight="false" outlineLevel="0" collapsed="false">
      <c r="A987" s="9"/>
      <c r="B987" s="10" t="str">
        <f aca="false">IF(A987="","",IFERROR(INDEX(Parks!$A$2:$A$255,MATCH(A987,Parks!$B$2:$B$255,0)),"?"))</f>
        <v/>
      </c>
      <c r="C987" s="9"/>
      <c r="D987" s="10" t="str">
        <f aca="false">IF(C987="","",IF(SUMPRODUCT(--ISNUMBER(SEARCH({"Nets","Wicket","Diamond","Softball","T-ball","Baseball","Netball","Tennis","Bocce","Pentaque","Petanque","Skate","Car Park","Pond","Bridle","Amphitheatre","Perimeter","Passive"},C987)))&gt;0,"no",IF(SUMPRODUCT(--ISNUMBER(SEARCH({"Cricket","Junior","Mini","Summer Football","Small"},C987)))&gt;0,"reduced",IF(SUMPRODUCT(--ISNUMBER(SEARCH({"Rugby","Football","League","Touch","Gaelic","Australian","Lacrosse","General Sport","Training Area","Ultimate"},C987)))&gt;0,"full","unknown"))))</f>
        <v/>
      </c>
      <c r="E987" s="9"/>
      <c r="F987" s="9"/>
      <c r="G987" s="9"/>
      <c r="H987" s="9"/>
      <c r="I987" s="12"/>
      <c r="J987" s="9"/>
      <c r="K987" s="9"/>
      <c r="L987" s="9"/>
      <c r="M987" s="9"/>
      <c r="N987" s="9"/>
      <c r="O987" s="13" t="str">
        <f aca="false">IF(C987="","",IF(N(M987)+N(N987)&lt;Settings!$C$9,"untested",M987/(M987+N987)))</f>
        <v/>
      </c>
      <c r="P987" s="9"/>
      <c r="Q987" s="9"/>
      <c r="R987" s="9"/>
      <c r="S987" s="12"/>
      <c r="T987" s="9"/>
      <c r="U987" s="9"/>
      <c r="V987" s="9"/>
      <c r="W987" s="10" t="str">
        <f aca="false">IF(C987="","",IF(OR(G987="training",G987="full"),"Yes",IF(G987="none","No","?")))</f>
        <v/>
      </c>
      <c r="X987" s="10" t="str">
        <f aca="false">IF(C987="","",IF(OR(E987="",E987="unknown"),D987,E987))</f>
        <v/>
      </c>
      <c r="Y987" s="10" t="str">
        <f aca="false">IF(C987="","",IF(OR(T987="unsuitable",T987="retired",X987="no"),"—",IF(J987="","unrated",IF(AND(X987="full",J987&gt;=Settings!$C$5,OR(O987="untested",O987&gt;=Settings!$C$6)),"A",IF(AND(OR(X987="full",X987="reduced"),J987&gt;=Settings!$C$7,OR(O987="untested",O987&gt;=Settings!$C$8)),"B","C")))))</f>
        <v/>
      </c>
      <c r="Z987" s="11" t="str">
        <f aca="false">IF(C987="","",IF(P987&lt;&gt;"",P987,Y987))</f>
        <v/>
      </c>
    </row>
    <row r="988" customFormat="false" ht="15" hidden="false" customHeight="false" outlineLevel="0" collapsed="false">
      <c r="A988" s="9"/>
      <c r="B988" s="10" t="str">
        <f aca="false">IF(A988="","",IFERROR(INDEX(Parks!$A$2:$A$255,MATCH(A988,Parks!$B$2:$B$255,0)),"?"))</f>
        <v/>
      </c>
      <c r="C988" s="9"/>
      <c r="D988" s="10" t="str">
        <f aca="false">IF(C988="","",IF(SUMPRODUCT(--ISNUMBER(SEARCH({"Nets","Wicket","Diamond","Softball","T-ball","Baseball","Netball","Tennis","Bocce","Pentaque","Petanque","Skate","Car Park","Pond","Bridle","Amphitheatre","Perimeter","Passive"},C988)))&gt;0,"no",IF(SUMPRODUCT(--ISNUMBER(SEARCH({"Cricket","Junior","Mini","Summer Football","Small"},C988)))&gt;0,"reduced",IF(SUMPRODUCT(--ISNUMBER(SEARCH({"Rugby","Football","League","Touch","Gaelic","Australian","Lacrosse","General Sport","Training Area","Ultimate"},C988)))&gt;0,"full","unknown"))))</f>
        <v/>
      </c>
      <c r="E988" s="9"/>
      <c r="F988" s="9"/>
      <c r="G988" s="9"/>
      <c r="H988" s="9"/>
      <c r="I988" s="12"/>
      <c r="J988" s="9"/>
      <c r="K988" s="9"/>
      <c r="L988" s="9"/>
      <c r="M988" s="9"/>
      <c r="N988" s="9"/>
      <c r="O988" s="13" t="str">
        <f aca="false">IF(C988="","",IF(N(M988)+N(N988)&lt;Settings!$C$9,"untested",M988/(M988+N988)))</f>
        <v/>
      </c>
      <c r="P988" s="9"/>
      <c r="Q988" s="9"/>
      <c r="R988" s="9"/>
      <c r="S988" s="12"/>
      <c r="T988" s="9"/>
      <c r="U988" s="9"/>
      <c r="V988" s="9"/>
      <c r="W988" s="10" t="str">
        <f aca="false">IF(C988="","",IF(OR(G988="training",G988="full"),"Yes",IF(G988="none","No","?")))</f>
        <v/>
      </c>
      <c r="X988" s="10" t="str">
        <f aca="false">IF(C988="","",IF(OR(E988="",E988="unknown"),D988,E988))</f>
        <v/>
      </c>
      <c r="Y988" s="10" t="str">
        <f aca="false">IF(C988="","",IF(OR(T988="unsuitable",T988="retired",X988="no"),"—",IF(J988="","unrated",IF(AND(X988="full",J988&gt;=Settings!$C$5,OR(O988="untested",O988&gt;=Settings!$C$6)),"A",IF(AND(OR(X988="full",X988="reduced"),J988&gt;=Settings!$C$7,OR(O988="untested",O988&gt;=Settings!$C$8)),"B","C")))))</f>
        <v/>
      </c>
      <c r="Z988" s="11" t="str">
        <f aca="false">IF(C988="","",IF(P988&lt;&gt;"",P988,Y988))</f>
        <v/>
      </c>
    </row>
    <row r="989" customFormat="false" ht="15" hidden="false" customHeight="false" outlineLevel="0" collapsed="false">
      <c r="A989" s="9"/>
      <c r="B989" s="10" t="str">
        <f aca="false">IF(A989="","",IFERROR(INDEX(Parks!$A$2:$A$255,MATCH(A989,Parks!$B$2:$B$255,0)),"?"))</f>
        <v/>
      </c>
      <c r="C989" s="9"/>
      <c r="D989" s="10" t="str">
        <f aca="false">IF(C989="","",IF(SUMPRODUCT(--ISNUMBER(SEARCH({"Nets","Wicket","Diamond","Softball","T-ball","Baseball","Netball","Tennis","Bocce","Pentaque","Petanque","Skate","Car Park","Pond","Bridle","Amphitheatre","Perimeter","Passive"},C989)))&gt;0,"no",IF(SUMPRODUCT(--ISNUMBER(SEARCH({"Cricket","Junior","Mini","Summer Football","Small"},C989)))&gt;0,"reduced",IF(SUMPRODUCT(--ISNUMBER(SEARCH({"Rugby","Football","League","Touch","Gaelic","Australian","Lacrosse","General Sport","Training Area","Ultimate"},C989)))&gt;0,"full","unknown"))))</f>
        <v/>
      </c>
      <c r="E989" s="9"/>
      <c r="F989" s="9"/>
      <c r="G989" s="9"/>
      <c r="H989" s="9"/>
      <c r="I989" s="12"/>
      <c r="J989" s="9"/>
      <c r="K989" s="9"/>
      <c r="L989" s="9"/>
      <c r="M989" s="9"/>
      <c r="N989" s="9"/>
      <c r="O989" s="13" t="str">
        <f aca="false">IF(C989="","",IF(N(M989)+N(N989)&lt;Settings!$C$9,"untested",M989/(M989+N989)))</f>
        <v/>
      </c>
      <c r="P989" s="9"/>
      <c r="Q989" s="9"/>
      <c r="R989" s="9"/>
      <c r="S989" s="12"/>
      <c r="T989" s="9"/>
      <c r="U989" s="9"/>
      <c r="V989" s="9"/>
      <c r="W989" s="10" t="str">
        <f aca="false">IF(C989="","",IF(OR(G989="training",G989="full"),"Yes",IF(G989="none","No","?")))</f>
        <v/>
      </c>
      <c r="X989" s="10" t="str">
        <f aca="false">IF(C989="","",IF(OR(E989="",E989="unknown"),D989,E989))</f>
        <v/>
      </c>
      <c r="Y989" s="10" t="str">
        <f aca="false">IF(C989="","",IF(OR(T989="unsuitable",T989="retired",X989="no"),"—",IF(J989="","unrated",IF(AND(X989="full",J989&gt;=Settings!$C$5,OR(O989="untested",O989&gt;=Settings!$C$6)),"A",IF(AND(OR(X989="full",X989="reduced"),J989&gt;=Settings!$C$7,OR(O989="untested",O989&gt;=Settings!$C$8)),"B","C")))))</f>
        <v/>
      </c>
      <c r="Z989" s="11" t="str">
        <f aca="false">IF(C989="","",IF(P989&lt;&gt;"",P989,Y989))</f>
        <v/>
      </c>
    </row>
    <row r="990" customFormat="false" ht="15" hidden="false" customHeight="false" outlineLevel="0" collapsed="false">
      <c r="A990" s="9"/>
      <c r="B990" s="10" t="str">
        <f aca="false">IF(A990="","",IFERROR(INDEX(Parks!$A$2:$A$255,MATCH(A990,Parks!$B$2:$B$255,0)),"?"))</f>
        <v/>
      </c>
      <c r="C990" s="9"/>
      <c r="D990" s="10" t="str">
        <f aca="false">IF(C990="","",IF(SUMPRODUCT(--ISNUMBER(SEARCH({"Nets","Wicket","Diamond","Softball","T-ball","Baseball","Netball","Tennis","Bocce","Pentaque","Petanque","Skate","Car Park","Pond","Bridle","Amphitheatre","Perimeter","Passive"},C990)))&gt;0,"no",IF(SUMPRODUCT(--ISNUMBER(SEARCH({"Cricket","Junior","Mini","Summer Football","Small"},C990)))&gt;0,"reduced",IF(SUMPRODUCT(--ISNUMBER(SEARCH({"Rugby","Football","League","Touch","Gaelic","Australian","Lacrosse","General Sport","Training Area","Ultimate"},C990)))&gt;0,"full","unknown"))))</f>
        <v/>
      </c>
      <c r="E990" s="9"/>
      <c r="F990" s="9"/>
      <c r="G990" s="9"/>
      <c r="H990" s="9"/>
      <c r="I990" s="12"/>
      <c r="J990" s="9"/>
      <c r="K990" s="9"/>
      <c r="L990" s="9"/>
      <c r="M990" s="9"/>
      <c r="N990" s="9"/>
      <c r="O990" s="13" t="str">
        <f aca="false">IF(C990="","",IF(N(M990)+N(N990)&lt;Settings!$C$9,"untested",M990/(M990+N990)))</f>
        <v/>
      </c>
      <c r="P990" s="9"/>
      <c r="Q990" s="9"/>
      <c r="R990" s="9"/>
      <c r="S990" s="12"/>
      <c r="T990" s="9"/>
      <c r="U990" s="9"/>
      <c r="V990" s="9"/>
      <c r="W990" s="10" t="str">
        <f aca="false">IF(C990="","",IF(OR(G990="training",G990="full"),"Yes",IF(G990="none","No","?")))</f>
        <v/>
      </c>
      <c r="X990" s="10" t="str">
        <f aca="false">IF(C990="","",IF(OR(E990="",E990="unknown"),D990,E990))</f>
        <v/>
      </c>
      <c r="Y990" s="10" t="str">
        <f aca="false">IF(C990="","",IF(OR(T990="unsuitable",T990="retired",X990="no"),"—",IF(J990="","unrated",IF(AND(X990="full",J990&gt;=Settings!$C$5,OR(O990="untested",O990&gt;=Settings!$C$6)),"A",IF(AND(OR(X990="full",X990="reduced"),J990&gt;=Settings!$C$7,OR(O990="untested",O990&gt;=Settings!$C$8)),"B","C")))))</f>
        <v/>
      </c>
      <c r="Z990" s="11" t="str">
        <f aca="false">IF(C990="","",IF(P990&lt;&gt;"",P990,Y990))</f>
        <v/>
      </c>
    </row>
    <row r="991" customFormat="false" ht="15" hidden="false" customHeight="false" outlineLevel="0" collapsed="false">
      <c r="A991" s="9"/>
      <c r="B991" s="10" t="str">
        <f aca="false">IF(A991="","",IFERROR(INDEX(Parks!$A$2:$A$255,MATCH(A991,Parks!$B$2:$B$255,0)),"?"))</f>
        <v/>
      </c>
      <c r="C991" s="9"/>
      <c r="D991" s="10" t="str">
        <f aca="false">IF(C991="","",IF(SUMPRODUCT(--ISNUMBER(SEARCH({"Nets","Wicket","Diamond","Softball","T-ball","Baseball","Netball","Tennis","Bocce","Pentaque","Petanque","Skate","Car Park","Pond","Bridle","Amphitheatre","Perimeter","Passive"},C991)))&gt;0,"no",IF(SUMPRODUCT(--ISNUMBER(SEARCH({"Cricket","Junior","Mini","Summer Football","Small"},C991)))&gt;0,"reduced",IF(SUMPRODUCT(--ISNUMBER(SEARCH({"Rugby","Football","League","Touch","Gaelic","Australian","Lacrosse","General Sport","Training Area","Ultimate"},C991)))&gt;0,"full","unknown"))))</f>
        <v/>
      </c>
      <c r="E991" s="9"/>
      <c r="F991" s="9"/>
      <c r="G991" s="9"/>
      <c r="H991" s="9"/>
      <c r="I991" s="12"/>
      <c r="J991" s="9"/>
      <c r="K991" s="9"/>
      <c r="L991" s="9"/>
      <c r="M991" s="9"/>
      <c r="N991" s="9"/>
      <c r="O991" s="13" t="str">
        <f aca="false">IF(C991="","",IF(N(M991)+N(N991)&lt;Settings!$C$9,"untested",M991/(M991+N991)))</f>
        <v/>
      </c>
      <c r="P991" s="9"/>
      <c r="Q991" s="9"/>
      <c r="R991" s="9"/>
      <c r="S991" s="12"/>
      <c r="T991" s="9"/>
      <c r="U991" s="9"/>
      <c r="V991" s="9"/>
      <c r="W991" s="10" t="str">
        <f aca="false">IF(C991="","",IF(OR(G991="training",G991="full"),"Yes",IF(G991="none","No","?")))</f>
        <v/>
      </c>
      <c r="X991" s="10" t="str">
        <f aca="false">IF(C991="","",IF(OR(E991="",E991="unknown"),D991,E991))</f>
        <v/>
      </c>
      <c r="Y991" s="10" t="str">
        <f aca="false">IF(C991="","",IF(OR(T991="unsuitable",T991="retired",X991="no"),"—",IF(J991="","unrated",IF(AND(X991="full",J991&gt;=Settings!$C$5,OR(O991="untested",O991&gt;=Settings!$C$6)),"A",IF(AND(OR(X991="full",X991="reduced"),J991&gt;=Settings!$C$7,OR(O991="untested",O991&gt;=Settings!$C$8)),"B","C")))))</f>
        <v/>
      </c>
      <c r="Z991" s="11" t="str">
        <f aca="false">IF(C991="","",IF(P991&lt;&gt;"",P991,Y991))</f>
        <v/>
      </c>
    </row>
    <row r="992" customFormat="false" ht="15" hidden="false" customHeight="false" outlineLevel="0" collapsed="false">
      <c r="A992" s="9"/>
      <c r="B992" s="10" t="str">
        <f aca="false">IF(A992="","",IFERROR(INDEX(Parks!$A$2:$A$255,MATCH(A992,Parks!$B$2:$B$255,0)),"?"))</f>
        <v/>
      </c>
      <c r="C992" s="9"/>
      <c r="D992" s="10" t="str">
        <f aca="false">IF(C992="","",IF(SUMPRODUCT(--ISNUMBER(SEARCH({"Nets","Wicket","Diamond","Softball","T-ball","Baseball","Netball","Tennis","Bocce","Pentaque","Petanque","Skate","Car Park","Pond","Bridle","Amphitheatre","Perimeter","Passive"},C992)))&gt;0,"no",IF(SUMPRODUCT(--ISNUMBER(SEARCH({"Cricket","Junior","Mini","Summer Football","Small"},C992)))&gt;0,"reduced",IF(SUMPRODUCT(--ISNUMBER(SEARCH({"Rugby","Football","League","Touch","Gaelic","Australian","Lacrosse","General Sport","Training Area","Ultimate"},C992)))&gt;0,"full","unknown"))))</f>
        <v/>
      </c>
      <c r="E992" s="9"/>
      <c r="F992" s="9"/>
      <c r="G992" s="9"/>
      <c r="H992" s="9"/>
      <c r="I992" s="12"/>
      <c r="J992" s="9"/>
      <c r="K992" s="9"/>
      <c r="L992" s="9"/>
      <c r="M992" s="9"/>
      <c r="N992" s="9"/>
      <c r="O992" s="13" t="str">
        <f aca="false">IF(C992="","",IF(N(M992)+N(N992)&lt;Settings!$C$9,"untested",M992/(M992+N992)))</f>
        <v/>
      </c>
      <c r="P992" s="9"/>
      <c r="Q992" s="9"/>
      <c r="R992" s="9"/>
      <c r="S992" s="12"/>
      <c r="T992" s="9"/>
      <c r="U992" s="9"/>
      <c r="V992" s="9"/>
      <c r="W992" s="10" t="str">
        <f aca="false">IF(C992="","",IF(OR(G992="training",G992="full"),"Yes",IF(G992="none","No","?")))</f>
        <v/>
      </c>
      <c r="X992" s="10" t="str">
        <f aca="false">IF(C992="","",IF(OR(E992="",E992="unknown"),D992,E992))</f>
        <v/>
      </c>
      <c r="Y992" s="10" t="str">
        <f aca="false">IF(C992="","",IF(OR(T992="unsuitable",T992="retired",X992="no"),"—",IF(J992="","unrated",IF(AND(X992="full",J992&gt;=Settings!$C$5,OR(O992="untested",O992&gt;=Settings!$C$6)),"A",IF(AND(OR(X992="full",X992="reduced"),J992&gt;=Settings!$C$7,OR(O992="untested",O992&gt;=Settings!$C$8)),"B","C")))))</f>
        <v/>
      </c>
      <c r="Z992" s="11" t="str">
        <f aca="false">IF(C992="","",IF(P992&lt;&gt;"",P992,Y992))</f>
        <v/>
      </c>
    </row>
    <row r="993" customFormat="false" ht="15" hidden="false" customHeight="false" outlineLevel="0" collapsed="false">
      <c r="A993" s="9"/>
      <c r="B993" s="10" t="str">
        <f aca="false">IF(A993="","",IFERROR(INDEX(Parks!$A$2:$A$255,MATCH(A993,Parks!$B$2:$B$255,0)),"?"))</f>
        <v/>
      </c>
      <c r="C993" s="9"/>
      <c r="D993" s="10" t="str">
        <f aca="false">IF(C993="","",IF(SUMPRODUCT(--ISNUMBER(SEARCH({"Nets","Wicket","Diamond","Softball","T-ball","Baseball","Netball","Tennis","Bocce","Pentaque","Petanque","Skate","Car Park","Pond","Bridle","Amphitheatre","Perimeter","Passive"},C993)))&gt;0,"no",IF(SUMPRODUCT(--ISNUMBER(SEARCH({"Cricket","Junior","Mini","Summer Football","Small"},C993)))&gt;0,"reduced",IF(SUMPRODUCT(--ISNUMBER(SEARCH({"Rugby","Football","League","Touch","Gaelic","Australian","Lacrosse","General Sport","Training Area","Ultimate"},C993)))&gt;0,"full","unknown"))))</f>
        <v/>
      </c>
      <c r="E993" s="9"/>
      <c r="F993" s="9"/>
      <c r="G993" s="9"/>
      <c r="H993" s="9"/>
      <c r="I993" s="12"/>
      <c r="J993" s="9"/>
      <c r="K993" s="9"/>
      <c r="L993" s="9"/>
      <c r="M993" s="9"/>
      <c r="N993" s="9"/>
      <c r="O993" s="13" t="str">
        <f aca="false">IF(C993="","",IF(N(M993)+N(N993)&lt;Settings!$C$9,"untested",M993/(M993+N993)))</f>
        <v/>
      </c>
      <c r="P993" s="9"/>
      <c r="Q993" s="9"/>
      <c r="R993" s="9"/>
      <c r="S993" s="12"/>
      <c r="T993" s="9"/>
      <c r="U993" s="9"/>
      <c r="V993" s="9"/>
      <c r="W993" s="10" t="str">
        <f aca="false">IF(C993="","",IF(OR(G993="training",G993="full"),"Yes",IF(G993="none","No","?")))</f>
        <v/>
      </c>
      <c r="X993" s="10" t="str">
        <f aca="false">IF(C993="","",IF(OR(E993="",E993="unknown"),D993,E993))</f>
        <v/>
      </c>
      <c r="Y993" s="10" t="str">
        <f aca="false">IF(C993="","",IF(OR(T993="unsuitable",T993="retired",X993="no"),"—",IF(J993="","unrated",IF(AND(X993="full",J993&gt;=Settings!$C$5,OR(O993="untested",O993&gt;=Settings!$C$6)),"A",IF(AND(OR(X993="full",X993="reduced"),J993&gt;=Settings!$C$7,OR(O993="untested",O993&gt;=Settings!$C$8)),"B","C")))))</f>
        <v/>
      </c>
      <c r="Z993" s="11" t="str">
        <f aca="false">IF(C993="","",IF(P993&lt;&gt;"",P993,Y993))</f>
        <v/>
      </c>
    </row>
    <row r="994" customFormat="false" ht="15" hidden="false" customHeight="false" outlineLevel="0" collapsed="false">
      <c r="A994" s="9"/>
      <c r="B994" s="10" t="str">
        <f aca="false">IF(A994="","",IFERROR(INDEX(Parks!$A$2:$A$255,MATCH(A994,Parks!$B$2:$B$255,0)),"?"))</f>
        <v/>
      </c>
      <c r="C994" s="9"/>
      <c r="D994" s="10" t="str">
        <f aca="false">IF(C994="","",IF(SUMPRODUCT(--ISNUMBER(SEARCH({"Nets","Wicket","Diamond","Softball","T-ball","Baseball","Netball","Tennis","Bocce","Pentaque","Petanque","Skate","Car Park","Pond","Bridle","Amphitheatre","Perimeter","Passive"},C994)))&gt;0,"no",IF(SUMPRODUCT(--ISNUMBER(SEARCH({"Cricket","Junior","Mini","Summer Football","Small"},C994)))&gt;0,"reduced",IF(SUMPRODUCT(--ISNUMBER(SEARCH({"Rugby","Football","League","Touch","Gaelic","Australian","Lacrosse","General Sport","Training Area","Ultimate"},C994)))&gt;0,"full","unknown"))))</f>
        <v/>
      </c>
      <c r="E994" s="9"/>
      <c r="F994" s="9"/>
      <c r="G994" s="9"/>
      <c r="H994" s="9"/>
      <c r="I994" s="12"/>
      <c r="J994" s="9"/>
      <c r="K994" s="9"/>
      <c r="L994" s="9"/>
      <c r="M994" s="9"/>
      <c r="N994" s="9"/>
      <c r="O994" s="13" t="str">
        <f aca="false">IF(C994="","",IF(N(M994)+N(N994)&lt;Settings!$C$9,"untested",M994/(M994+N994)))</f>
        <v/>
      </c>
      <c r="P994" s="9"/>
      <c r="Q994" s="9"/>
      <c r="R994" s="9"/>
      <c r="S994" s="12"/>
      <c r="T994" s="9"/>
      <c r="U994" s="9"/>
      <c r="V994" s="9"/>
      <c r="W994" s="10" t="str">
        <f aca="false">IF(C994="","",IF(OR(G994="training",G994="full"),"Yes",IF(G994="none","No","?")))</f>
        <v/>
      </c>
      <c r="X994" s="10" t="str">
        <f aca="false">IF(C994="","",IF(OR(E994="",E994="unknown"),D994,E994))</f>
        <v/>
      </c>
      <c r="Y994" s="10" t="str">
        <f aca="false">IF(C994="","",IF(OR(T994="unsuitable",T994="retired",X994="no"),"—",IF(J994="","unrated",IF(AND(X994="full",J994&gt;=Settings!$C$5,OR(O994="untested",O994&gt;=Settings!$C$6)),"A",IF(AND(OR(X994="full",X994="reduced"),J994&gt;=Settings!$C$7,OR(O994="untested",O994&gt;=Settings!$C$8)),"B","C")))))</f>
        <v/>
      </c>
      <c r="Z994" s="11" t="str">
        <f aca="false">IF(C994="","",IF(P994&lt;&gt;"",P994,Y994))</f>
        <v/>
      </c>
    </row>
    <row r="995" customFormat="false" ht="15" hidden="false" customHeight="false" outlineLevel="0" collapsed="false">
      <c r="A995" s="9"/>
      <c r="B995" s="10" t="str">
        <f aca="false">IF(A995="","",IFERROR(INDEX(Parks!$A$2:$A$255,MATCH(A995,Parks!$B$2:$B$255,0)),"?"))</f>
        <v/>
      </c>
      <c r="C995" s="9"/>
      <c r="D995" s="10" t="str">
        <f aca="false">IF(C995="","",IF(SUMPRODUCT(--ISNUMBER(SEARCH({"Nets","Wicket","Diamond","Softball","T-ball","Baseball","Netball","Tennis","Bocce","Pentaque","Petanque","Skate","Car Park","Pond","Bridle","Amphitheatre","Perimeter","Passive"},C995)))&gt;0,"no",IF(SUMPRODUCT(--ISNUMBER(SEARCH({"Cricket","Junior","Mini","Summer Football","Small"},C995)))&gt;0,"reduced",IF(SUMPRODUCT(--ISNUMBER(SEARCH({"Rugby","Football","League","Touch","Gaelic","Australian","Lacrosse","General Sport","Training Area","Ultimate"},C995)))&gt;0,"full","unknown"))))</f>
        <v/>
      </c>
      <c r="E995" s="9"/>
      <c r="F995" s="9"/>
      <c r="G995" s="9"/>
      <c r="H995" s="9"/>
      <c r="I995" s="12"/>
      <c r="J995" s="9"/>
      <c r="K995" s="9"/>
      <c r="L995" s="9"/>
      <c r="M995" s="9"/>
      <c r="N995" s="9"/>
      <c r="O995" s="13" t="str">
        <f aca="false">IF(C995="","",IF(N(M995)+N(N995)&lt;Settings!$C$9,"untested",M995/(M995+N995)))</f>
        <v/>
      </c>
      <c r="P995" s="9"/>
      <c r="Q995" s="9"/>
      <c r="R995" s="9"/>
      <c r="S995" s="12"/>
      <c r="T995" s="9"/>
      <c r="U995" s="9"/>
      <c r="V995" s="9"/>
      <c r="W995" s="10" t="str">
        <f aca="false">IF(C995="","",IF(OR(G995="training",G995="full"),"Yes",IF(G995="none","No","?")))</f>
        <v/>
      </c>
      <c r="X995" s="10" t="str">
        <f aca="false">IF(C995="","",IF(OR(E995="",E995="unknown"),D995,E995))</f>
        <v/>
      </c>
      <c r="Y995" s="10" t="str">
        <f aca="false">IF(C995="","",IF(OR(T995="unsuitable",T995="retired",X995="no"),"—",IF(J995="","unrated",IF(AND(X995="full",J995&gt;=Settings!$C$5,OR(O995="untested",O995&gt;=Settings!$C$6)),"A",IF(AND(OR(X995="full",X995="reduced"),J995&gt;=Settings!$C$7,OR(O995="untested",O995&gt;=Settings!$C$8)),"B","C")))))</f>
        <v/>
      </c>
      <c r="Z995" s="11" t="str">
        <f aca="false">IF(C995="","",IF(P995&lt;&gt;"",P995,Y995))</f>
        <v/>
      </c>
    </row>
    <row r="996" customFormat="false" ht="15" hidden="false" customHeight="false" outlineLevel="0" collapsed="false">
      <c r="A996" s="9"/>
      <c r="B996" s="10" t="str">
        <f aca="false">IF(A996="","",IFERROR(INDEX(Parks!$A$2:$A$255,MATCH(A996,Parks!$B$2:$B$255,0)),"?"))</f>
        <v/>
      </c>
      <c r="C996" s="9"/>
      <c r="D996" s="10" t="str">
        <f aca="false">IF(C996="","",IF(SUMPRODUCT(--ISNUMBER(SEARCH({"Nets","Wicket","Diamond","Softball","T-ball","Baseball","Netball","Tennis","Bocce","Pentaque","Petanque","Skate","Car Park","Pond","Bridle","Amphitheatre","Perimeter","Passive"},C996)))&gt;0,"no",IF(SUMPRODUCT(--ISNUMBER(SEARCH({"Cricket","Junior","Mini","Summer Football","Small"},C996)))&gt;0,"reduced",IF(SUMPRODUCT(--ISNUMBER(SEARCH({"Rugby","Football","League","Touch","Gaelic","Australian","Lacrosse","General Sport","Training Area","Ultimate"},C996)))&gt;0,"full","unknown"))))</f>
        <v/>
      </c>
      <c r="E996" s="9"/>
      <c r="F996" s="9"/>
      <c r="G996" s="9"/>
      <c r="H996" s="9"/>
      <c r="I996" s="12"/>
      <c r="J996" s="9"/>
      <c r="K996" s="9"/>
      <c r="L996" s="9"/>
      <c r="M996" s="9"/>
      <c r="N996" s="9"/>
      <c r="O996" s="13" t="str">
        <f aca="false">IF(C996="","",IF(N(M996)+N(N996)&lt;Settings!$C$9,"untested",M996/(M996+N996)))</f>
        <v/>
      </c>
      <c r="P996" s="9"/>
      <c r="Q996" s="9"/>
      <c r="R996" s="9"/>
      <c r="S996" s="12"/>
      <c r="T996" s="9"/>
      <c r="U996" s="9"/>
      <c r="V996" s="9"/>
      <c r="W996" s="10" t="str">
        <f aca="false">IF(C996="","",IF(OR(G996="training",G996="full"),"Yes",IF(G996="none","No","?")))</f>
        <v/>
      </c>
      <c r="X996" s="10" t="str">
        <f aca="false">IF(C996="","",IF(OR(E996="",E996="unknown"),D996,E996))</f>
        <v/>
      </c>
      <c r="Y996" s="10" t="str">
        <f aca="false">IF(C996="","",IF(OR(T996="unsuitable",T996="retired",X996="no"),"—",IF(J996="","unrated",IF(AND(X996="full",J996&gt;=Settings!$C$5,OR(O996="untested",O996&gt;=Settings!$C$6)),"A",IF(AND(OR(X996="full",X996="reduced"),J996&gt;=Settings!$C$7,OR(O996="untested",O996&gt;=Settings!$C$8)),"B","C")))))</f>
        <v/>
      </c>
      <c r="Z996" s="11" t="str">
        <f aca="false">IF(C996="","",IF(P996&lt;&gt;"",P996,Y996))</f>
        <v/>
      </c>
    </row>
    <row r="997" customFormat="false" ht="15" hidden="false" customHeight="false" outlineLevel="0" collapsed="false">
      <c r="A997" s="9"/>
      <c r="B997" s="10" t="str">
        <f aca="false">IF(A997="","",IFERROR(INDEX(Parks!$A$2:$A$255,MATCH(A997,Parks!$B$2:$B$255,0)),"?"))</f>
        <v/>
      </c>
      <c r="C997" s="9"/>
      <c r="D997" s="10" t="str">
        <f aca="false">IF(C997="","",IF(SUMPRODUCT(--ISNUMBER(SEARCH({"Nets","Wicket","Diamond","Softball","T-ball","Baseball","Netball","Tennis","Bocce","Pentaque","Petanque","Skate","Car Park","Pond","Bridle","Amphitheatre","Perimeter","Passive"},C997)))&gt;0,"no",IF(SUMPRODUCT(--ISNUMBER(SEARCH({"Cricket","Junior","Mini","Summer Football","Small"},C997)))&gt;0,"reduced",IF(SUMPRODUCT(--ISNUMBER(SEARCH({"Rugby","Football","League","Touch","Gaelic","Australian","Lacrosse","General Sport","Training Area","Ultimate"},C997)))&gt;0,"full","unknown"))))</f>
        <v/>
      </c>
      <c r="E997" s="9"/>
      <c r="F997" s="9"/>
      <c r="G997" s="9"/>
      <c r="H997" s="9"/>
      <c r="I997" s="12"/>
      <c r="J997" s="9"/>
      <c r="K997" s="9"/>
      <c r="L997" s="9"/>
      <c r="M997" s="9"/>
      <c r="N997" s="9"/>
      <c r="O997" s="13" t="str">
        <f aca="false">IF(C997="","",IF(N(M997)+N(N997)&lt;Settings!$C$9,"untested",M997/(M997+N997)))</f>
        <v/>
      </c>
      <c r="P997" s="9"/>
      <c r="Q997" s="9"/>
      <c r="R997" s="9"/>
      <c r="S997" s="12"/>
      <c r="T997" s="9"/>
      <c r="U997" s="9"/>
      <c r="V997" s="9"/>
      <c r="W997" s="10" t="str">
        <f aca="false">IF(C997="","",IF(OR(G997="training",G997="full"),"Yes",IF(G997="none","No","?")))</f>
        <v/>
      </c>
      <c r="X997" s="10" t="str">
        <f aca="false">IF(C997="","",IF(OR(E997="",E997="unknown"),D997,E997))</f>
        <v/>
      </c>
      <c r="Y997" s="10" t="str">
        <f aca="false">IF(C997="","",IF(OR(T997="unsuitable",T997="retired",X997="no"),"—",IF(J997="","unrated",IF(AND(X997="full",J997&gt;=Settings!$C$5,OR(O997="untested",O997&gt;=Settings!$C$6)),"A",IF(AND(OR(X997="full",X997="reduced"),J997&gt;=Settings!$C$7,OR(O997="untested",O997&gt;=Settings!$C$8)),"B","C")))))</f>
        <v/>
      </c>
      <c r="Z997" s="11" t="str">
        <f aca="false">IF(C997="","",IF(P997&lt;&gt;"",P997,Y997))</f>
        <v/>
      </c>
    </row>
    <row r="998" customFormat="false" ht="15" hidden="false" customHeight="false" outlineLevel="0" collapsed="false">
      <c r="A998" s="9"/>
      <c r="B998" s="10" t="str">
        <f aca="false">IF(A998="","",IFERROR(INDEX(Parks!$A$2:$A$255,MATCH(A998,Parks!$B$2:$B$255,0)),"?"))</f>
        <v/>
      </c>
      <c r="C998" s="9"/>
      <c r="D998" s="10" t="str">
        <f aca="false">IF(C998="","",IF(SUMPRODUCT(--ISNUMBER(SEARCH({"Nets","Wicket","Diamond","Softball","T-ball","Baseball","Netball","Tennis","Bocce","Pentaque","Petanque","Skate","Car Park","Pond","Bridle","Amphitheatre","Perimeter","Passive"},C998)))&gt;0,"no",IF(SUMPRODUCT(--ISNUMBER(SEARCH({"Cricket","Junior","Mini","Summer Football","Small"},C998)))&gt;0,"reduced",IF(SUMPRODUCT(--ISNUMBER(SEARCH({"Rugby","Football","League","Touch","Gaelic","Australian","Lacrosse","General Sport","Training Area","Ultimate"},C998)))&gt;0,"full","unknown"))))</f>
        <v/>
      </c>
      <c r="E998" s="9"/>
      <c r="F998" s="9"/>
      <c r="G998" s="9"/>
      <c r="H998" s="9"/>
      <c r="I998" s="12"/>
      <c r="J998" s="9"/>
      <c r="K998" s="9"/>
      <c r="L998" s="9"/>
      <c r="M998" s="9"/>
      <c r="N998" s="9"/>
      <c r="O998" s="13" t="str">
        <f aca="false">IF(C998="","",IF(N(M998)+N(N998)&lt;Settings!$C$9,"untested",M998/(M998+N998)))</f>
        <v/>
      </c>
      <c r="P998" s="9"/>
      <c r="Q998" s="9"/>
      <c r="R998" s="9"/>
      <c r="S998" s="12"/>
      <c r="T998" s="9"/>
      <c r="U998" s="9"/>
      <c r="V998" s="9"/>
      <c r="W998" s="10" t="str">
        <f aca="false">IF(C998="","",IF(OR(G998="training",G998="full"),"Yes",IF(G998="none","No","?")))</f>
        <v/>
      </c>
      <c r="X998" s="10" t="str">
        <f aca="false">IF(C998="","",IF(OR(E998="",E998="unknown"),D998,E998))</f>
        <v/>
      </c>
      <c r="Y998" s="10" t="str">
        <f aca="false">IF(C998="","",IF(OR(T998="unsuitable",T998="retired",X998="no"),"—",IF(J998="","unrated",IF(AND(X998="full",J998&gt;=Settings!$C$5,OR(O998="untested",O998&gt;=Settings!$C$6)),"A",IF(AND(OR(X998="full",X998="reduced"),J998&gt;=Settings!$C$7,OR(O998="untested",O998&gt;=Settings!$C$8)),"B","C")))))</f>
        <v/>
      </c>
      <c r="Z998" s="11" t="str">
        <f aca="false">IF(C998="","",IF(P998&lt;&gt;"",P998,Y998))</f>
        <v/>
      </c>
    </row>
    <row r="999" customFormat="false" ht="15" hidden="false" customHeight="false" outlineLevel="0" collapsed="false">
      <c r="A999" s="9"/>
      <c r="B999" s="10" t="str">
        <f aca="false">IF(A999="","",IFERROR(INDEX(Parks!$A$2:$A$255,MATCH(A999,Parks!$B$2:$B$255,0)),"?"))</f>
        <v/>
      </c>
      <c r="C999" s="9"/>
      <c r="D999" s="10" t="str">
        <f aca="false">IF(C999="","",IF(SUMPRODUCT(--ISNUMBER(SEARCH({"Nets","Wicket","Diamond","Softball","T-ball","Baseball","Netball","Tennis","Bocce","Pentaque","Petanque","Skate","Car Park","Pond","Bridle","Amphitheatre","Perimeter","Passive"},C999)))&gt;0,"no",IF(SUMPRODUCT(--ISNUMBER(SEARCH({"Cricket","Junior","Mini","Summer Football","Small"},C999)))&gt;0,"reduced",IF(SUMPRODUCT(--ISNUMBER(SEARCH({"Rugby","Football","League","Touch","Gaelic","Australian","Lacrosse","General Sport","Training Area","Ultimate"},C999)))&gt;0,"full","unknown"))))</f>
        <v/>
      </c>
      <c r="E999" s="9"/>
      <c r="F999" s="9"/>
      <c r="G999" s="9"/>
      <c r="H999" s="9"/>
      <c r="I999" s="12"/>
      <c r="J999" s="9"/>
      <c r="K999" s="9"/>
      <c r="L999" s="9"/>
      <c r="M999" s="9"/>
      <c r="N999" s="9"/>
      <c r="O999" s="13" t="str">
        <f aca="false">IF(C999="","",IF(N(M999)+N(N999)&lt;Settings!$C$9,"untested",M999/(M999+N999)))</f>
        <v/>
      </c>
      <c r="P999" s="9"/>
      <c r="Q999" s="9"/>
      <c r="R999" s="9"/>
      <c r="S999" s="12"/>
      <c r="T999" s="9"/>
      <c r="U999" s="9"/>
      <c r="V999" s="9"/>
      <c r="W999" s="10" t="str">
        <f aca="false">IF(C999="","",IF(OR(G999="training",G999="full"),"Yes",IF(G999="none","No","?")))</f>
        <v/>
      </c>
      <c r="X999" s="10" t="str">
        <f aca="false">IF(C999="","",IF(OR(E999="",E999="unknown"),D999,E999))</f>
        <v/>
      </c>
      <c r="Y999" s="10" t="str">
        <f aca="false">IF(C999="","",IF(OR(T999="unsuitable",T999="retired",X999="no"),"—",IF(J999="","unrated",IF(AND(X999="full",J999&gt;=Settings!$C$5,OR(O999="untested",O999&gt;=Settings!$C$6)),"A",IF(AND(OR(X999="full",X999="reduced"),J999&gt;=Settings!$C$7,OR(O999="untested",O999&gt;=Settings!$C$8)),"B","C")))))</f>
        <v/>
      </c>
      <c r="Z999" s="11" t="str">
        <f aca="false">IF(C999="","",IF(P999&lt;&gt;"",P999,Y999))</f>
        <v/>
      </c>
    </row>
    <row r="1000" customFormat="false" ht="15" hidden="false" customHeight="false" outlineLevel="0" collapsed="false">
      <c r="A1000" s="9"/>
      <c r="B1000" s="10" t="str">
        <f aca="false">IF(A1000="","",IFERROR(INDEX(Parks!$A$2:$A$255,MATCH(A1000,Parks!$B$2:$B$255,0)),"?"))</f>
        <v/>
      </c>
      <c r="C1000" s="9"/>
      <c r="D1000" s="10" t="str">
        <f aca="false">IF(C1000="","",IF(SUMPRODUCT(--ISNUMBER(SEARCH({"Nets","Wicket","Diamond","Softball","T-ball","Baseball","Netball","Tennis","Bocce","Pentaque","Petanque","Skate","Car Park","Pond","Bridle","Amphitheatre","Perimeter","Passive"},C1000)))&gt;0,"no",IF(SUMPRODUCT(--ISNUMBER(SEARCH({"Cricket","Junior","Mini","Summer Football","Small"},C1000)))&gt;0,"reduced",IF(SUMPRODUCT(--ISNUMBER(SEARCH({"Rugby","Football","League","Touch","Gaelic","Australian","Lacrosse","General Sport","Training Area","Ultimate"},C1000)))&gt;0,"full","unknown"))))</f>
        <v/>
      </c>
      <c r="E1000" s="9"/>
      <c r="F1000" s="9"/>
      <c r="G1000" s="9"/>
      <c r="H1000" s="9"/>
      <c r="I1000" s="12"/>
      <c r="J1000" s="9"/>
      <c r="K1000" s="9"/>
      <c r="L1000" s="9"/>
      <c r="M1000" s="9"/>
      <c r="N1000" s="9"/>
      <c r="O1000" s="13" t="str">
        <f aca="false">IF(C1000="","",IF(N(M1000)+N(N1000)&lt;Settings!$C$9,"untested",M1000/(M1000+N1000)))</f>
        <v/>
      </c>
      <c r="P1000" s="9"/>
      <c r="Q1000" s="9"/>
      <c r="R1000" s="9"/>
      <c r="S1000" s="12"/>
      <c r="T1000" s="9"/>
      <c r="U1000" s="9"/>
      <c r="V1000" s="9"/>
      <c r="W1000" s="10" t="str">
        <f aca="false">IF(C1000="","",IF(OR(G1000="training",G1000="full"),"Yes",IF(G1000="none","No","?")))</f>
        <v/>
      </c>
      <c r="X1000" s="10" t="str">
        <f aca="false">IF(C1000="","",IF(OR(E1000="",E1000="unknown"),D1000,E1000))</f>
        <v/>
      </c>
      <c r="Y1000" s="10" t="str">
        <f aca="false">IF(C1000="","",IF(OR(T1000="unsuitable",T1000="retired",X1000="no"),"—",IF(J1000="","unrated",IF(AND(X1000="full",J1000&gt;=Settings!$C$5,OR(O1000="untested",O1000&gt;=Settings!$C$6)),"A",IF(AND(OR(X1000="full",X1000="reduced"),J1000&gt;=Settings!$C$7,OR(O1000="untested",O1000&gt;=Settings!$C$8)),"B","C")))))</f>
        <v/>
      </c>
      <c r="Z1000" s="11" t="str">
        <f aca="false">IF(C1000="","",IF(P1000&lt;&gt;"",P1000,Y1000))</f>
        <v/>
      </c>
    </row>
    <row r="1001" customFormat="false" ht="15" hidden="false" customHeight="false" outlineLevel="0" collapsed="false">
      <c r="A1001" s="9"/>
      <c r="B1001" s="10" t="str">
        <f aca="false">IF(A1001="","",IFERROR(INDEX(Parks!$A$2:$A$255,MATCH(A1001,Parks!$B$2:$B$255,0)),"?"))</f>
        <v/>
      </c>
      <c r="C1001" s="9"/>
      <c r="D1001" s="10" t="str">
        <f aca="false">IF(C1001="","",IF(SUMPRODUCT(--ISNUMBER(SEARCH({"Nets","Wicket","Diamond","Softball","T-ball","Baseball","Netball","Tennis","Bocce","Pentaque","Petanque","Skate","Car Park","Pond","Bridle","Amphitheatre","Perimeter","Passive"},C1001)))&gt;0,"no",IF(SUMPRODUCT(--ISNUMBER(SEARCH({"Cricket","Junior","Mini","Summer Football","Small"},C1001)))&gt;0,"reduced",IF(SUMPRODUCT(--ISNUMBER(SEARCH({"Rugby","Football","League","Touch","Gaelic","Australian","Lacrosse","General Sport","Training Area","Ultimate"},C1001)))&gt;0,"full","unknown"))))</f>
        <v/>
      </c>
      <c r="E1001" s="9"/>
      <c r="F1001" s="9"/>
      <c r="G1001" s="9"/>
      <c r="H1001" s="9"/>
      <c r="I1001" s="12"/>
      <c r="J1001" s="9"/>
      <c r="K1001" s="9"/>
      <c r="L1001" s="9"/>
      <c r="M1001" s="9"/>
      <c r="N1001" s="9"/>
      <c r="O1001" s="13" t="str">
        <f aca="false">IF(C1001="","",IF(N(M1001)+N(N1001)&lt;Settings!$C$9,"untested",M1001/(M1001+N1001)))</f>
        <v/>
      </c>
      <c r="P1001" s="9"/>
      <c r="Q1001" s="9"/>
      <c r="R1001" s="9"/>
      <c r="S1001" s="12"/>
      <c r="T1001" s="9"/>
      <c r="U1001" s="9"/>
      <c r="V1001" s="9"/>
      <c r="W1001" s="10" t="str">
        <f aca="false">IF(C1001="","",IF(OR(G1001="training",G1001="full"),"Yes",IF(G1001="none","No","?")))</f>
        <v/>
      </c>
      <c r="X1001" s="10" t="str">
        <f aca="false">IF(C1001="","",IF(OR(E1001="",E1001="unknown"),D1001,E1001))</f>
        <v/>
      </c>
      <c r="Y1001" s="10" t="str">
        <f aca="false">IF(C1001="","",IF(OR(T1001="unsuitable",T1001="retired",X1001="no"),"—",IF(J1001="","unrated",IF(AND(X1001="full",J1001&gt;=Settings!$C$5,OR(O1001="untested",O1001&gt;=Settings!$C$6)),"A",IF(AND(OR(X1001="full",X1001="reduced"),J1001&gt;=Settings!$C$7,OR(O1001="untested",O1001&gt;=Settings!$C$8)),"B","C")))))</f>
        <v/>
      </c>
      <c r="Z1001" s="11" t="str">
        <f aca="false">IF(C1001="","",IF(P1001&lt;&gt;"",P1001,Y1001))</f>
        <v/>
      </c>
    </row>
  </sheetData>
  <autoFilter ref="A1:Z1001"/>
  <conditionalFormatting sqref="Z2:Z1001">
    <cfRule type="expression" priority="2" aboveAverage="0" equalAverage="0" bottom="0" percent="0" rank="0" text="" dxfId="5">
      <formula>$Z2="A"</formula>
    </cfRule>
    <cfRule type="expression" priority="3" aboveAverage="0" equalAverage="0" bottom="0" percent="0" rank="0" text="" dxfId="6">
      <formula>$Z2="B"</formula>
    </cfRule>
    <cfRule type="expression" priority="4" aboveAverage="0" equalAverage="0" bottom="0" percent="0" rank="0" text="" dxfId="7">
      <formula>$Z2="C"</formula>
    </cfRule>
  </conditionalFormatting>
  <dataValidations count="10">
    <dataValidation allowBlank="true" errorStyle="stop" operator="between" showDropDown="false" showErrorMessage="false" showInputMessage="false" sqref="A2:A1001" type="list">
      <formula1>Parks!$B$2:$B$255</formula1>
      <formula2>0</formula2>
    </dataValidation>
    <dataValidation allowBlank="true" errorStyle="stop" operator="between" showDropDown="false" showErrorMessage="false" showInputMessage="false" sqref="E2:E1001" type="list">
      <formula1>Lists!$A$2:$A$5</formula1>
      <formula2>0</formula2>
    </dataValidation>
    <dataValidation allowBlank="true" errorStyle="stop" operator="between" showDropDown="false" showErrorMessage="false" showInputMessage="false" sqref="F2:F1001" type="list">
      <formula1>Lists!$B$2:$B$5</formula1>
      <formula2>0</formula2>
    </dataValidation>
    <dataValidation allowBlank="true" errorStyle="stop" operator="between" showDropDown="false" showErrorMessage="false" showInputMessage="false" sqref="G2:G1001" type="list">
      <formula1>Lists!$C$2:$C$5</formula1>
      <formula2>0</formula2>
    </dataValidation>
    <dataValidation allowBlank="true" errorStyle="stop" operator="between" showDropDown="false" showErrorMessage="false" showInputMessage="false" sqref="K2:K1001" type="list">
      <formula1>Lists!$D$2:$D$4</formula1>
      <formula2>0</formula2>
    </dataValidation>
    <dataValidation allowBlank="true" errorStyle="stop" operator="between" showDropDown="false" showErrorMessage="false" showInputMessage="false" sqref="P2:P1001" type="list">
      <formula1>Lists!$H$2:$H$4</formula1>
      <formula2>0</formula2>
    </dataValidation>
    <dataValidation allowBlank="true" errorStyle="stop" operator="between" showDropDown="false" showErrorMessage="false" showInputMessage="false" sqref="T2:T1001" type="list">
      <formula1>Lists!$E$2:$E$7</formula1>
      <formula2>0</formula2>
    </dataValidation>
    <dataValidation allowBlank="true" error="Quality is a whole number from 1 to 5." errorStyle="stop" operator="between" showDropDown="false" showErrorMessage="true" showInputMessage="false" sqref="J2:J1001" type="whole">
      <formula1>1</formula1>
      <formula2>5</formula2>
    </dataValidation>
    <dataValidation allowBlank="true" errorStyle="stop" operator="greaterThanOrEqual" showDropDown="false" showErrorMessage="false" showInputMessage="false" sqref="M2:N1001" type="whole">
      <formula1>0</formula1>
      <formula2>0</formula2>
    </dataValidation>
    <dataValidation allowBlank="true" errorStyle="stop" operator="greaterThan" showDropDown="false" showErrorMessage="false" showInputMessage="false" sqref="I2:I1001 S2:S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14" t="s">
        <v>343</v>
      </c>
    </row>
    <row r="3" customFormat="false" ht="30" hidden="false" customHeight="true" outlineLevel="0" collapsed="false">
      <c r="A3" s="7" t="s">
        <v>51</v>
      </c>
      <c r="B3" s="7" t="s">
        <v>344</v>
      </c>
      <c r="C3" s="7" t="s">
        <v>345</v>
      </c>
      <c r="D3" s="7" t="s">
        <v>59</v>
      </c>
      <c r="E3" s="7" t="s">
        <v>60</v>
      </c>
      <c r="F3" s="7" t="s">
        <v>346</v>
      </c>
      <c r="G3" s="7" t="s">
        <v>61</v>
      </c>
      <c r="H3" s="7" t="s">
        <v>62</v>
      </c>
      <c r="I3" s="7" t="s">
        <v>63</v>
      </c>
      <c r="J3" s="7" t="s">
        <v>347</v>
      </c>
    </row>
    <row r="4" customFormat="false" ht="15" hidden="false" customHeight="false" outlineLevel="0" collapsed="false">
      <c r="A4" s="8" t="s">
        <v>66</v>
      </c>
      <c r="B4" s="15" t="n">
        <f aca="false">COUNTIF(Parks!$A$2:$A$255,A4)</f>
        <v>62</v>
      </c>
      <c r="C4" s="15" t="n">
        <f aca="false">COUNTIFS(Parks!$A$2:$A$255,A4,Parks!$D$2:$D$255,"shortlisted")+COUNTIFS(Parks!$A$2:$A$255,A4,Parks!$D$2:$D$255,"vetted")</f>
        <v>0</v>
      </c>
      <c r="D4" s="15" t="n">
        <f aca="false">COUNTIFS(Fields!$B$2:$B$1001,A4,Fields!$C$2:$C$1001,"&lt;&gt;")</f>
        <v>0</v>
      </c>
      <c r="E4" s="15" t="n">
        <f aca="false">COUNTIFS(Fields!$B$2:$B$1001,A4,Fields!$T$2:$T$1001,"vetted")</f>
        <v>0</v>
      </c>
      <c r="F4" s="15" t="n">
        <f aca="false">COUNTIFS(Fields!$B$2:$B$1001,A4,Fields!$T$2:$T$1001,"unsuitable")</f>
        <v>0</v>
      </c>
      <c r="G4" s="15" t="n">
        <f aca="false">COUNTIFS(Fields!$B$2:$B$1001,A4,Fields!$Z$2:$Z$1001,"A")</f>
        <v>0</v>
      </c>
      <c r="H4" s="15" t="n">
        <f aca="false">COUNTIFS(Fields!$B$2:$B$1001,A4,Fields!$Z$2:$Z$1001,"B")</f>
        <v>0</v>
      </c>
      <c r="I4" s="15" t="n">
        <f aca="false">COUNTIFS(Fields!$B$2:$B$1001,A4,Fields!$Z$2:$Z$1001,"C")</f>
        <v>0</v>
      </c>
      <c r="J4" s="15" t="n">
        <f aca="false">COUNTIFS(Fields!$B$2:$B$1001,A4,Fields!$Z$2:$Z$1001,"A",Fields!$W$2:$W$1001,"Yes")+COUNTIFS(Fields!$B$2:$B$1001,A4,Fields!$Z$2:$Z$1001,"B",Fields!$W$2:$W$1001,"Yes")</f>
        <v>0</v>
      </c>
    </row>
    <row r="5" customFormat="false" ht="15" hidden="false" customHeight="false" outlineLevel="0" collapsed="false">
      <c r="A5" s="8" t="s">
        <v>130</v>
      </c>
      <c r="B5" s="15" t="n">
        <f aca="false">COUNTIF(Parks!$A$2:$A$255,A5)</f>
        <v>62</v>
      </c>
      <c r="C5" s="15" t="n">
        <f aca="false">COUNTIFS(Parks!$A$2:$A$255,A5,Parks!$D$2:$D$255,"shortlisted")+COUNTIFS(Parks!$A$2:$A$255,A5,Parks!$D$2:$D$255,"vetted")</f>
        <v>0</v>
      </c>
      <c r="D5" s="15" t="n">
        <f aca="false">COUNTIFS(Fields!$B$2:$B$1001,A5,Fields!$C$2:$C$1001,"&lt;&gt;")</f>
        <v>8</v>
      </c>
      <c r="E5" s="15" t="n">
        <f aca="false">COUNTIFS(Fields!$B$2:$B$1001,A5,Fields!$T$2:$T$1001,"vetted")</f>
        <v>0</v>
      </c>
      <c r="F5" s="15" t="n">
        <f aca="false">COUNTIFS(Fields!$B$2:$B$1001,A5,Fields!$T$2:$T$1001,"unsuitable")</f>
        <v>0</v>
      </c>
      <c r="G5" s="15" t="n">
        <f aca="false">COUNTIFS(Fields!$B$2:$B$1001,A5,Fields!$Z$2:$Z$1001,"A")</f>
        <v>0</v>
      </c>
      <c r="H5" s="15" t="n">
        <f aca="false">COUNTIFS(Fields!$B$2:$B$1001,A5,Fields!$Z$2:$Z$1001,"B")</f>
        <v>0</v>
      </c>
      <c r="I5" s="15" t="n">
        <f aca="false">COUNTIFS(Fields!$B$2:$B$1001,A5,Fields!$Z$2:$Z$1001,"C")</f>
        <v>0</v>
      </c>
      <c r="J5" s="15" t="n">
        <f aca="false">COUNTIFS(Fields!$B$2:$B$1001,A5,Fields!$Z$2:$Z$1001,"A",Fields!$W$2:$W$1001,"Yes")+COUNTIFS(Fields!$B$2:$B$1001,A5,Fields!$Z$2:$Z$1001,"B",Fields!$W$2:$W$1001,"Yes")</f>
        <v>0</v>
      </c>
    </row>
    <row r="6" customFormat="false" ht="15" hidden="false" customHeight="false" outlineLevel="0" collapsed="false">
      <c r="A6" s="8" t="s">
        <v>192</v>
      </c>
      <c r="B6" s="15" t="n">
        <f aca="false">COUNTIF(Parks!$A$2:$A$255,A6)</f>
        <v>93</v>
      </c>
      <c r="C6" s="15" t="n">
        <f aca="false">COUNTIFS(Parks!$A$2:$A$255,A6,Parks!$D$2:$D$255,"shortlisted")+COUNTIFS(Parks!$A$2:$A$255,A6,Parks!$D$2:$D$255,"vetted")</f>
        <v>0</v>
      </c>
      <c r="D6" s="15" t="n">
        <f aca="false">COUNTIFS(Fields!$B$2:$B$1001,A6,Fields!$C$2:$C$1001,"&lt;&gt;")</f>
        <v>0</v>
      </c>
      <c r="E6" s="15" t="n">
        <f aca="false">COUNTIFS(Fields!$B$2:$B$1001,A6,Fields!$T$2:$T$1001,"vetted")</f>
        <v>0</v>
      </c>
      <c r="F6" s="15" t="n">
        <f aca="false">COUNTIFS(Fields!$B$2:$B$1001,A6,Fields!$T$2:$T$1001,"unsuitable")</f>
        <v>0</v>
      </c>
      <c r="G6" s="15" t="n">
        <f aca="false">COUNTIFS(Fields!$B$2:$B$1001,A6,Fields!$Z$2:$Z$1001,"A")</f>
        <v>0</v>
      </c>
      <c r="H6" s="15" t="n">
        <f aca="false">COUNTIFS(Fields!$B$2:$B$1001,A6,Fields!$Z$2:$Z$1001,"B")</f>
        <v>0</v>
      </c>
      <c r="I6" s="15" t="n">
        <f aca="false">COUNTIFS(Fields!$B$2:$B$1001,A6,Fields!$Z$2:$Z$1001,"C")</f>
        <v>0</v>
      </c>
      <c r="J6" s="15" t="n">
        <f aca="false">COUNTIFS(Fields!$B$2:$B$1001,A6,Fields!$Z$2:$Z$1001,"A",Fields!$W$2:$W$1001,"Yes")+COUNTIFS(Fields!$B$2:$B$1001,A6,Fields!$Z$2:$Z$1001,"B",Fields!$W$2:$W$1001,"Yes")</f>
        <v>0</v>
      </c>
    </row>
    <row r="7" customFormat="false" ht="15" hidden="false" customHeight="false" outlineLevel="0" collapsed="false">
      <c r="A7" s="8" t="s">
        <v>286</v>
      </c>
      <c r="B7" s="15" t="n">
        <f aca="false">COUNTIF(Parks!$A$2:$A$255,A7)</f>
        <v>37</v>
      </c>
      <c r="C7" s="15" t="n">
        <f aca="false">COUNTIFS(Parks!$A$2:$A$255,A7,Parks!$D$2:$D$255,"shortlisted")+COUNTIFS(Parks!$A$2:$A$255,A7,Parks!$D$2:$D$255,"vetted")</f>
        <v>0</v>
      </c>
      <c r="D7" s="15" t="n">
        <f aca="false">COUNTIFS(Fields!$B$2:$B$1001,A7,Fields!$C$2:$C$1001,"&lt;&gt;")</f>
        <v>0</v>
      </c>
      <c r="E7" s="15" t="n">
        <f aca="false">COUNTIFS(Fields!$B$2:$B$1001,A7,Fields!$T$2:$T$1001,"vetted")</f>
        <v>0</v>
      </c>
      <c r="F7" s="15" t="n">
        <f aca="false">COUNTIFS(Fields!$B$2:$B$1001,A7,Fields!$T$2:$T$1001,"unsuitable")</f>
        <v>0</v>
      </c>
      <c r="G7" s="15" t="n">
        <f aca="false">COUNTIFS(Fields!$B$2:$B$1001,A7,Fields!$Z$2:$Z$1001,"A")</f>
        <v>0</v>
      </c>
      <c r="H7" s="15" t="n">
        <f aca="false">COUNTIFS(Fields!$B$2:$B$1001,A7,Fields!$Z$2:$Z$1001,"B")</f>
        <v>0</v>
      </c>
      <c r="I7" s="15" t="n">
        <f aca="false">COUNTIFS(Fields!$B$2:$B$1001,A7,Fields!$Z$2:$Z$1001,"C")</f>
        <v>0</v>
      </c>
      <c r="J7" s="15" t="n">
        <f aca="false">COUNTIFS(Fields!$B$2:$B$1001,A7,Fields!$Z$2:$Z$1001,"A",Fields!$W$2:$W$1001,"Yes")+COUNTIFS(Fields!$B$2:$B$1001,A7,Fields!$Z$2:$Z$1001,"B",Fields!$W$2:$W$1001,"Yes")</f>
        <v>0</v>
      </c>
    </row>
    <row r="8" customFormat="false" ht="15" hidden="false" customHeight="false" outlineLevel="0" collapsed="false">
      <c r="A8" s="4" t="s">
        <v>348</v>
      </c>
      <c r="B8" s="16" t="n">
        <f aca="false">SUM(B4:B7)</f>
        <v>254</v>
      </c>
      <c r="C8" s="16" t="n">
        <f aca="false">SUM(C4:C7)</f>
        <v>0</v>
      </c>
      <c r="D8" s="16" t="n">
        <f aca="false">SUM(D4:D7)</f>
        <v>8</v>
      </c>
      <c r="E8" s="16" t="n">
        <f aca="false">SUM(E4:E7)</f>
        <v>0</v>
      </c>
      <c r="F8" s="16" t="n">
        <f aca="false">SUM(F4:F7)</f>
        <v>0</v>
      </c>
      <c r="G8" s="16" t="n">
        <f aca="false">SUM(G4:G7)</f>
        <v>0</v>
      </c>
      <c r="H8" s="16" t="n">
        <f aca="false">SUM(H4:H7)</f>
        <v>0</v>
      </c>
      <c r="I8" s="16" t="n">
        <f aca="false">SUM(I4:I7)</f>
        <v>0</v>
      </c>
      <c r="J8" s="16" t="n">
        <f aca="false">SUM(J4:J7)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4" t="s">
        <v>349</v>
      </c>
    </row>
    <row r="2" customFormat="false" ht="15" hidden="false" customHeight="false" outlineLevel="0" collapsed="false">
      <c r="A2" s="8" t="s">
        <v>350</v>
      </c>
    </row>
    <row r="4" customFormat="false" ht="15" hidden="false" customHeight="false" outlineLevel="0" collapsed="false">
      <c r="A4" s="17" t="s">
        <v>351</v>
      </c>
      <c r="B4" s="17" t="s">
        <v>352</v>
      </c>
      <c r="C4" s="17" t="s">
        <v>353</v>
      </c>
    </row>
    <row r="5" customFormat="false" ht="15" hidden="false" customHeight="false" outlineLevel="0" collapsed="false">
      <c r="A5" s="8" t="s">
        <v>354</v>
      </c>
      <c r="B5" s="8" t="s">
        <v>355</v>
      </c>
      <c r="C5" s="18" t="n">
        <v>4</v>
      </c>
    </row>
    <row r="6" customFormat="false" ht="15" hidden="false" customHeight="false" outlineLevel="0" collapsed="false">
      <c r="A6" s="8" t="s">
        <v>356</v>
      </c>
      <c r="B6" s="8" t="s">
        <v>357</v>
      </c>
      <c r="C6" s="19" t="n">
        <v>0.7</v>
      </c>
    </row>
    <row r="7" customFormat="false" ht="15" hidden="false" customHeight="false" outlineLevel="0" collapsed="false">
      <c r="A7" s="8" t="s">
        <v>358</v>
      </c>
      <c r="B7" s="8" t="s">
        <v>359</v>
      </c>
      <c r="C7" s="18" t="n">
        <v>3</v>
      </c>
    </row>
    <row r="8" customFormat="false" ht="15" hidden="false" customHeight="false" outlineLevel="0" collapsed="false">
      <c r="A8" s="8" t="s">
        <v>360</v>
      </c>
      <c r="B8" s="8" t="s">
        <v>361</v>
      </c>
      <c r="C8" s="19" t="n">
        <v>0.4</v>
      </c>
    </row>
    <row r="9" customFormat="false" ht="15" hidden="false" customHeight="false" outlineLevel="0" collapsed="false">
      <c r="A9" s="8" t="s">
        <v>362</v>
      </c>
      <c r="B9" s="8" t="s">
        <v>363</v>
      </c>
      <c r="C9" s="18" t="n">
        <v>2</v>
      </c>
    </row>
    <row r="11" customFormat="false" ht="15" hidden="false" customHeight="true" outlineLevel="0" collapsed="false">
      <c r="A11" s="20" t="s">
        <v>364</v>
      </c>
      <c r="B11" s="20"/>
      <c r="C11" s="20"/>
    </row>
    <row r="12" customFormat="false" ht="15" hidden="false" customHeight="false" outlineLevel="0" collapsed="false">
      <c r="A12" s="20"/>
      <c r="B12" s="20"/>
      <c r="C12" s="20"/>
    </row>
    <row r="13" customFormat="false" ht="15" hidden="false" customHeight="false" outlineLevel="0" collapsed="false">
      <c r="A13" s="20"/>
      <c r="B13" s="20"/>
      <c r="C13" s="20"/>
    </row>
  </sheetData>
  <mergeCells count="1">
    <mergeCell ref="A11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17" t="s">
        <v>22</v>
      </c>
      <c r="B1" s="17" t="s">
        <v>23</v>
      </c>
      <c r="C1" s="17" t="s">
        <v>9</v>
      </c>
      <c r="D1" s="17" t="s">
        <v>26</v>
      </c>
      <c r="E1" s="17" t="s">
        <v>365</v>
      </c>
      <c r="F1" s="17" t="s">
        <v>53</v>
      </c>
      <c r="G1" s="17" t="s">
        <v>52</v>
      </c>
      <c r="H1" s="17" t="s">
        <v>366</v>
      </c>
      <c r="I1" s="17" t="s">
        <v>367</v>
      </c>
    </row>
    <row r="2" customFormat="false" ht="15" hidden="false" customHeight="false" outlineLevel="0" collapsed="false">
      <c r="A2" s="8" t="s">
        <v>37</v>
      </c>
      <c r="B2" s="8" t="s">
        <v>38</v>
      </c>
      <c r="C2" s="8" t="s">
        <v>368</v>
      </c>
      <c r="D2" s="8" t="s">
        <v>369</v>
      </c>
      <c r="E2" s="8" t="s">
        <v>68</v>
      </c>
      <c r="F2" s="8" t="s">
        <v>68</v>
      </c>
      <c r="G2" s="8" t="s">
        <v>370</v>
      </c>
      <c r="H2" s="8" t="s">
        <v>50</v>
      </c>
      <c r="I2" s="8" t="s">
        <v>49</v>
      </c>
    </row>
    <row r="3" customFormat="false" ht="15" hidden="false" customHeight="false" outlineLevel="0" collapsed="false">
      <c r="A3" s="8" t="s">
        <v>371</v>
      </c>
      <c r="B3" s="8" t="s">
        <v>372</v>
      </c>
      <c r="C3" s="8" t="s">
        <v>39</v>
      </c>
      <c r="D3" s="8" t="s">
        <v>42</v>
      </c>
      <c r="E3" s="8" t="s">
        <v>336</v>
      </c>
      <c r="F3" s="8" t="s">
        <v>373</v>
      </c>
      <c r="G3" s="8" t="s">
        <v>374</v>
      </c>
      <c r="H3" s="8" t="s">
        <v>375</v>
      </c>
      <c r="I3" s="8" t="s">
        <v>376</v>
      </c>
    </row>
    <row r="4" customFormat="false" ht="15" hidden="false" customHeight="false" outlineLevel="0" collapsed="false">
      <c r="A4" s="8" t="s">
        <v>377</v>
      </c>
      <c r="B4" s="8" t="s">
        <v>378</v>
      </c>
      <c r="C4" s="8" t="s">
        <v>37</v>
      </c>
      <c r="D4" s="8" t="s">
        <v>379</v>
      </c>
      <c r="E4" s="8" t="s">
        <v>373</v>
      </c>
      <c r="F4" s="8" t="s">
        <v>46</v>
      </c>
      <c r="G4" s="8" t="s">
        <v>380</v>
      </c>
      <c r="H4" s="8" t="s">
        <v>381</v>
      </c>
      <c r="I4" s="8" t="s">
        <v>382</v>
      </c>
    </row>
    <row r="5" customFormat="false" ht="15" hidden="false" customHeight="false" outlineLevel="0" collapsed="false">
      <c r="A5" s="8" t="s">
        <v>383</v>
      </c>
      <c r="B5" s="8" t="s">
        <v>383</v>
      </c>
      <c r="C5" s="8" t="s">
        <v>383</v>
      </c>
      <c r="E5" s="8" t="s">
        <v>46</v>
      </c>
      <c r="F5" s="8" t="s">
        <v>384</v>
      </c>
    </row>
    <row r="6" customFormat="false" ht="15" hidden="false" customHeight="false" outlineLevel="0" collapsed="false">
      <c r="E6" s="8" t="s">
        <v>384</v>
      </c>
    </row>
    <row r="7" customFormat="false" ht="15" hidden="false" customHeight="false" outlineLevel="0" collapsed="false">
      <c r="E7" s="8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2026-09-30T03:31:00Z</dcterms:created>
  <dc:creator>openpyxl</dc:creator>
  <dc:description/>
  <dc:language>en-US</dc:language>
  <cp:lastModifiedBy/>
  <dcterms:modified xsi:type="dcterms:W3CDTF">2026-09-30T03:31:00Z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